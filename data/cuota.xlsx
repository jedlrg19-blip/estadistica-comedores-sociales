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_HP\Desktop\EJECUCIÓN 2026\SEPTIEMBRE\"/>
    </mc:Choice>
  </mc:AlternateContent>
  <bookViews>
    <workbookView xWindow="0" yWindow="0" windowWidth="20490" windowHeight="6900" activeTab="1"/>
  </bookViews>
  <sheets>
    <sheet name="RESUMEN" sheetId="2" r:id="rId1"/>
    <sheet name="SEPTIEMBRE" sheetId="1" r:id="rId2"/>
  </sheets>
  <definedNames>
    <definedName name="_xlnm._FilterDatabase" localSheetId="1" hidden="1">SEPTIEMBRE!$A$9:$AX$185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97" i="1" l="1"/>
  <c r="AQ97" i="1"/>
  <c r="AR96" i="1"/>
  <c r="AQ96" i="1"/>
  <c r="AR95" i="1"/>
  <c r="AQ95" i="1"/>
  <c r="AR94" i="1"/>
  <c r="AQ94" i="1"/>
  <c r="AR93" i="1"/>
  <c r="AQ93" i="1"/>
  <c r="AR92" i="1"/>
  <c r="AQ92" i="1"/>
  <c r="AQ11" i="1" l="1"/>
  <c r="AR11" i="1"/>
  <c r="AQ12" i="1"/>
  <c r="AR12" i="1"/>
  <c r="AQ13" i="1"/>
  <c r="AR13" i="1"/>
  <c r="AQ14" i="1"/>
  <c r="AR14" i="1"/>
  <c r="AQ15" i="1"/>
  <c r="AR15" i="1"/>
  <c r="AQ16" i="1"/>
  <c r="AR16" i="1"/>
  <c r="AQ17" i="1"/>
  <c r="AR17" i="1"/>
  <c r="AQ18" i="1"/>
  <c r="AR18" i="1"/>
  <c r="AQ19" i="1"/>
  <c r="AR19" i="1"/>
  <c r="AQ20" i="1"/>
  <c r="AR20" i="1"/>
  <c r="AQ21" i="1"/>
  <c r="AR21" i="1"/>
  <c r="AQ22" i="1"/>
  <c r="AR22" i="1"/>
  <c r="AQ23" i="1"/>
  <c r="AR23" i="1"/>
  <c r="AQ24" i="1"/>
  <c r="AR24" i="1"/>
  <c r="AQ25" i="1"/>
  <c r="AR25" i="1"/>
  <c r="AQ26" i="1"/>
  <c r="AR26" i="1"/>
  <c r="AQ27" i="1"/>
  <c r="AR27" i="1"/>
  <c r="AQ28" i="1"/>
  <c r="AR28" i="1"/>
  <c r="AQ29" i="1"/>
  <c r="AR29" i="1"/>
  <c r="AQ30" i="1"/>
  <c r="AR30" i="1"/>
  <c r="AQ31" i="1"/>
  <c r="AR31" i="1"/>
  <c r="AQ32" i="1"/>
  <c r="AR32" i="1"/>
  <c r="AQ33" i="1"/>
  <c r="AR33" i="1"/>
  <c r="AQ34" i="1"/>
  <c r="AR34" i="1"/>
  <c r="AQ35" i="1"/>
  <c r="AR35" i="1"/>
  <c r="AQ36" i="1"/>
  <c r="AR36" i="1"/>
  <c r="AQ37" i="1"/>
  <c r="AR37" i="1"/>
  <c r="AQ38" i="1"/>
  <c r="AR38" i="1"/>
  <c r="AQ39" i="1"/>
  <c r="AR39" i="1"/>
  <c r="AQ40" i="1"/>
  <c r="AR40" i="1"/>
  <c r="AQ41" i="1"/>
  <c r="AR41" i="1"/>
  <c r="AQ42" i="1"/>
  <c r="AR42" i="1"/>
  <c r="AQ43" i="1"/>
  <c r="AR43" i="1"/>
  <c r="AQ44" i="1"/>
  <c r="AR44" i="1"/>
  <c r="AQ45" i="1"/>
  <c r="AR45" i="1"/>
  <c r="AQ46" i="1"/>
  <c r="AR46" i="1"/>
  <c r="AQ47" i="1"/>
  <c r="AR47" i="1"/>
  <c r="AQ48" i="1"/>
  <c r="AR48" i="1"/>
  <c r="AQ49" i="1"/>
  <c r="AR49" i="1"/>
  <c r="AQ50" i="1"/>
  <c r="AR50" i="1"/>
  <c r="AQ51" i="1"/>
  <c r="AR51" i="1"/>
  <c r="AQ52" i="1"/>
  <c r="AR52" i="1"/>
  <c r="AQ53" i="1"/>
  <c r="AR53" i="1"/>
  <c r="AQ54" i="1"/>
  <c r="AR54" i="1"/>
  <c r="AQ55" i="1"/>
  <c r="AR55" i="1"/>
  <c r="AQ56" i="1"/>
  <c r="AR56" i="1"/>
  <c r="AQ57" i="1"/>
  <c r="AR57" i="1"/>
  <c r="AQ58" i="1"/>
  <c r="AR58" i="1"/>
  <c r="AQ59" i="1"/>
  <c r="AR59" i="1"/>
  <c r="AQ60" i="1"/>
  <c r="AR60" i="1"/>
  <c r="AQ61" i="1"/>
  <c r="AR61" i="1"/>
  <c r="AQ62" i="1"/>
  <c r="AR62" i="1"/>
  <c r="AQ63" i="1"/>
  <c r="AR63" i="1"/>
  <c r="AQ64" i="1"/>
  <c r="AR64" i="1"/>
  <c r="AQ65" i="1"/>
  <c r="AR65" i="1"/>
  <c r="AQ66" i="1"/>
  <c r="AR66" i="1"/>
  <c r="AQ67" i="1"/>
  <c r="AR67" i="1"/>
  <c r="AQ68" i="1"/>
  <c r="AR68" i="1"/>
  <c r="AQ69" i="1"/>
  <c r="AR69" i="1"/>
  <c r="AQ70" i="1"/>
  <c r="AR70" i="1"/>
  <c r="AQ71" i="1"/>
  <c r="AR71" i="1"/>
  <c r="AQ72" i="1"/>
  <c r="AR72" i="1"/>
  <c r="AQ73" i="1"/>
  <c r="AR73" i="1"/>
  <c r="AQ74" i="1"/>
  <c r="AR74" i="1"/>
  <c r="AQ75" i="1"/>
  <c r="AR75" i="1"/>
  <c r="AQ76" i="1"/>
  <c r="AR76" i="1"/>
  <c r="AQ77" i="1"/>
  <c r="AR77" i="1"/>
  <c r="AQ78" i="1"/>
  <c r="AR78" i="1"/>
  <c r="AQ79" i="1"/>
  <c r="AR79" i="1"/>
  <c r="AQ80" i="1"/>
  <c r="AR80" i="1"/>
  <c r="AQ81" i="1"/>
  <c r="AR81" i="1"/>
  <c r="AQ82" i="1"/>
  <c r="AR82" i="1"/>
  <c r="AQ83" i="1"/>
  <c r="AR83" i="1"/>
  <c r="AQ84" i="1"/>
  <c r="AR84" i="1"/>
  <c r="AQ85" i="1"/>
  <c r="AR85" i="1"/>
  <c r="AQ86" i="1"/>
  <c r="AR86" i="1"/>
  <c r="AQ87" i="1"/>
  <c r="AR87" i="1"/>
  <c r="AQ88" i="1"/>
  <c r="AR88" i="1"/>
  <c r="AQ89" i="1"/>
  <c r="AR89" i="1"/>
  <c r="AQ90" i="1"/>
  <c r="AR90" i="1"/>
  <c r="AQ91" i="1"/>
  <c r="AR91" i="1"/>
  <c r="AS94" i="1"/>
  <c r="AQ98" i="1"/>
  <c r="AR98" i="1"/>
  <c r="AQ99" i="1"/>
  <c r="AR99" i="1"/>
  <c r="AQ100" i="1"/>
  <c r="AR100" i="1"/>
  <c r="AQ101" i="1"/>
  <c r="AR101" i="1"/>
  <c r="AQ102" i="1"/>
  <c r="AR102" i="1"/>
  <c r="AQ103" i="1"/>
  <c r="AR103" i="1"/>
  <c r="AQ104" i="1"/>
  <c r="AR104" i="1"/>
  <c r="AQ105" i="1"/>
  <c r="AR105" i="1"/>
  <c r="AQ106" i="1"/>
  <c r="AR106" i="1"/>
  <c r="AQ107" i="1"/>
  <c r="AR107" i="1"/>
  <c r="AQ108" i="1"/>
  <c r="AR108" i="1"/>
  <c r="AQ109" i="1"/>
  <c r="AR109" i="1"/>
  <c r="AQ110" i="1"/>
  <c r="AR110" i="1"/>
  <c r="AQ111" i="1"/>
  <c r="AR111" i="1"/>
  <c r="AQ112" i="1"/>
  <c r="AR112" i="1"/>
  <c r="AQ113" i="1"/>
  <c r="AR113" i="1"/>
  <c r="AQ114" i="1"/>
  <c r="AR114" i="1"/>
  <c r="AQ115" i="1"/>
  <c r="AR115" i="1"/>
  <c r="AQ116" i="1"/>
  <c r="AR116" i="1"/>
  <c r="AQ117" i="1"/>
  <c r="AR117" i="1"/>
  <c r="AQ118" i="1"/>
  <c r="AR118" i="1"/>
  <c r="AQ119" i="1"/>
  <c r="AR119" i="1"/>
  <c r="AQ120" i="1"/>
  <c r="AR120" i="1"/>
  <c r="AQ121" i="1"/>
  <c r="AR121" i="1"/>
  <c r="AQ122" i="1"/>
  <c r="AR122" i="1"/>
  <c r="AQ123" i="1"/>
  <c r="AR123" i="1"/>
  <c r="AQ124" i="1"/>
  <c r="AR124" i="1"/>
  <c r="AQ125" i="1"/>
  <c r="AR125" i="1"/>
  <c r="AQ126" i="1"/>
  <c r="AR126" i="1"/>
  <c r="AQ127" i="1"/>
  <c r="AR127" i="1"/>
  <c r="AQ128" i="1"/>
  <c r="AR128" i="1"/>
  <c r="AQ129" i="1"/>
  <c r="AR129" i="1"/>
  <c r="AQ130" i="1"/>
  <c r="AR130" i="1"/>
  <c r="AQ131" i="1"/>
  <c r="AR131" i="1"/>
  <c r="AQ132" i="1"/>
  <c r="AR132" i="1"/>
  <c r="AQ133" i="1"/>
  <c r="AR133" i="1"/>
  <c r="AQ134" i="1"/>
  <c r="AR134" i="1"/>
  <c r="AQ135" i="1"/>
  <c r="AR135" i="1"/>
  <c r="AQ136" i="1"/>
  <c r="AR136" i="1"/>
  <c r="AQ137" i="1"/>
  <c r="AR137" i="1"/>
  <c r="AQ138" i="1"/>
  <c r="AR138" i="1"/>
  <c r="AQ139" i="1"/>
  <c r="AR139" i="1"/>
  <c r="AQ140" i="1"/>
  <c r="AR140" i="1"/>
  <c r="AQ141" i="1"/>
  <c r="AR141" i="1"/>
  <c r="AQ142" i="1"/>
  <c r="AR142" i="1"/>
  <c r="AQ143" i="1"/>
  <c r="AR143" i="1"/>
  <c r="AQ144" i="1"/>
  <c r="AR144" i="1"/>
  <c r="AQ145" i="1"/>
  <c r="AR145" i="1"/>
  <c r="AQ146" i="1"/>
  <c r="AR146" i="1"/>
  <c r="AQ147" i="1"/>
  <c r="AR147" i="1"/>
  <c r="AQ148" i="1"/>
  <c r="AR148" i="1"/>
  <c r="AQ149" i="1"/>
  <c r="AR149" i="1"/>
  <c r="AQ150" i="1"/>
  <c r="AR150" i="1"/>
  <c r="AQ151" i="1"/>
  <c r="AR151" i="1"/>
  <c r="AQ152" i="1"/>
  <c r="AR152" i="1"/>
  <c r="AQ153" i="1"/>
  <c r="AR153" i="1"/>
  <c r="AQ154" i="1"/>
  <c r="AR154" i="1"/>
  <c r="AQ155" i="1"/>
  <c r="AR155" i="1"/>
  <c r="AQ156" i="1"/>
  <c r="AR156" i="1"/>
  <c r="AQ157" i="1"/>
  <c r="AR157" i="1"/>
  <c r="AQ158" i="1"/>
  <c r="AR158" i="1"/>
  <c r="AQ159" i="1"/>
  <c r="AR159" i="1"/>
  <c r="AQ160" i="1"/>
  <c r="AR160" i="1"/>
  <c r="AQ161" i="1"/>
  <c r="AR161" i="1"/>
  <c r="AQ162" i="1"/>
  <c r="AR162" i="1"/>
  <c r="AQ163" i="1"/>
  <c r="AR163" i="1"/>
  <c r="AQ164" i="1"/>
  <c r="AR164" i="1"/>
  <c r="AQ165" i="1"/>
  <c r="AR165" i="1"/>
  <c r="AQ166" i="1"/>
  <c r="AR166" i="1"/>
  <c r="AQ167" i="1"/>
  <c r="AR167" i="1"/>
  <c r="AQ168" i="1"/>
  <c r="AR168" i="1"/>
  <c r="AQ169" i="1"/>
  <c r="AR169" i="1"/>
  <c r="AQ170" i="1"/>
  <c r="AR170" i="1"/>
  <c r="AQ171" i="1"/>
  <c r="AR171" i="1"/>
  <c r="AQ172" i="1"/>
  <c r="AR172" i="1"/>
  <c r="AQ173" i="1"/>
  <c r="AR173" i="1"/>
  <c r="AQ174" i="1"/>
  <c r="AR174" i="1"/>
  <c r="AQ175" i="1"/>
  <c r="AR175" i="1"/>
  <c r="AQ176" i="1"/>
  <c r="AR176" i="1"/>
  <c r="AQ177" i="1"/>
  <c r="AR177" i="1"/>
  <c r="AQ178" i="1"/>
  <c r="AR178" i="1"/>
  <c r="AQ179" i="1"/>
  <c r="AR179" i="1"/>
  <c r="AQ180" i="1"/>
  <c r="AR180" i="1"/>
  <c r="AQ181" i="1"/>
  <c r="AR181" i="1"/>
  <c r="AQ182" i="1"/>
  <c r="AR182" i="1"/>
  <c r="AQ183" i="1"/>
  <c r="AR183" i="1"/>
  <c r="AQ184" i="1"/>
  <c r="AR184" i="1"/>
  <c r="AM11" i="1"/>
  <c r="AN11" i="1"/>
  <c r="AO11" i="1"/>
  <c r="AM12" i="1"/>
  <c r="AN12" i="1"/>
  <c r="AO12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20" i="1"/>
  <c r="AN20" i="1"/>
  <c r="AO20" i="1"/>
  <c r="AM21" i="1"/>
  <c r="AN21" i="1"/>
  <c r="AO21" i="1"/>
  <c r="AM22" i="1"/>
  <c r="AN22" i="1"/>
  <c r="AO22" i="1"/>
  <c r="AM23" i="1"/>
  <c r="AN23" i="1"/>
  <c r="AO23" i="1"/>
  <c r="AM24" i="1"/>
  <c r="AN24" i="1"/>
  <c r="AO24" i="1"/>
  <c r="AM25" i="1"/>
  <c r="AN25" i="1"/>
  <c r="AO25" i="1"/>
  <c r="AM26" i="1"/>
  <c r="AN26" i="1"/>
  <c r="AO26" i="1"/>
  <c r="AM27" i="1"/>
  <c r="AN27" i="1"/>
  <c r="AO27" i="1"/>
  <c r="AM28" i="1"/>
  <c r="AN28" i="1"/>
  <c r="AO28" i="1"/>
  <c r="AM29" i="1"/>
  <c r="AN29" i="1"/>
  <c r="AO29" i="1"/>
  <c r="AM30" i="1"/>
  <c r="AN30" i="1"/>
  <c r="AO30" i="1"/>
  <c r="AM31" i="1"/>
  <c r="AN31" i="1"/>
  <c r="AO31" i="1"/>
  <c r="AM32" i="1"/>
  <c r="AN32" i="1"/>
  <c r="AO32" i="1"/>
  <c r="AM33" i="1"/>
  <c r="AN33" i="1"/>
  <c r="AO33" i="1"/>
  <c r="AM34" i="1"/>
  <c r="AN34" i="1"/>
  <c r="AO34" i="1"/>
  <c r="AM35" i="1"/>
  <c r="AN35" i="1"/>
  <c r="AO35" i="1"/>
  <c r="AM36" i="1"/>
  <c r="AN36" i="1"/>
  <c r="AO36" i="1"/>
  <c r="AM37" i="1"/>
  <c r="AN37" i="1"/>
  <c r="AO37" i="1"/>
  <c r="AM38" i="1"/>
  <c r="AN38" i="1"/>
  <c r="AO38" i="1"/>
  <c r="AM39" i="1"/>
  <c r="AN39" i="1"/>
  <c r="AO39" i="1"/>
  <c r="AM40" i="1"/>
  <c r="AN40" i="1"/>
  <c r="AO40" i="1"/>
  <c r="AM41" i="1"/>
  <c r="AN41" i="1"/>
  <c r="AO41" i="1"/>
  <c r="AM42" i="1"/>
  <c r="AN42" i="1"/>
  <c r="AO42" i="1"/>
  <c r="AM43" i="1"/>
  <c r="AN43" i="1"/>
  <c r="AO43" i="1"/>
  <c r="AM44" i="1"/>
  <c r="AN44" i="1"/>
  <c r="AO44" i="1"/>
  <c r="AM45" i="1"/>
  <c r="AN45" i="1"/>
  <c r="AO45" i="1"/>
  <c r="AM46" i="1"/>
  <c r="AN46" i="1"/>
  <c r="AO46" i="1"/>
  <c r="AM47" i="1"/>
  <c r="AN47" i="1"/>
  <c r="AO47" i="1"/>
  <c r="AM48" i="1"/>
  <c r="AN48" i="1"/>
  <c r="AO48" i="1"/>
  <c r="AM49" i="1"/>
  <c r="AN49" i="1"/>
  <c r="AO49" i="1"/>
  <c r="AM50" i="1"/>
  <c r="AN50" i="1"/>
  <c r="AO50" i="1"/>
  <c r="AM51" i="1"/>
  <c r="AN51" i="1"/>
  <c r="AO51" i="1"/>
  <c r="AM52" i="1"/>
  <c r="AN52" i="1"/>
  <c r="AO52" i="1"/>
  <c r="AM53" i="1"/>
  <c r="AN53" i="1"/>
  <c r="AO53" i="1"/>
  <c r="AM54" i="1"/>
  <c r="AN54" i="1"/>
  <c r="AO54" i="1"/>
  <c r="AM55" i="1"/>
  <c r="AN55" i="1"/>
  <c r="AO55" i="1"/>
  <c r="AM56" i="1"/>
  <c r="AN56" i="1"/>
  <c r="AO56" i="1"/>
  <c r="AM57" i="1"/>
  <c r="AN57" i="1"/>
  <c r="AO57" i="1"/>
  <c r="AM58" i="1"/>
  <c r="AN58" i="1"/>
  <c r="AO58" i="1"/>
  <c r="AM59" i="1"/>
  <c r="AN59" i="1"/>
  <c r="AO59" i="1"/>
  <c r="AM60" i="1"/>
  <c r="AN60" i="1"/>
  <c r="AO60" i="1"/>
  <c r="AM61" i="1"/>
  <c r="AN61" i="1"/>
  <c r="AO61" i="1"/>
  <c r="AM62" i="1"/>
  <c r="AN62" i="1"/>
  <c r="AO62" i="1"/>
  <c r="AM63" i="1"/>
  <c r="AN63" i="1"/>
  <c r="AO63" i="1"/>
  <c r="AM64" i="1"/>
  <c r="AN64" i="1"/>
  <c r="AO64" i="1"/>
  <c r="AM65" i="1"/>
  <c r="AN65" i="1"/>
  <c r="AO65" i="1"/>
  <c r="AM66" i="1"/>
  <c r="AN66" i="1"/>
  <c r="AO66" i="1"/>
  <c r="AM67" i="1"/>
  <c r="AN67" i="1"/>
  <c r="AO67" i="1"/>
  <c r="AM68" i="1"/>
  <c r="AN68" i="1"/>
  <c r="AO68" i="1"/>
  <c r="AM69" i="1"/>
  <c r="AN69" i="1"/>
  <c r="AO69" i="1"/>
  <c r="AM70" i="1"/>
  <c r="AN70" i="1"/>
  <c r="AO70" i="1"/>
  <c r="AM71" i="1"/>
  <c r="AN71" i="1"/>
  <c r="AO71" i="1"/>
  <c r="AM72" i="1"/>
  <c r="AN72" i="1"/>
  <c r="AO72" i="1"/>
  <c r="AM73" i="1"/>
  <c r="AN73" i="1"/>
  <c r="AO73" i="1"/>
  <c r="AM74" i="1"/>
  <c r="AN74" i="1"/>
  <c r="AO74" i="1"/>
  <c r="AM75" i="1"/>
  <c r="AN75" i="1"/>
  <c r="AO75" i="1"/>
  <c r="AM76" i="1"/>
  <c r="AN76" i="1"/>
  <c r="AO76" i="1"/>
  <c r="AM77" i="1"/>
  <c r="AN77" i="1"/>
  <c r="AO77" i="1"/>
  <c r="AM78" i="1"/>
  <c r="AN78" i="1"/>
  <c r="AO78" i="1"/>
  <c r="AM79" i="1"/>
  <c r="AN79" i="1"/>
  <c r="AO79" i="1"/>
  <c r="AM80" i="1"/>
  <c r="AN80" i="1"/>
  <c r="AO80" i="1"/>
  <c r="AM81" i="1"/>
  <c r="AN81" i="1"/>
  <c r="AO81" i="1"/>
  <c r="AM82" i="1"/>
  <c r="AN82" i="1"/>
  <c r="AO82" i="1"/>
  <c r="AM83" i="1"/>
  <c r="AN83" i="1"/>
  <c r="AO83" i="1"/>
  <c r="AM84" i="1"/>
  <c r="AN84" i="1"/>
  <c r="AO84" i="1"/>
  <c r="AM85" i="1"/>
  <c r="AN85" i="1"/>
  <c r="AO85" i="1"/>
  <c r="AM86" i="1"/>
  <c r="AN86" i="1"/>
  <c r="AO86" i="1"/>
  <c r="AM87" i="1"/>
  <c r="AN87" i="1"/>
  <c r="AO87" i="1"/>
  <c r="AM88" i="1"/>
  <c r="AN88" i="1"/>
  <c r="AO88" i="1"/>
  <c r="AM89" i="1"/>
  <c r="AN89" i="1"/>
  <c r="AO89" i="1"/>
  <c r="AM90" i="1"/>
  <c r="AN90" i="1"/>
  <c r="AO90" i="1"/>
  <c r="AM91" i="1"/>
  <c r="AN91" i="1"/>
  <c r="AO91" i="1"/>
  <c r="AM92" i="1"/>
  <c r="AN92" i="1"/>
  <c r="AO92" i="1"/>
  <c r="AM93" i="1"/>
  <c r="AN93" i="1"/>
  <c r="AO93" i="1"/>
  <c r="AM94" i="1"/>
  <c r="AN94" i="1"/>
  <c r="AO94" i="1"/>
  <c r="AM95" i="1"/>
  <c r="AN95" i="1"/>
  <c r="AO95" i="1"/>
  <c r="AM96" i="1"/>
  <c r="AN96" i="1"/>
  <c r="AO96" i="1"/>
  <c r="AM97" i="1"/>
  <c r="AN97" i="1"/>
  <c r="AO97" i="1"/>
  <c r="AM98" i="1"/>
  <c r="AN98" i="1"/>
  <c r="AO98" i="1"/>
  <c r="AM99" i="1"/>
  <c r="AN99" i="1"/>
  <c r="AO99" i="1"/>
  <c r="AM100" i="1"/>
  <c r="AN100" i="1"/>
  <c r="AO100" i="1"/>
  <c r="AM101" i="1"/>
  <c r="AN101" i="1"/>
  <c r="AO101" i="1"/>
  <c r="AM102" i="1"/>
  <c r="AN102" i="1"/>
  <c r="AO102" i="1"/>
  <c r="AM103" i="1"/>
  <c r="AN103" i="1"/>
  <c r="AO103" i="1"/>
  <c r="AM104" i="1"/>
  <c r="AN104" i="1"/>
  <c r="AO104" i="1"/>
  <c r="AM105" i="1"/>
  <c r="AN105" i="1"/>
  <c r="AO105" i="1"/>
  <c r="AM106" i="1"/>
  <c r="AN106" i="1"/>
  <c r="AO106" i="1"/>
  <c r="AM107" i="1"/>
  <c r="AN107" i="1"/>
  <c r="AO107" i="1"/>
  <c r="AM108" i="1"/>
  <c r="AN108" i="1"/>
  <c r="AO108" i="1"/>
  <c r="AM109" i="1"/>
  <c r="AN109" i="1"/>
  <c r="AO109" i="1"/>
  <c r="AM110" i="1"/>
  <c r="AN110" i="1"/>
  <c r="AO110" i="1"/>
  <c r="AM111" i="1"/>
  <c r="AN111" i="1"/>
  <c r="AO111" i="1"/>
  <c r="AM112" i="1"/>
  <c r="AN112" i="1"/>
  <c r="AO112" i="1"/>
  <c r="AM113" i="1"/>
  <c r="AN113" i="1"/>
  <c r="AO113" i="1"/>
  <c r="AM114" i="1"/>
  <c r="AN114" i="1"/>
  <c r="AO114" i="1"/>
  <c r="AM115" i="1"/>
  <c r="AN115" i="1"/>
  <c r="AO115" i="1"/>
  <c r="AM116" i="1"/>
  <c r="AN116" i="1"/>
  <c r="AO116" i="1"/>
  <c r="AM117" i="1"/>
  <c r="AN117" i="1"/>
  <c r="AO117" i="1"/>
  <c r="AM118" i="1"/>
  <c r="AN118" i="1"/>
  <c r="AO118" i="1"/>
  <c r="AM119" i="1"/>
  <c r="AN119" i="1"/>
  <c r="AO119" i="1"/>
  <c r="AM120" i="1"/>
  <c r="AN120" i="1"/>
  <c r="AO120" i="1"/>
  <c r="AM121" i="1"/>
  <c r="AN121" i="1"/>
  <c r="AO121" i="1"/>
  <c r="AM122" i="1"/>
  <c r="AN122" i="1"/>
  <c r="AO122" i="1"/>
  <c r="AM123" i="1"/>
  <c r="AN123" i="1"/>
  <c r="AO123" i="1"/>
  <c r="AM124" i="1"/>
  <c r="AN124" i="1"/>
  <c r="AO124" i="1"/>
  <c r="AM125" i="1"/>
  <c r="AN125" i="1"/>
  <c r="AO125" i="1"/>
  <c r="AM126" i="1"/>
  <c r="AN126" i="1"/>
  <c r="AO126" i="1"/>
  <c r="AM127" i="1"/>
  <c r="AN127" i="1"/>
  <c r="AO127" i="1"/>
  <c r="AM128" i="1"/>
  <c r="AN128" i="1"/>
  <c r="AO128" i="1"/>
  <c r="AM129" i="1"/>
  <c r="AN129" i="1"/>
  <c r="AO129" i="1"/>
  <c r="AM130" i="1"/>
  <c r="AN130" i="1"/>
  <c r="AO130" i="1"/>
  <c r="AM131" i="1"/>
  <c r="AN131" i="1"/>
  <c r="AO131" i="1"/>
  <c r="AM132" i="1"/>
  <c r="AN132" i="1"/>
  <c r="AO132" i="1"/>
  <c r="AM133" i="1"/>
  <c r="AN133" i="1"/>
  <c r="AO133" i="1"/>
  <c r="AM134" i="1"/>
  <c r="AN134" i="1"/>
  <c r="AO134" i="1"/>
  <c r="AM135" i="1"/>
  <c r="AN135" i="1"/>
  <c r="AO135" i="1"/>
  <c r="AM136" i="1"/>
  <c r="AN136" i="1"/>
  <c r="AO136" i="1"/>
  <c r="AM137" i="1"/>
  <c r="AN137" i="1"/>
  <c r="AO137" i="1"/>
  <c r="AM138" i="1"/>
  <c r="AN138" i="1"/>
  <c r="AO138" i="1"/>
  <c r="AM139" i="1"/>
  <c r="AN139" i="1"/>
  <c r="AO139" i="1"/>
  <c r="AM140" i="1"/>
  <c r="AN140" i="1"/>
  <c r="AO140" i="1"/>
  <c r="AM141" i="1"/>
  <c r="AN141" i="1"/>
  <c r="AO141" i="1"/>
  <c r="AM142" i="1"/>
  <c r="AN142" i="1"/>
  <c r="AO142" i="1"/>
  <c r="AM143" i="1"/>
  <c r="AN143" i="1"/>
  <c r="AO143" i="1"/>
  <c r="AM144" i="1"/>
  <c r="AN144" i="1"/>
  <c r="AO144" i="1"/>
  <c r="AM145" i="1"/>
  <c r="AN145" i="1"/>
  <c r="AO145" i="1"/>
  <c r="AM146" i="1"/>
  <c r="AN146" i="1"/>
  <c r="AO146" i="1"/>
  <c r="AM147" i="1"/>
  <c r="AN147" i="1"/>
  <c r="AO147" i="1"/>
  <c r="AM148" i="1"/>
  <c r="AN148" i="1"/>
  <c r="AO148" i="1"/>
  <c r="AM149" i="1"/>
  <c r="AN149" i="1"/>
  <c r="AO149" i="1"/>
  <c r="AM150" i="1"/>
  <c r="AN150" i="1"/>
  <c r="AO150" i="1"/>
  <c r="AM151" i="1"/>
  <c r="AN151" i="1"/>
  <c r="AO151" i="1"/>
  <c r="AM152" i="1"/>
  <c r="AN152" i="1"/>
  <c r="AO152" i="1"/>
  <c r="AM153" i="1"/>
  <c r="AN153" i="1"/>
  <c r="AO153" i="1"/>
  <c r="AM154" i="1"/>
  <c r="AN154" i="1"/>
  <c r="AO154" i="1"/>
  <c r="AM155" i="1"/>
  <c r="AN155" i="1"/>
  <c r="AO155" i="1"/>
  <c r="AM156" i="1"/>
  <c r="AN156" i="1"/>
  <c r="AO156" i="1"/>
  <c r="AM157" i="1"/>
  <c r="AN157" i="1"/>
  <c r="AO157" i="1"/>
  <c r="AM158" i="1"/>
  <c r="AN158" i="1"/>
  <c r="AO158" i="1"/>
  <c r="AM159" i="1"/>
  <c r="AN159" i="1"/>
  <c r="AO159" i="1"/>
  <c r="AM160" i="1"/>
  <c r="AN160" i="1"/>
  <c r="AO160" i="1"/>
  <c r="AM161" i="1"/>
  <c r="AN161" i="1"/>
  <c r="AO161" i="1"/>
  <c r="AM162" i="1"/>
  <c r="AN162" i="1"/>
  <c r="AO162" i="1"/>
  <c r="AM163" i="1"/>
  <c r="AN163" i="1"/>
  <c r="AO163" i="1"/>
  <c r="AM164" i="1"/>
  <c r="AN164" i="1"/>
  <c r="AO164" i="1"/>
  <c r="AM165" i="1"/>
  <c r="AN165" i="1"/>
  <c r="AO165" i="1"/>
  <c r="AM166" i="1"/>
  <c r="AN166" i="1"/>
  <c r="AO166" i="1"/>
  <c r="AM167" i="1"/>
  <c r="AN167" i="1"/>
  <c r="AO167" i="1"/>
  <c r="AM168" i="1"/>
  <c r="AN168" i="1"/>
  <c r="AO168" i="1"/>
  <c r="AM169" i="1"/>
  <c r="AN169" i="1"/>
  <c r="AO169" i="1"/>
  <c r="AM170" i="1"/>
  <c r="AN170" i="1"/>
  <c r="AO170" i="1"/>
  <c r="AM171" i="1"/>
  <c r="AN171" i="1"/>
  <c r="AO171" i="1"/>
  <c r="AM172" i="1"/>
  <c r="AN172" i="1"/>
  <c r="AO172" i="1"/>
  <c r="AM173" i="1"/>
  <c r="AN173" i="1"/>
  <c r="AO173" i="1"/>
  <c r="AM174" i="1"/>
  <c r="AN174" i="1"/>
  <c r="AO174" i="1"/>
  <c r="AM175" i="1"/>
  <c r="AN175" i="1"/>
  <c r="AO175" i="1"/>
  <c r="AM176" i="1"/>
  <c r="AN176" i="1"/>
  <c r="AO176" i="1"/>
  <c r="AM177" i="1"/>
  <c r="AN177" i="1"/>
  <c r="AO177" i="1"/>
  <c r="AM178" i="1"/>
  <c r="AN178" i="1"/>
  <c r="AO178" i="1"/>
  <c r="AM179" i="1"/>
  <c r="AN179" i="1"/>
  <c r="AO179" i="1"/>
  <c r="AM180" i="1"/>
  <c r="AN180" i="1"/>
  <c r="AO180" i="1"/>
  <c r="AM181" i="1"/>
  <c r="AN181" i="1"/>
  <c r="AO181" i="1"/>
  <c r="AM182" i="1"/>
  <c r="AN182" i="1"/>
  <c r="AO182" i="1"/>
  <c r="AM183" i="1"/>
  <c r="AN183" i="1"/>
  <c r="AO183" i="1"/>
  <c r="AM184" i="1"/>
  <c r="AN184" i="1"/>
  <c r="AO184" i="1"/>
  <c r="AG11" i="1"/>
  <c r="AH11" i="1"/>
  <c r="AI11" i="1"/>
  <c r="AG12" i="1"/>
  <c r="AH12" i="1"/>
  <c r="AI12" i="1"/>
  <c r="AG13" i="1"/>
  <c r="AH13" i="1"/>
  <c r="AI13" i="1"/>
  <c r="AG14" i="1"/>
  <c r="AH14" i="1"/>
  <c r="AI14" i="1"/>
  <c r="AG15" i="1"/>
  <c r="AH15" i="1"/>
  <c r="AI15" i="1"/>
  <c r="AG16" i="1"/>
  <c r="AH16" i="1"/>
  <c r="AI16" i="1"/>
  <c r="AG17" i="1"/>
  <c r="AH17" i="1"/>
  <c r="AI17" i="1"/>
  <c r="AG18" i="1"/>
  <c r="AH18" i="1"/>
  <c r="AI18" i="1"/>
  <c r="AG19" i="1"/>
  <c r="AH19" i="1"/>
  <c r="AI19" i="1"/>
  <c r="AG20" i="1"/>
  <c r="AH20" i="1"/>
  <c r="AI20" i="1"/>
  <c r="AG21" i="1"/>
  <c r="AH21" i="1"/>
  <c r="AI21" i="1"/>
  <c r="AG22" i="1"/>
  <c r="AH22" i="1"/>
  <c r="AI22" i="1"/>
  <c r="AG23" i="1"/>
  <c r="AH23" i="1"/>
  <c r="AI23" i="1"/>
  <c r="AG24" i="1"/>
  <c r="AH24" i="1"/>
  <c r="AI24" i="1"/>
  <c r="AG25" i="1"/>
  <c r="AH25" i="1"/>
  <c r="AI25" i="1"/>
  <c r="AG26" i="1"/>
  <c r="AH26" i="1"/>
  <c r="AI26" i="1"/>
  <c r="AG27" i="1"/>
  <c r="AH27" i="1"/>
  <c r="AI27" i="1"/>
  <c r="AG28" i="1"/>
  <c r="AH28" i="1"/>
  <c r="AI28" i="1"/>
  <c r="AG29" i="1"/>
  <c r="AH29" i="1"/>
  <c r="AI29" i="1"/>
  <c r="AG30" i="1"/>
  <c r="AH30" i="1"/>
  <c r="AI30" i="1"/>
  <c r="AG31" i="1"/>
  <c r="AH31" i="1"/>
  <c r="AI31" i="1"/>
  <c r="AG32" i="1"/>
  <c r="AH32" i="1"/>
  <c r="AI32" i="1"/>
  <c r="AG33" i="1"/>
  <c r="AH33" i="1"/>
  <c r="AI33" i="1"/>
  <c r="AG34" i="1"/>
  <c r="AH34" i="1"/>
  <c r="AI34" i="1"/>
  <c r="AG35" i="1"/>
  <c r="AH35" i="1"/>
  <c r="AI35" i="1"/>
  <c r="AG36" i="1"/>
  <c r="AH36" i="1"/>
  <c r="AI36" i="1"/>
  <c r="AG37" i="1"/>
  <c r="AH37" i="1"/>
  <c r="AI37" i="1"/>
  <c r="AG38" i="1"/>
  <c r="AH38" i="1"/>
  <c r="AI38" i="1"/>
  <c r="AG39" i="1"/>
  <c r="AH39" i="1"/>
  <c r="AI39" i="1"/>
  <c r="AG40" i="1"/>
  <c r="AH40" i="1"/>
  <c r="AI40" i="1"/>
  <c r="AG41" i="1"/>
  <c r="AH41" i="1"/>
  <c r="AI41" i="1"/>
  <c r="AG42" i="1"/>
  <c r="AH42" i="1"/>
  <c r="AI42" i="1"/>
  <c r="AG43" i="1"/>
  <c r="AH43" i="1"/>
  <c r="AI43" i="1"/>
  <c r="AG44" i="1"/>
  <c r="AH44" i="1"/>
  <c r="AI44" i="1"/>
  <c r="AG45" i="1"/>
  <c r="AH45" i="1"/>
  <c r="AI45" i="1"/>
  <c r="AG46" i="1"/>
  <c r="AH46" i="1"/>
  <c r="AI46" i="1"/>
  <c r="AG47" i="1"/>
  <c r="AH47" i="1"/>
  <c r="AI47" i="1"/>
  <c r="AG48" i="1"/>
  <c r="AH48" i="1"/>
  <c r="AI48" i="1"/>
  <c r="AG49" i="1"/>
  <c r="AH49" i="1"/>
  <c r="AI49" i="1"/>
  <c r="AG50" i="1"/>
  <c r="AH50" i="1"/>
  <c r="AI50" i="1"/>
  <c r="AG51" i="1"/>
  <c r="AH51" i="1"/>
  <c r="AI51" i="1"/>
  <c r="AG52" i="1"/>
  <c r="AH52" i="1"/>
  <c r="AI52" i="1"/>
  <c r="AG53" i="1"/>
  <c r="AH53" i="1"/>
  <c r="AI53" i="1"/>
  <c r="AG54" i="1"/>
  <c r="AH54" i="1"/>
  <c r="AI54" i="1"/>
  <c r="AG55" i="1"/>
  <c r="AH55" i="1"/>
  <c r="AI55" i="1"/>
  <c r="AG56" i="1"/>
  <c r="AH56" i="1"/>
  <c r="AI56" i="1"/>
  <c r="AG57" i="1"/>
  <c r="AH57" i="1"/>
  <c r="AI57" i="1"/>
  <c r="AG58" i="1"/>
  <c r="AH58" i="1"/>
  <c r="AI58" i="1"/>
  <c r="AG59" i="1"/>
  <c r="AH59" i="1"/>
  <c r="AI59" i="1"/>
  <c r="AG60" i="1"/>
  <c r="AH60" i="1"/>
  <c r="AI60" i="1"/>
  <c r="AG61" i="1"/>
  <c r="AH61" i="1"/>
  <c r="AI61" i="1"/>
  <c r="AG62" i="1"/>
  <c r="AH62" i="1"/>
  <c r="AI62" i="1"/>
  <c r="AG63" i="1"/>
  <c r="AH63" i="1"/>
  <c r="AI63" i="1"/>
  <c r="AG64" i="1"/>
  <c r="AH64" i="1"/>
  <c r="AI64" i="1"/>
  <c r="AG65" i="1"/>
  <c r="AH65" i="1"/>
  <c r="AI65" i="1"/>
  <c r="AG66" i="1"/>
  <c r="AH66" i="1"/>
  <c r="AI66" i="1"/>
  <c r="AG67" i="1"/>
  <c r="AH67" i="1"/>
  <c r="AI67" i="1"/>
  <c r="AG68" i="1"/>
  <c r="AH68" i="1"/>
  <c r="AI68" i="1"/>
  <c r="AG69" i="1"/>
  <c r="AH69" i="1"/>
  <c r="AI69" i="1"/>
  <c r="AG70" i="1"/>
  <c r="AH70" i="1"/>
  <c r="AI70" i="1"/>
  <c r="AG71" i="1"/>
  <c r="AH71" i="1"/>
  <c r="AI71" i="1"/>
  <c r="AG72" i="1"/>
  <c r="AH72" i="1"/>
  <c r="AI72" i="1"/>
  <c r="AG73" i="1"/>
  <c r="AH73" i="1"/>
  <c r="AI73" i="1"/>
  <c r="AG74" i="1"/>
  <c r="AH74" i="1"/>
  <c r="AI74" i="1"/>
  <c r="AG75" i="1"/>
  <c r="AH75" i="1"/>
  <c r="AI75" i="1"/>
  <c r="AG76" i="1"/>
  <c r="AH76" i="1"/>
  <c r="AI76" i="1"/>
  <c r="AG77" i="1"/>
  <c r="AH77" i="1"/>
  <c r="AI77" i="1"/>
  <c r="AG78" i="1"/>
  <c r="AH78" i="1"/>
  <c r="AI78" i="1"/>
  <c r="AG79" i="1"/>
  <c r="AH79" i="1"/>
  <c r="AI79" i="1"/>
  <c r="AG80" i="1"/>
  <c r="AH80" i="1"/>
  <c r="AI80" i="1"/>
  <c r="AG81" i="1"/>
  <c r="AH81" i="1"/>
  <c r="AI81" i="1"/>
  <c r="AG82" i="1"/>
  <c r="AH82" i="1"/>
  <c r="AI82" i="1"/>
  <c r="AG83" i="1"/>
  <c r="AH83" i="1"/>
  <c r="AI83" i="1"/>
  <c r="AG84" i="1"/>
  <c r="AH84" i="1"/>
  <c r="AI84" i="1"/>
  <c r="AG85" i="1"/>
  <c r="AH85" i="1"/>
  <c r="AI85" i="1"/>
  <c r="AG86" i="1"/>
  <c r="AH86" i="1"/>
  <c r="AI86" i="1"/>
  <c r="AG87" i="1"/>
  <c r="AH87" i="1"/>
  <c r="AI87" i="1"/>
  <c r="AG88" i="1"/>
  <c r="AH88" i="1"/>
  <c r="AI88" i="1"/>
  <c r="AG89" i="1"/>
  <c r="AH89" i="1"/>
  <c r="AI89" i="1"/>
  <c r="AG90" i="1"/>
  <c r="AH90" i="1"/>
  <c r="AI90" i="1"/>
  <c r="AG91" i="1"/>
  <c r="AH91" i="1"/>
  <c r="AI91" i="1"/>
  <c r="AG92" i="1"/>
  <c r="AH92" i="1"/>
  <c r="AI92" i="1"/>
  <c r="AG93" i="1"/>
  <c r="AH93" i="1"/>
  <c r="AI93" i="1"/>
  <c r="AG94" i="1"/>
  <c r="AH94" i="1"/>
  <c r="AI94" i="1"/>
  <c r="AG95" i="1"/>
  <c r="AH95" i="1"/>
  <c r="AI95" i="1"/>
  <c r="AG96" i="1"/>
  <c r="AH96" i="1"/>
  <c r="AI96" i="1"/>
  <c r="AG97" i="1"/>
  <c r="AH97" i="1"/>
  <c r="AI97" i="1"/>
  <c r="AG98" i="1"/>
  <c r="AH98" i="1"/>
  <c r="AI98" i="1"/>
  <c r="AG99" i="1"/>
  <c r="AH99" i="1"/>
  <c r="AI99" i="1"/>
  <c r="AG100" i="1"/>
  <c r="AH100" i="1"/>
  <c r="AI100" i="1"/>
  <c r="AG101" i="1"/>
  <c r="AH101" i="1"/>
  <c r="AI101" i="1"/>
  <c r="AG102" i="1"/>
  <c r="AH102" i="1"/>
  <c r="AI102" i="1"/>
  <c r="AG103" i="1"/>
  <c r="AH103" i="1"/>
  <c r="AI103" i="1"/>
  <c r="AG104" i="1"/>
  <c r="AH104" i="1"/>
  <c r="AI104" i="1"/>
  <c r="AG105" i="1"/>
  <c r="AH105" i="1"/>
  <c r="AI105" i="1"/>
  <c r="AG106" i="1"/>
  <c r="AH106" i="1"/>
  <c r="AI106" i="1"/>
  <c r="AG107" i="1"/>
  <c r="AH107" i="1"/>
  <c r="AI107" i="1"/>
  <c r="AG108" i="1"/>
  <c r="AH108" i="1"/>
  <c r="AI108" i="1"/>
  <c r="AG109" i="1"/>
  <c r="AH109" i="1"/>
  <c r="AI109" i="1"/>
  <c r="AG110" i="1"/>
  <c r="AH110" i="1"/>
  <c r="AI110" i="1"/>
  <c r="AG111" i="1"/>
  <c r="AH111" i="1"/>
  <c r="AI111" i="1"/>
  <c r="AG112" i="1"/>
  <c r="AH112" i="1"/>
  <c r="AI112" i="1"/>
  <c r="AG113" i="1"/>
  <c r="AH113" i="1"/>
  <c r="AI113" i="1"/>
  <c r="AG114" i="1"/>
  <c r="AH114" i="1"/>
  <c r="AI114" i="1"/>
  <c r="AG115" i="1"/>
  <c r="AH115" i="1"/>
  <c r="AI115" i="1"/>
  <c r="AG116" i="1"/>
  <c r="AH116" i="1"/>
  <c r="AI116" i="1"/>
  <c r="AG117" i="1"/>
  <c r="AH117" i="1"/>
  <c r="AI117" i="1"/>
  <c r="AG118" i="1"/>
  <c r="AH118" i="1"/>
  <c r="AI118" i="1"/>
  <c r="AG119" i="1"/>
  <c r="AH119" i="1"/>
  <c r="AI119" i="1"/>
  <c r="AG120" i="1"/>
  <c r="AH120" i="1"/>
  <c r="AI120" i="1"/>
  <c r="AG121" i="1"/>
  <c r="AH121" i="1"/>
  <c r="AI121" i="1"/>
  <c r="AG122" i="1"/>
  <c r="AH122" i="1"/>
  <c r="AI122" i="1"/>
  <c r="AG123" i="1"/>
  <c r="AH123" i="1"/>
  <c r="AI123" i="1"/>
  <c r="AG124" i="1"/>
  <c r="AH124" i="1"/>
  <c r="AI124" i="1"/>
  <c r="AG125" i="1"/>
  <c r="AH125" i="1"/>
  <c r="AI125" i="1"/>
  <c r="AG126" i="1"/>
  <c r="AH126" i="1"/>
  <c r="AI126" i="1"/>
  <c r="AG127" i="1"/>
  <c r="AH127" i="1"/>
  <c r="AI127" i="1"/>
  <c r="AG128" i="1"/>
  <c r="AH128" i="1"/>
  <c r="AI128" i="1"/>
  <c r="AG129" i="1"/>
  <c r="AH129" i="1"/>
  <c r="AI129" i="1"/>
  <c r="AG130" i="1"/>
  <c r="AH130" i="1"/>
  <c r="AI130" i="1"/>
  <c r="AG131" i="1"/>
  <c r="AH131" i="1"/>
  <c r="AI131" i="1"/>
  <c r="AG132" i="1"/>
  <c r="AH132" i="1"/>
  <c r="AI132" i="1"/>
  <c r="AG133" i="1"/>
  <c r="AH133" i="1"/>
  <c r="AI133" i="1"/>
  <c r="AG134" i="1"/>
  <c r="AH134" i="1"/>
  <c r="AI134" i="1"/>
  <c r="AG135" i="1"/>
  <c r="AH135" i="1"/>
  <c r="AI135" i="1"/>
  <c r="AG136" i="1"/>
  <c r="AH136" i="1"/>
  <c r="AI136" i="1"/>
  <c r="AG137" i="1"/>
  <c r="AH137" i="1"/>
  <c r="AI137" i="1"/>
  <c r="AG138" i="1"/>
  <c r="AH138" i="1"/>
  <c r="AI138" i="1"/>
  <c r="AG139" i="1"/>
  <c r="AH139" i="1"/>
  <c r="AI139" i="1"/>
  <c r="AG140" i="1"/>
  <c r="AH140" i="1"/>
  <c r="AI140" i="1"/>
  <c r="AG141" i="1"/>
  <c r="AH141" i="1"/>
  <c r="AI141" i="1"/>
  <c r="AG142" i="1"/>
  <c r="AH142" i="1"/>
  <c r="AI142" i="1"/>
  <c r="AG143" i="1"/>
  <c r="AH143" i="1"/>
  <c r="AI143" i="1"/>
  <c r="AG144" i="1"/>
  <c r="AH144" i="1"/>
  <c r="AI144" i="1"/>
  <c r="AG145" i="1"/>
  <c r="AH145" i="1"/>
  <c r="AI145" i="1"/>
  <c r="AG146" i="1"/>
  <c r="AH146" i="1"/>
  <c r="AI146" i="1"/>
  <c r="AG147" i="1"/>
  <c r="AH147" i="1"/>
  <c r="AI147" i="1"/>
  <c r="AG148" i="1"/>
  <c r="AH148" i="1"/>
  <c r="AI148" i="1"/>
  <c r="AG149" i="1"/>
  <c r="AH149" i="1"/>
  <c r="AI149" i="1"/>
  <c r="AG150" i="1"/>
  <c r="AH150" i="1"/>
  <c r="AI150" i="1"/>
  <c r="AG151" i="1"/>
  <c r="AH151" i="1"/>
  <c r="AI151" i="1"/>
  <c r="AG152" i="1"/>
  <c r="AH152" i="1"/>
  <c r="AI152" i="1"/>
  <c r="AG153" i="1"/>
  <c r="AH153" i="1"/>
  <c r="AI153" i="1"/>
  <c r="AG154" i="1"/>
  <c r="AH154" i="1"/>
  <c r="AI154" i="1"/>
  <c r="AG155" i="1"/>
  <c r="AH155" i="1"/>
  <c r="AI155" i="1"/>
  <c r="AG156" i="1"/>
  <c r="AH156" i="1"/>
  <c r="AI156" i="1"/>
  <c r="AG157" i="1"/>
  <c r="AH157" i="1"/>
  <c r="AI157" i="1"/>
  <c r="AG158" i="1"/>
  <c r="AH158" i="1"/>
  <c r="AI158" i="1"/>
  <c r="AG159" i="1"/>
  <c r="AH159" i="1"/>
  <c r="AI159" i="1"/>
  <c r="AG160" i="1"/>
  <c r="AH160" i="1"/>
  <c r="AI160" i="1"/>
  <c r="AG161" i="1"/>
  <c r="AH161" i="1"/>
  <c r="AI161" i="1"/>
  <c r="AG162" i="1"/>
  <c r="AH162" i="1"/>
  <c r="AI162" i="1"/>
  <c r="AG163" i="1"/>
  <c r="AH163" i="1"/>
  <c r="AI163" i="1"/>
  <c r="AG164" i="1"/>
  <c r="AH164" i="1"/>
  <c r="AI164" i="1"/>
  <c r="AG165" i="1"/>
  <c r="AH165" i="1"/>
  <c r="AI165" i="1"/>
  <c r="AG166" i="1"/>
  <c r="AH166" i="1"/>
  <c r="AI166" i="1"/>
  <c r="AG167" i="1"/>
  <c r="AH167" i="1"/>
  <c r="AI167" i="1"/>
  <c r="AG168" i="1"/>
  <c r="AH168" i="1"/>
  <c r="AI168" i="1"/>
  <c r="AG169" i="1"/>
  <c r="AH169" i="1"/>
  <c r="AI169" i="1"/>
  <c r="AG170" i="1"/>
  <c r="AH170" i="1"/>
  <c r="AI170" i="1"/>
  <c r="AG171" i="1"/>
  <c r="AH171" i="1"/>
  <c r="AI171" i="1"/>
  <c r="AG172" i="1"/>
  <c r="AH172" i="1"/>
  <c r="AI172" i="1"/>
  <c r="AG173" i="1"/>
  <c r="AH173" i="1"/>
  <c r="AI173" i="1"/>
  <c r="AG174" i="1"/>
  <c r="AH174" i="1"/>
  <c r="AI174" i="1"/>
  <c r="AG175" i="1"/>
  <c r="AH175" i="1"/>
  <c r="AI175" i="1"/>
  <c r="AG176" i="1"/>
  <c r="AH176" i="1"/>
  <c r="AI176" i="1"/>
  <c r="AG177" i="1"/>
  <c r="AH177" i="1"/>
  <c r="AI177" i="1"/>
  <c r="AG178" i="1"/>
  <c r="AH178" i="1"/>
  <c r="AI178" i="1"/>
  <c r="AG179" i="1"/>
  <c r="AH179" i="1"/>
  <c r="AI179" i="1"/>
  <c r="AG180" i="1"/>
  <c r="AH180" i="1"/>
  <c r="AI180" i="1"/>
  <c r="AG181" i="1"/>
  <c r="AH181" i="1"/>
  <c r="AI181" i="1"/>
  <c r="AG182" i="1"/>
  <c r="AH182" i="1"/>
  <c r="AI182" i="1"/>
  <c r="AG183" i="1"/>
  <c r="AH183" i="1"/>
  <c r="AI183" i="1"/>
  <c r="AG184" i="1"/>
  <c r="AH184" i="1"/>
  <c r="AI184" i="1"/>
  <c r="AA11" i="1"/>
  <c r="AB11" i="1"/>
  <c r="AC11" i="1"/>
  <c r="AA12" i="1"/>
  <c r="AB12" i="1"/>
  <c r="AC12" i="1"/>
  <c r="AA13" i="1"/>
  <c r="AB13" i="1"/>
  <c r="AC13" i="1"/>
  <c r="AA14" i="1"/>
  <c r="AB14" i="1"/>
  <c r="AC14" i="1"/>
  <c r="AA15" i="1"/>
  <c r="AB15" i="1"/>
  <c r="AC15" i="1"/>
  <c r="AA16" i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34" i="1"/>
  <c r="AB34" i="1"/>
  <c r="AC34" i="1"/>
  <c r="AA35" i="1"/>
  <c r="AB35" i="1"/>
  <c r="AC35" i="1"/>
  <c r="AA36" i="1"/>
  <c r="AB36" i="1"/>
  <c r="AC36" i="1"/>
  <c r="AA37" i="1"/>
  <c r="AB37" i="1"/>
  <c r="AC37" i="1"/>
  <c r="AA38" i="1"/>
  <c r="AB38" i="1"/>
  <c r="AC38" i="1"/>
  <c r="AA39" i="1"/>
  <c r="AB39" i="1"/>
  <c r="AC39" i="1"/>
  <c r="AA40" i="1"/>
  <c r="AB40" i="1"/>
  <c r="AC40" i="1"/>
  <c r="AA41" i="1"/>
  <c r="AB41" i="1"/>
  <c r="AC41" i="1"/>
  <c r="AA42" i="1"/>
  <c r="AB42" i="1"/>
  <c r="AC42" i="1"/>
  <c r="AA43" i="1"/>
  <c r="AB43" i="1"/>
  <c r="AC43" i="1"/>
  <c r="AA44" i="1"/>
  <c r="AB44" i="1"/>
  <c r="AC44" i="1"/>
  <c r="AA45" i="1"/>
  <c r="AB45" i="1"/>
  <c r="AC45" i="1"/>
  <c r="AA46" i="1"/>
  <c r="AB46" i="1"/>
  <c r="AC46" i="1"/>
  <c r="AA47" i="1"/>
  <c r="AB47" i="1"/>
  <c r="AC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A54" i="1"/>
  <c r="AB54" i="1"/>
  <c r="AC54" i="1"/>
  <c r="AA55" i="1"/>
  <c r="AB55" i="1"/>
  <c r="AC55" i="1"/>
  <c r="AA56" i="1"/>
  <c r="AB56" i="1"/>
  <c r="AC56" i="1"/>
  <c r="AA57" i="1"/>
  <c r="AB57" i="1"/>
  <c r="AC57" i="1"/>
  <c r="AA58" i="1"/>
  <c r="AB58" i="1"/>
  <c r="AC58" i="1"/>
  <c r="AA59" i="1"/>
  <c r="AB59" i="1"/>
  <c r="AC59" i="1"/>
  <c r="AA60" i="1"/>
  <c r="AB60" i="1"/>
  <c r="AC60" i="1"/>
  <c r="AA61" i="1"/>
  <c r="AB61" i="1"/>
  <c r="AC61" i="1"/>
  <c r="AA62" i="1"/>
  <c r="AB62" i="1"/>
  <c r="AC62" i="1"/>
  <c r="AA63" i="1"/>
  <c r="AB63" i="1"/>
  <c r="AC63" i="1"/>
  <c r="AA64" i="1"/>
  <c r="AB64" i="1"/>
  <c r="AC64" i="1"/>
  <c r="AA65" i="1"/>
  <c r="AB65" i="1"/>
  <c r="AC65" i="1"/>
  <c r="AA66" i="1"/>
  <c r="AB66" i="1"/>
  <c r="AC66" i="1"/>
  <c r="AA67" i="1"/>
  <c r="AB67" i="1"/>
  <c r="AC67" i="1"/>
  <c r="AA68" i="1"/>
  <c r="AB68" i="1"/>
  <c r="AC68" i="1"/>
  <c r="AA69" i="1"/>
  <c r="AB69" i="1"/>
  <c r="AC69" i="1"/>
  <c r="AA70" i="1"/>
  <c r="AB70" i="1"/>
  <c r="AC70" i="1"/>
  <c r="AA71" i="1"/>
  <c r="AB71" i="1"/>
  <c r="AC71" i="1"/>
  <c r="AA72" i="1"/>
  <c r="AB72" i="1"/>
  <c r="AC72" i="1"/>
  <c r="AA73" i="1"/>
  <c r="AB73" i="1"/>
  <c r="AC73" i="1"/>
  <c r="AA74" i="1"/>
  <c r="AB74" i="1"/>
  <c r="AC74" i="1"/>
  <c r="AA75" i="1"/>
  <c r="AB75" i="1"/>
  <c r="AC75" i="1"/>
  <c r="AA76" i="1"/>
  <c r="AB76" i="1"/>
  <c r="AC76" i="1"/>
  <c r="AA77" i="1"/>
  <c r="AB77" i="1"/>
  <c r="AC77" i="1"/>
  <c r="AA78" i="1"/>
  <c r="AB78" i="1"/>
  <c r="AC78" i="1"/>
  <c r="AA79" i="1"/>
  <c r="AB79" i="1"/>
  <c r="AC79" i="1"/>
  <c r="AA80" i="1"/>
  <c r="AB80" i="1"/>
  <c r="AC80" i="1"/>
  <c r="AA81" i="1"/>
  <c r="AB81" i="1"/>
  <c r="AC81" i="1"/>
  <c r="AA82" i="1"/>
  <c r="AB82" i="1"/>
  <c r="AC82" i="1"/>
  <c r="AA83" i="1"/>
  <c r="AB83" i="1"/>
  <c r="AC83" i="1"/>
  <c r="AA84" i="1"/>
  <c r="AB84" i="1"/>
  <c r="AC84" i="1"/>
  <c r="AA85" i="1"/>
  <c r="AB85" i="1"/>
  <c r="AC85" i="1"/>
  <c r="AA86" i="1"/>
  <c r="AB86" i="1"/>
  <c r="AC86" i="1"/>
  <c r="AA87" i="1"/>
  <c r="AB87" i="1"/>
  <c r="AC87" i="1"/>
  <c r="AA88" i="1"/>
  <c r="AB88" i="1"/>
  <c r="AC88" i="1"/>
  <c r="AA89" i="1"/>
  <c r="AB89" i="1"/>
  <c r="AC89" i="1"/>
  <c r="AA90" i="1"/>
  <c r="AB90" i="1"/>
  <c r="AC90" i="1"/>
  <c r="AA91" i="1"/>
  <c r="AB91" i="1"/>
  <c r="AC91" i="1"/>
  <c r="AA92" i="1"/>
  <c r="AB92" i="1"/>
  <c r="AC92" i="1"/>
  <c r="AA93" i="1"/>
  <c r="AB93" i="1"/>
  <c r="AC93" i="1"/>
  <c r="AA94" i="1"/>
  <c r="AB94" i="1"/>
  <c r="AC94" i="1"/>
  <c r="AA95" i="1"/>
  <c r="AB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AA111" i="1"/>
  <c r="AB111" i="1"/>
  <c r="AC111" i="1"/>
  <c r="AA112" i="1"/>
  <c r="AB112" i="1"/>
  <c r="AC112" i="1"/>
  <c r="AA113" i="1"/>
  <c r="AB113" i="1"/>
  <c r="AC113" i="1"/>
  <c r="AA114" i="1"/>
  <c r="AB114" i="1"/>
  <c r="AC114" i="1"/>
  <c r="AA115" i="1"/>
  <c r="AB115" i="1"/>
  <c r="AC115" i="1"/>
  <c r="AA116" i="1"/>
  <c r="AB116" i="1"/>
  <c r="AC116" i="1"/>
  <c r="AA117" i="1"/>
  <c r="AB117" i="1"/>
  <c r="AC117" i="1"/>
  <c r="AA118" i="1"/>
  <c r="AB118" i="1"/>
  <c r="AC118" i="1"/>
  <c r="AA119" i="1"/>
  <c r="AB119" i="1"/>
  <c r="AC119" i="1"/>
  <c r="AA120" i="1"/>
  <c r="AB120" i="1"/>
  <c r="AC120" i="1"/>
  <c r="AA121" i="1"/>
  <c r="AB121" i="1"/>
  <c r="AC121" i="1"/>
  <c r="AA122" i="1"/>
  <c r="AB122" i="1"/>
  <c r="AC122" i="1"/>
  <c r="AA123" i="1"/>
  <c r="AB123" i="1"/>
  <c r="AC123" i="1"/>
  <c r="AA124" i="1"/>
  <c r="AB124" i="1"/>
  <c r="AC124" i="1"/>
  <c r="AA125" i="1"/>
  <c r="AB125" i="1"/>
  <c r="AC125" i="1"/>
  <c r="AA126" i="1"/>
  <c r="AB126" i="1"/>
  <c r="AC126" i="1"/>
  <c r="AA127" i="1"/>
  <c r="AB127" i="1"/>
  <c r="AC127" i="1"/>
  <c r="AA128" i="1"/>
  <c r="AB128" i="1"/>
  <c r="AC128" i="1"/>
  <c r="AA129" i="1"/>
  <c r="AB129" i="1"/>
  <c r="AC129" i="1"/>
  <c r="AA130" i="1"/>
  <c r="AB130" i="1"/>
  <c r="AC130" i="1"/>
  <c r="AA131" i="1"/>
  <c r="AB131" i="1"/>
  <c r="AC131" i="1"/>
  <c r="AA132" i="1"/>
  <c r="AB132" i="1"/>
  <c r="AC132" i="1"/>
  <c r="AA133" i="1"/>
  <c r="AB133" i="1"/>
  <c r="AC133" i="1"/>
  <c r="AA134" i="1"/>
  <c r="AB134" i="1"/>
  <c r="AC134" i="1"/>
  <c r="AA135" i="1"/>
  <c r="AB135" i="1"/>
  <c r="AC135" i="1"/>
  <c r="AA136" i="1"/>
  <c r="AB136" i="1"/>
  <c r="AC136" i="1"/>
  <c r="AA137" i="1"/>
  <c r="AB137" i="1"/>
  <c r="AC137" i="1"/>
  <c r="AA138" i="1"/>
  <c r="AB138" i="1"/>
  <c r="AC138" i="1"/>
  <c r="AA139" i="1"/>
  <c r="AB139" i="1"/>
  <c r="AC139" i="1"/>
  <c r="AA140" i="1"/>
  <c r="AB140" i="1"/>
  <c r="AC140" i="1"/>
  <c r="AA141" i="1"/>
  <c r="AB141" i="1"/>
  <c r="AC141" i="1"/>
  <c r="AA142" i="1"/>
  <c r="AB142" i="1"/>
  <c r="AC142" i="1"/>
  <c r="AA143" i="1"/>
  <c r="AB143" i="1"/>
  <c r="AC143" i="1"/>
  <c r="AA144" i="1"/>
  <c r="AB144" i="1"/>
  <c r="AC144" i="1"/>
  <c r="AA145" i="1"/>
  <c r="AB145" i="1"/>
  <c r="AC145" i="1"/>
  <c r="AA146" i="1"/>
  <c r="AB146" i="1"/>
  <c r="AC146" i="1"/>
  <c r="AA147" i="1"/>
  <c r="AB147" i="1"/>
  <c r="AC147" i="1"/>
  <c r="AA148" i="1"/>
  <c r="AB148" i="1"/>
  <c r="AC148" i="1"/>
  <c r="AA149" i="1"/>
  <c r="AB149" i="1"/>
  <c r="AC149" i="1"/>
  <c r="AA150" i="1"/>
  <c r="AB150" i="1"/>
  <c r="AC150" i="1"/>
  <c r="AA151" i="1"/>
  <c r="AB151" i="1"/>
  <c r="AC151" i="1"/>
  <c r="AA152" i="1"/>
  <c r="AB152" i="1"/>
  <c r="AC152" i="1"/>
  <c r="AA153" i="1"/>
  <c r="AB153" i="1"/>
  <c r="AC153" i="1"/>
  <c r="AA154" i="1"/>
  <c r="AB154" i="1"/>
  <c r="AC154" i="1"/>
  <c r="AA155" i="1"/>
  <c r="AB155" i="1"/>
  <c r="AC155" i="1"/>
  <c r="AA156" i="1"/>
  <c r="AB156" i="1"/>
  <c r="AC156" i="1"/>
  <c r="AA157" i="1"/>
  <c r="AB157" i="1"/>
  <c r="AC157" i="1"/>
  <c r="AA158" i="1"/>
  <c r="AB158" i="1"/>
  <c r="AC158" i="1"/>
  <c r="AA159" i="1"/>
  <c r="AB159" i="1"/>
  <c r="AC159" i="1"/>
  <c r="AA160" i="1"/>
  <c r="AB160" i="1"/>
  <c r="AC160" i="1"/>
  <c r="AA161" i="1"/>
  <c r="AB161" i="1"/>
  <c r="AC161" i="1"/>
  <c r="AA162" i="1"/>
  <c r="AB162" i="1"/>
  <c r="AC162" i="1"/>
  <c r="AA163" i="1"/>
  <c r="AB163" i="1"/>
  <c r="AC163" i="1"/>
  <c r="AA164" i="1"/>
  <c r="AB164" i="1"/>
  <c r="AC164" i="1"/>
  <c r="AA165" i="1"/>
  <c r="AB165" i="1"/>
  <c r="AC165" i="1"/>
  <c r="AA166" i="1"/>
  <c r="AB166" i="1"/>
  <c r="AC166" i="1"/>
  <c r="AA167" i="1"/>
  <c r="AB167" i="1"/>
  <c r="AC167" i="1"/>
  <c r="AA168" i="1"/>
  <c r="AB168" i="1"/>
  <c r="AC168" i="1"/>
  <c r="AA169" i="1"/>
  <c r="AB169" i="1"/>
  <c r="AC169" i="1"/>
  <c r="AA170" i="1"/>
  <c r="AB170" i="1"/>
  <c r="AC170" i="1"/>
  <c r="AA171" i="1"/>
  <c r="AB171" i="1"/>
  <c r="AC171" i="1"/>
  <c r="AA172" i="1"/>
  <c r="AB172" i="1"/>
  <c r="AC172" i="1"/>
  <c r="AA173" i="1"/>
  <c r="AB173" i="1"/>
  <c r="AC173" i="1"/>
  <c r="AA174" i="1"/>
  <c r="AB174" i="1"/>
  <c r="AC174" i="1"/>
  <c r="AA175" i="1"/>
  <c r="AB175" i="1"/>
  <c r="AC175" i="1"/>
  <c r="AA176" i="1"/>
  <c r="AB176" i="1"/>
  <c r="AC176" i="1"/>
  <c r="AA177" i="1"/>
  <c r="AB177" i="1"/>
  <c r="AC177" i="1"/>
  <c r="AA178" i="1"/>
  <c r="AB178" i="1"/>
  <c r="AC178" i="1"/>
  <c r="AA179" i="1"/>
  <c r="AB179" i="1"/>
  <c r="AC179" i="1"/>
  <c r="AA180" i="1"/>
  <c r="AB180" i="1"/>
  <c r="AC180" i="1"/>
  <c r="AA181" i="1"/>
  <c r="AB181" i="1"/>
  <c r="AC181" i="1"/>
  <c r="AA182" i="1"/>
  <c r="AB182" i="1"/>
  <c r="AC182" i="1"/>
  <c r="AA183" i="1"/>
  <c r="AB183" i="1"/>
  <c r="AC183" i="1"/>
  <c r="AA184" i="1"/>
  <c r="AB184" i="1"/>
  <c r="AC184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X26" i="1" s="1"/>
  <c r="U27" i="1"/>
  <c r="V27" i="1"/>
  <c r="W27" i="1"/>
  <c r="X27" i="1" s="1"/>
  <c r="U28" i="1"/>
  <c r="V28" i="1"/>
  <c r="W28" i="1"/>
  <c r="U29" i="1"/>
  <c r="V29" i="1"/>
  <c r="W29" i="1"/>
  <c r="X29" i="1" s="1"/>
  <c r="U30" i="1"/>
  <c r="V30" i="1"/>
  <c r="W30" i="1"/>
  <c r="X30" i="1" s="1"/>
  <c r="U31" i="1"/>
  <c r="V31" i="1"/>
  <c r="W31" i="1"/>
  <c r="U32" i="1"/>
  <c r="V32" i="1"/>
  <c r="W32" i="1"/>
  <c r="U33" i="1"/>
  <c r="V33" i="1"/>
  <c r="W33" i="1"/>
  <c r="X33" i="1" s="1"/>
  <c r="U34" i="1"/>
  <c r="V34" i="1"/>
  <c r="W34" i="1"/>
  <c r="X34" i="1" s="1"/>
  <c r="U35" i="1"/>
  <c r="V35" i="1"/>
  <c r="W35" i="1"/>
  <c r="X35" i="1" s="1"/>
  <c r="U36" i="1"/>
  <c r="V36" i="1"/>
  <c r="W36" i="1"/>
  <c r="U37" i="1"/>
  <c r="V37" i="1"/>
  <c r="W37" i="1"/>
  <c r="X37" i="1" s="1"/>
  <c r="U38" i="1"/>
  <c r="V38" i="1"/>
  <c r="W38" i="1"/>
  <c r="X38" i="1" s="1"/>
  <c r="U39" i="1"/>
  <c r="V39" i="1"/>
  <c r="W39" i="1"/>
  <c r="X39" i="1" s="1"/>
  <c r="U40" i="1"/>
  <c r="V40" i="1"/>
  <c r="W40" i="1"/>
  <c r="U41" i="1"/>
  <c r="V41" i="1"/>
  <c r="W41" i="1"/>
  <c r="X41" i="1" s="1"/>
  <c r="U42" i="1"/>
  <c r="V42" i="1"/>
  <c r="W42" i="1"/>
  <c r="X42" i="1" s="1"/>
  <c r="U43" i="1"/>
  <c r="V43" i="1"/>
  <c r="W43" i="1"/>
  <c r="X43" i="1" s="1"/>
  <c r="U44" i="1"/>
  <c r="V44" i="1"/>
  <c r="W44" i="1"/>
  <c r="U45" i="1"/>
  <c r="V45" i="1"/>
  <c r="W45" i="1"/>
  <c r="X45" i="1" s="1"/>
  <c r="U46" i="1"/>
  <c r="V46" i="1"/>
  <c r="W46" i="1"/>
  <c r="X46" i="1" s="1"/>
  <c r="U47" i="1"/>
  <c r="V47" i="1"/>
  <c r="W47" i="1"/>
  <c r="X47" i="1" s="1"/>
  <c r="U48" i="1"/>
  <c r="V48" i="1"/>
  <c r="W48" i="1"/>
  <c r="U49" i="1"/>
  <c r="V49" i="1"/>
  <c r="W49" i="1"/>
  <c r="X49" i="1" s="1"/>
  <c r="U50" i="1"/>
  <c r="V50" i="1"/>
  <c r="W50" i="1"/>
  <c r="X50" i="1" s="1"/>
  <c r="U51" i="1"/>
  <c r="V51" i="1"/>
  <c r="W51" i="1"/>
  <c r="X51" i="1" s="1"/>
  <c r="U52" i="1"/>
  <c r="V52" i="1"/>
  <c r="W52" i="1"/>
  <c r="U53" i="1"/>
  <c r="V53" i="1"/>
  <c r="W53" i="1"/>
  <c r="X53" i="1" s="1"/>
  <c r="U54" i="1"/>
  <c r="V54" i="1"/>
  <c r="W54" i="1"/>
  <c r="X54" i="1" s="1"/>
  <c r="U55" i="1"/>
  <c r="V55" i="1"/>
  <c r="W55" i="1"/>
  <c r="X55" i="1" s="1"/>
  <c r="U56" i="1"/>
  <c r="V56" i="1"/>
  <c r="W56" i="1"/>
  <c r="U57" i="1"/>
  <c r="V57" i="1"/>
  <c r="W57" i="1"/>
  <c r="X57" i="1" s="1"/>
  <c r="U58" i="1"/>
  <c r="V58" i="1"/>
  <c r="W58" i="1"/>
  <c r="X58" i="1" s="1"/>
  <c r="U59" i="1"/>
  <c r="V59" i="1"/>
  <c r="W59" i="1"/>
  <c r="X59" i="1" s="1"/>
  <c r="U60" i="1"/>
  <c r="V60" i="1"/>
  <c r="W60" i="1"/>
  <c r="U61" i="1"/>
  <c r="V61" i="1"/>
  <c r="W61" i="1"/>
  <c r="X61" i="1" s="1"/>
  <c r="U62" i="1"/>
  <c r="V62" i="1"/>
  <c r="W62" i="1"/>
  <c r="X62" i="1" s="1"/>
  <c r="U63" i="1"/>
  <c r="V63" i="1"/>
  <c r="W63" i="1"/>
  <c r="X63" i="1" s="1"/>
  <c r="U64" i="1"/>
  <c r="V64" i="1"/>
  <c r="W64" i="1"/>
  <c r="U65" i="1"/>
  <c r="V65" i="1"/>
  <c r="W65" i="1"/>
  <c r="X65" i="1" s="1"/>
  <c r="U66" i="1"/>
  <c r="V66" i="1"/>
  <c r="W66" i="1"/>
  <c r="X66" i="1" s="1"/>
  <c r="U67" i="1"/>
  <c r="V67" i="1"/>
  <c r="W67" i="1"/>
  <c r="X67" i="1" s="1"/>
  <c r="U68" i="1"/>
  <c r="V68" i="1"/>
  <c r="W68" i="1"/>
  <c r="U69" i="1"/>
  <c r="V69" i="1"/>
  <c r="W69" i="1"/>
  <c r="X69" i="1" s="1"/>
  <c r="U70" i="1"/>
  <c r="V70" i="1"/>
  <c r="W70" i="1"/>
  <c r="X70" i="1" s="1"/>
  <c r="U71" i="1"/>
  <c r="V71" i="1"/>
  <c r="W71" i="1"/>
  <c r="X71" i="1" s="1"/>
  <c r="U72" i="1"/>
  <c r="V72" i="1"/>
  <c r="W72" i="1"/>
  <c r="U73" i="1"/>
  <c r="V73" i="1"/>
  <c r="W73" i="1"/>
  <c r="X73" i="1" s="1"/>
  <c r="U74" i="1"/>
  <c r="V74" i="1"/>
  <c r="W74" i="1"/>
  <c r="U75" i="1"/>
  <c r="V75" i="1"/>
  <c r="W75" i="1"/>
  <c r="X75" i="1" s="1"/>
  <c r="U76" i="1"/>
  <c r="V76" i="1"/>
  <c r="W76" i="1"/>
  <c r="U77" i="1"/>
  <c r="V77" i="1"/>
  <c r="W77" i="1"/>
  <c r="X77" i="1" s="1"/>
  <c r="U78" i="1"/>
  <c r="V78" i="1"/>
  <c r="W78" i="1"/>
  <c r="X78" i="1" s="1"/>
  <c r="U79" i="1"/>
  <c r="V79" i="1"/>
  <c r="W79" i="1"/>
  <c r="X79" i="1" s="1"/>
  <c r="U80" i="1"/>
  <c r="V80" i="1"/>
  <c r="W80" i="1"/>
  <c r="U81" i="1"/>
  <c r="V81" i="1"/>
  <c r="W81" i="1"/>
  <c r="X81" i="1" s="1"/>
  <c r="U82" i="1"/>
  <c r="V82" i="1"/>
  <c r="W82" i="1"/>
  <c r="X82" i="1" s="1"/>
  <c r="U83" i="1"/>
  <c r="V83" i="1"/>
  <c r="W83" i="1"/>
  <c r="X83" i="1" s="1"/>
  <c r="U84" i="1"/>
  <c r="V84" i="1"/>
  <c r="W84" i="1"/>
  <c r="U85" i="1"/>
  <c r="V85" i="1"/>
  <c r="W85" i="1"/>
  <c r="X85" i="1" s="1"/>
  <c r="U86" i="1"/>
  <c r="V86" i="1"/>
  <c r="W86" i="1"/>
  <c r="X86" i="1" s="1"/>
  <c r="U87" i="1"/>
  <c r="V87" i="1"/>
  <c r="W87" i="1"/>
  <c r="X87" i="1" s="1"/>
  <c r="U88" i="1"/>
  <c r="V88" i="1"/>
  <c r="W88" i="1"/>
  <c r="U89" i="1"/>
  <c r="V89" i="1"/>
  <c r="W89" i="1"/>
  <c r="X89" i="1" s="1"/>
  <c r="U90" i="1"/>
  <c r="V90" i="1"/>
  <c r="W90" i="1"/>
  <c r="X90" i="1" s="1"/>
  <c r="U91" i="1"/>
  <c r="V91" i="1"/>
  <c r="W91" i="1"/>
  <c r="X91" i="1" s="1"/>
  <c r="U92" i="1"/>
  <c r="V92" i="1"/>
  <c r="W92" i="1"/>
  <c r="U93" i="1"/>
  <c r="V93" i="1"/>
  <c r="W93" i="1"/>
  <c r="X93" i="1" s="1"/>
  <c r="U94" i="1"/>
  <c r="V94" i="1"/>
  <c r="W94" i="1"/>
  <c r="X94" i="1" s="1"/>
  <c r="U95" i="1"/>
  <c r="V95" i="1"/>
  <c r="W95" i="1"/>
  <c r="X95" i="1" s="1"/>
  <c r="U96" i="1"/>
  <c r="V96" i="1"/>
  <c r="W96" i="1"/>
  <c r="U97" i="1"/>
  <c r="V97" i="1"/>
  <c r="W97" i="1"/>
  <c r="X97" i="1" s="1"/>
  <c r="U98" i="1"/>
  <c r="V98" i="1"/>
  <c r="W98" i="1"/>
  <c r="X98" i="1" s="1"/>
  <c r="U99" i="1"/>
  <c r="V99" i="1"/>
  <c r="W99" i="1"/>
  <c r="X99" i="1" s="1"/>
  <c r="U100" i="1"/>
  <c r="V100" i="1"/>
  <c r="W100" i="1"/>
  <c r="U101" i="1"/>
  <c r="V101" i="1"/>
  <c r="W101" i="1"/>
  <c r="X101" i="1" s="1"/>
  <c r="U102" i="1"/>
  <c r="V102" i="1"/>
  <c r="W102" i="1"/>
  <c r="X102" i="1" s="1"/>
  <c r="U103" i="1"/>
  <c r="V103" i="1"/>
  <c r="W103" i="1"/>
  <c r="X103" i="1" s="1"/>
  <c r="U104" i="1"/>
  <c r="V104" i="1"/>
  <c r="W104" i="1"/>
  <c r="U105" i="1"/>
  <c r="V105" i="1"/>
  <c r="W105" i="1"/>
  <c r="X105" i="1" s="1"/>
  <c r="U106" i="1"/>
  <c r="V106" i="1"/>
  <c r="W106" i="1"/>
  <c r="X106" i="1" s="1"/>
  <c r="U107" i="1"/>
  <c r="V107" i="1"/>
  <c r="W107" i="1"/>
  <c r="X107" i="1"/>
  <c r="U108" i="1"/>
  <c r="V108" i="1"/>
  <c r="W108" i="1"/>
  <c r="X108" i="1"/>
  <c r="U109" i="1"/>
  <c r="V109" i="1"/>
  <c r="W109" i="1"/>
  <c r="X109" i="1"/>
  <c r="U110" i="1"/>
  <c r="V110" i="1"/>
  <c r="W110" i="1"/>
  <c r="X110" i="1"/>
  <c r="U111" i="1"/>
  <c r="V111" i="1"/>
  <c r="W111" i="1"/>
  <c r="X111" i="1"/>
  <c r="U112" i="1"/>
  <c r="V112" i="1"/>
  <c r="W112" i="1"/>
  <c r="X112" i="1"/>
  <c r="U113" i="1"/>
  <c r="V113" i="1"/>
  <c r="W113" i="1"/>
  <c r="X113" i="1"/>
  <c r="U114" i="1"/>
  <c r="V114" i="1"/>
  <c r="W114" i="1"/>
  <c r="X114" i="1"/>
  <c r="U115" i="1"/>
  <c r="V115" i="1"/>
  <c r="W115" i="1"/>
  <c r="X115" i="1"/>
  <c r="U116" i="1"/>
  <c r="V116" i="1"/>
  <c r="W116" i="1"/>
  <c r="X116" i="1"/>
  <c r="U117" i="1"/>
  <c r="V117" i="1"/>
  <c r="W117" i="1"/>
  <c r="X117" i="1"/>
  <c r="U118" i="1"/>
  <c r="V118" i="1"/>
  <c r="W118" i="1"/>
  <c r="X118" i="1"/>
  <c r="U119" i="1"/>
  <c r="V119" i="1"/>
  <c r="W119" i="1"/>
  <c r="X119" i="1"/>
  <c r="U120" i="1"/>
  <c r="V120" i="1"/>
  <c r="W120" i="1"/>
  <c r="X120" i="1"/>
  <c r="U121" i="1"/>
  <c r="V121" i="1"/>
  <c r="W121" i="1"/>
  <c r="X121" i="1"/>
  <c r="U122" i="1"/>
  <c r="V122" i="1"/>
  <c r="W122" i="1"/>
  <c r="X122" i="1"/>
  <c r="U123" i="1"/>
  <c r="V123" i="1"/>
  <c r="W123" i="1"/>
  <c r="X123" i="1"/>
  <c r="U124" i="1"/>
  <c r="V124" i="1"/>
  <c r="W124" i="1"/>
  <c r="X124" i="1"/>
  <c r="U125" i="1"/>
  <c r="V125" i="1"/>
  <c r="W125" i="1"/>
  <c r="X125" i="1"/>
  <c r="U126" i="1"/>
  <c r="V126" i="1"/>
  <c r="W126" i="1"/>
  <c r="X126" i="1"/>
  <c r="U127" i="1"/>
  <c r="V127" i="1"/>
  <c r="W127" i="1"/>
  <c r="X127" i="1"/>
  <c r="U128" i="1"/>
  <c r="V128" i="1"/>
  <c r="W128" i="1"/>
  <c r="X128" i="1"/>
  <c r="U129" i="1"/>
  <c r="V129" i="1"/>
  <c r="W129" i="1"/>
  <c r="X129" i="1"/>
  <c r="U130" i="1"/>
  <c r="V130" i="1"/>
  <c r="W130" i="1"/>
  <c r="X130" i="1"/>
  <c r="U131" i="1"/>
  <c r="V131" i="1"/>
  <c r="W131" i="1"/>
  <c r="X131" i="1"/>
  <c r="U132" i="1"/>
  <c r="V132" i="1"/>
  <c r="W132" i="1"/>
  <c r="X132" i="1"/>
  <c r="U133" i="1"/>
  <c r="V133" i="1"/>
  <c r="W133" i="1"/>
  <c r="X133" i="1"/>
  <c r="U134" i="1"/>
  <c r="V134" i="1"/>
  <c r="W134" i="1"/>
  <c r="X134" i="1"/>
  <c r="U135" i="1"/>
  <c r="V135" i="1"/>
  <c r="W135" i="1"/>
  <c r="X135" i="1"/>
  <c r="U136" i="1"/>
  <c r="V136" i="1"/>
  <c r="W136" i="1"/>
  <c r="X136" i="1"/>
  <c r="U137" i="1"/>
  <c r="V137" i="1"/>
  <c r="W137" i="1"/>
  <c r="X137" i="1"/>
  <c r="U138" i="1"/>
  <c r="V138" i="1"/>
  <c r="W138" i="1"/>
  <c r="X138" i="1"/>
  <c r="U139" i="1"/>
  <c r="V139" i="1"/>
  <c r="W139" i="1"/>
  <c r="X139" i="1"/>
  <c r="U140" i="1"/>
  <c r="V140" i="1"/>
  <c r="W140" i="1"/>
  <c r="X140" i="1"/>
  <c r="U141" i="1"/>
  <c r="V141" i="1"/>
  <c r="W141" i="1"/>
  <c r="X141" i="1"/>
  <c r="U142" i="1"/>
  <c r="V142" i="1"/>
  <c r="W142" i="1"/>
  <c r="X142" i="1"/>
  <c r="U143" i="1"/>
  <c r="V143" i="1"/>
  <c r="W143" i="1"/>
  <c r="X143" i="1"/>
  <c r="U144" i="1"/>
  <c r="V144" i="1"/>
  <c r="W144" i="1"/>
  <c r="X144" i="1"/>
  <c r="U145" i="1"/>
  <c r="V145" i="1"/>
  <c r="W145" i="1"/>
  <c r="X145" i="1"/>
  <c r="U146" i="1"/>
  <c r="V146" i="1"/>
  <c r="W146" i="1"/>
  <c r="X146" i="1"/>
  <c r="U147" i="1"/>
  <c r="V147" i="1"/>
  <c r="W147" i="1"/>
  <c r="X147" i="1"/>
  <c r="U148" i="1"/>
  <c r="V148" i="1"/>
  <c r="W148" i="1"/>
  <c r="X148" i="1"/>
  <c r="U149" i="1"/>
  <c r="V149" i="1"/>
  <c r="W149" i="1"/>
  <c r="X149" i="1"/>
  <c r="U150" i="1"/>
  <c r="V150" i="1"/>
  <c r="W150" i="1"/>
  <c r="X150" i="1"/>
  <c r="U151" i="1"/>
  <c r="V151" i="1"/>
  <c r="W151" i="1"/>
  <c r="X151" i="1"/>
  <c r="U152" i="1"/>
  <c r="V152" i="1"/>
  <c r="W152" i="1"/>
  <c r="X152" i="1"/>
  <c r="U153" i="1"/>
  <c r="V153" i="1"/>
  <c r="W153" i="1"/>
  <c r="X153" i="1"/>
  <c r="U154" i="1"/>
  <c r="V154" i="1"/>
  <c r="W154" i="1"/>
  <c r="X154" i="1"/>
  <c r="U155" i="1"/>
  <c r="V155" i="1"/>
  <c r="W155" i="1"/>
  <c r="X155" i="1"/>
  <c r="U156" i="1"/>
  <c r="V156" i="1"/>
  <c r="W156" i="1"/>
  <c r="X156" i="1"/>
  <c r="U157" i="1"/>
  <c r="V157" i="1"/>
  <c r="W157" i="1"/>
  <c r="X157" i="1"/>
  <c r="U158" i="1"/>
  <c r="V158" i="1"/>
  <c r="W158" i="1"/>
  <c r="X158" i="1"/>
  <c r="U159" i="1"/>
  <c r="V159" i="1"/>
  <c r="W159" i="1"/>
  <c r="X159" i="1"/>
  <c r="U160" i="1"/>
  <c r="V160" i="1"/>
  <c r="W160" i="1"/>
  <c r="X160" i="1"/>
  <c r="U161" i="1"/>
  <c r="V161" i="1"/>
  <c r="W161" i="1"/>
  <c r="X161" i="1"/>
  <c r="U162" i="1"/>
  <c r="V162" i="1"/>
  <c r="W162" i="1"/>
  <c r="X162" i="1"/>
  <c r="U163" i="1"/>
  <c r="V163" i="1"/>
  <c r="W163" i="1"/>
  <c r="X163" i="1"/>
  <c r="U164" i="1"/>
  <c r="V164" i="1"/>
  <c r="W164" i="1"/>
  <c r="X164" i="1"/>
  <c r="U165" i="1"/>
  <c r="V165" i="1"/>
  <c r="W165" i="1"/>
  <c r="X165" i="1"/>
  <c r="U166" i="1"/>
  <c r="V166" i="1"/>
  <c r="W166" i="1"/>
  <c r="X166" i="1"/>
  <c r="U167" i="1"/>
  <c r="V167" i="1"/>
  <c r="W167" i="1"/>
  <c r="X167" i="1"/>
  <c r="U168" i="1"/>
  <c r="V168" i="1"/>
  <c r="W168" i="1"/>
  <c r="X168" i="1"/>
  <c r="U169" i="1"/>
  <c r="V169" i="1"/>
  <c r="W169" i="1"/>
  <c r="X169" i="1"/>
  <c r="U170" i="1"/>
  <c r="V170" i="1"/>
  <c r="W170" i="1"/>
  <c r="X170" i="1"/>
  <c r="U171" i="1"/>
  <c r="V171" i="1"/>
  <c r="W171" i="1"/>
  <c r="X171" i="1"/>
  <c r="U172" i="1"/>
  <c r="V172" i="1"/>
  <c r="W172" i="1"/>
  <c r="X172" i="1"/>
  <c r="U173" i="1"/>
  <c r="V173" i="1"/>
  <c r="W173" i="1"/>
  <c r="X173" i="1"/>
  <c r="U174" i="1"/>
  <c r="V174" i="1"/>
  <c r="W174" i="1"/>
  <c r="X174" i="1"/>
  <c r="U175" i="1"/>
  <c r="V175" i="1"/>
  <c r="W175" i="1"/>
  <c r="X175" i="1"/>
  <c r="U176" i="1"/>
  <c r="V176" i="1"/>
  <c r="W176" i="1"/>
  <c r="X176" i="1"/>
  <c r="U177" i="1"/>
  <c r="V177" i="1"/>
  <c r="W177" i="1"/>
  <c r="X177" i="1"/>
  <c r="U178" i="1"/>
  <c r="V178" i="1"/>
  <c r="W178" i="1"/>
  <c r="X178" i="1"/>
  <c r="U179" i="1"/>
  <c r="V179" i="1"/>
  <c r="W179" i="1"/>
  <c r="X179" i="1"/>
  <c r="U180" i="1"/>
  <c r="V180" i="1"/>
  <c r="W180" i="1"/>
  <c r="X180" i="1"/>
  <c r="U181" i="1"/>
  <c r="V181" i="1"/>
  <c r="W181" i="1"/>
  <c r="X181" i="1"/>
  <c r="U182" i="1"/>
  <c r="V182" i="1"/>
  <c r="W182" i="1"/>
  <c r="X182" i="1"/>
  <c r="U183" i="1"/>
  <c r="V183" i="1"/>
  <c r="W183" i="1"/>
  <c r="X183" i="1"/>
  <c r="U184" i="1"/>
  <c r="V184" i="1"/>
  <c r="W184" i="1"/>
  <c r="X184" i="1"/>
  <c r="O11" i="1"/>
  <c r="P11" i="1"/>
  <c r="Q11" i="1"/>
  <c r="O12" i="1"/>
  <c r="P12" i="1"/>
  <c r="Q12" i="1"/>
  <c r="O13" i="1"/>
  <c r="P13" i="1"/>
  <c r="Q13" i="1"/>
  <c r="O14" i="1"/>
  <c r="P14" i="1"/>
  <c r="Q14" i="1"/>
  <c r="R14" i="1" s="1"/>
  <c r="O15" i="1"/>
  <c r="P15" i="1"/>
  <c r="Q15" i="1"/>
  <c r="O16" i="1"/>
  <c r="P16" i="1"/>
  <c r="Q16" i="1"/>
  <c r="O17" i="1"/>
  <c r="P17" i="1"/>
  <c r="Q17" i="1"/>
  <c r="O18" i="1"/>
  <c r="P18" i="1"/>
  <c r="Q18" i="1"/>
  <c r="R18" i="1" s="1"/>
  <c r="O19" i="1"/>
  <c r="P19" i="1"/>
  <c r="Q19" i="1"/>
  <c r="O20" i="1"/>
  <c r="P20" i="1"/>
  <c r="Q20" i="1"/>
  <c r="O21" i="1"/>
  <c r="P21" i="1"/>
  <c r="Q21" i="1"/>
  <c r="O22" i="1"/>
  <c r="P22" i="1"/>
  <c r="Q22" i="1"/>
  <c r="R22" i="1" s="1"/>
  <c r="O23" i="1"/>
  <c r="P23" i="1"/>
  <c r="Q23" i="1"/>
  <c r="O24" i="1"/>
  <c r="P24" i="1"/>
  <c r="Q24" i="1"/>
  <c r="O25" i="1"/>
  <c r="P25" i="1"/>
  <c r="Q25" i="1"/>
  <c r="O26" i="1"/>
  <c r="P26" i="1"/>
  <c r="Q26" i="1"/>
  <c r="R26" i="1" s="1"/>
  <c r="O27" i="1"/>
  <c r="P27" i="1"/>
  <c r="Q27" i="1"/>
  <c r="O28" i="1"/>
  <c r="P28" i="1"/>
  <c r="Q28" i="1"/>
  <c r="O29" i="1"/>
  <c r="P29" i="1"/>
  <c r="Q29" i="1"/>
  <c r="O30" i="1"/>
  <c r="P30" i="1"/>
  <c r="Q30" i="1"/>
  <c r="R30" i="1" s="1"/>
  <c r="O31" i="1"/>
  <c r="P31" i="1"/>
  <c r="Q31" i="1"/>
  <c r="O32" i="1"/>
  <c r="P32" i="1"/>
  <c r="Q32" i="1"/>
  <c r="O33" i="1"/>
  <c r="P33" i="1"/>
  <c r="Q33" i="1"/>
  <c r="O34" i="1"/>
  <c r="P34" i="1"/>
  <c r="Q34" i="1"/>
  <c r="R34" i="1" s="1"/>
  <c r="O35" i="1"/>
  <c r="P35" i="1"/>
  <c r="Q35" i="1"/>
  <c r="O36" i="1"/>
  <c r="P36" i="1"/>
  <c r="Q36" i="1"/>
  <c r="O37" i="1"/>
  <c r="P37" i="1"/>
  <c r="Q37" i="1"/>
  <c r="O38" i="1"/>
  <c r="P38" i="1"/>
  <c r="Q38" i="1"/>
  <c r="R38" i="1" s="1"/>
  <c r="O39" i="1"/>
  <c r="P39" i="1"/>
  <c r="Q39" i="1"/>
  <c r="O40" i="1"/>
  <c r="P40" i="1"/>
  <c r="Q40" i="1"/>
  <c r="O41" i="1"/>
  <c r="P41" i="1"/>
  <c r="Q41" i="1"/>
  <c r="O42" i="1"/>
  <c r="P42" i="1"/>
  <c r="Q42" i="1"/>
  <c r="R42" i="1" s="1"/>
  <c r="O43" i="1"/>
  <c r="P43" i="1"/>
  <c r="Q43" i="1"/>
  <c r="O44" i="1"/>
  <c r="P44" i="1"/>
  <c r="Q44" i="1"/>
  <c r="O45" i="1"/>
  <c r="P45" i="1"/>
  <c r="Q45" i="1"/>
  <c r="O46" i="1"/>
  <c r="P46" i="1"/>
  <c r="Q46" i="1"/>
  <c r="O47" i="1"/>
  <c r="P47" i="1"/>
  <c r="Q47" i="1"/>
  <c r="O48" i="1"/>
  <c r="P48" i="1"/>
  <c r="Q48" i="1"/>
  <c r="O49" i="1"/>
  <c r="P49" i="1"/>
  <c r="Q49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P55" i="1"/>
  <c r="Q55" i="1"/>
  <c r="O56" i="1"/>
  <c r="P56" i="1"/>
  <c r="Q56" i="1"/>
  <c r="O57" i="1"/>
  <c r="P57" i="1"/>
  <c r="Q57" i="1"/>
  <c r="O58" i="1"/>
  <c r="P58" i="1"/>
  <c r="Q58" i="1"/>
  <c r="O59" i="1"/>
  <c r="P59" i="1"/>
  <c r="Q59" i="1"/>
  <c r="O60" i="1"/>
  <c r="P60" i="1"/>
  <c r="Q60" i="1"/>
  <c r="O61" i="1"/>
  <c r="P61" i="1"/>
  <c r="Q61" i="1"/>
  <c r="O62" i="1"/>
  <c r="P62" i="1"/>
  <c r="Q62" i="1"/>
  <c r="O63" i="1"/>
  <c r="P63" i="1"/>
  <c r="Q63" i="1"/>
  <c r="O64" i="1"/>
  <c r="P64" i="1"/>
  <c r="Q64" i="1"/>
  <c r="O65" i="1"/>
  <c r="P65" i="1"/>
  <c r="Q65" i="1"/>
  <c r="O66" i="1"/>
  <c r="P66" i="1"/>
  <c r="Q66" i="1"/>
  <c r="O67" i="1"/>
  <c r="P67" i="1"/>
  <c r="Q67" i="1"/>
  <c r="O68" i="1"/>
  <c r="P68" i="1"/>
  <c r="Q68" i="1"/>
  <c r="O69" i="1"/>
  <c r="P69" i="1"/>
  <c r="Q69" i="1"/>
  <c r="O70" i="1"/>
  <c r="P70" i="1"/>
  <c r="Q70" i="1"/>
  <c r="O71" i="1"/>
  <c r="P71" i="1"/>
  <c r="Q71" i="1"/>
  <c r="O72" i="1"/>
  <c r="P72" i="1"/>
  <c r="Q72" i="1"/>
  <c r="O73" i="1"/>
  <c r="P73" i="1"/>
  <c r="Q73" i="1"/>
  <c r="O74" i="1"/>
  <c r="P74" i="1"/>
  <c r="Q74" i="1"/>
  <c r="O75" i="1"/>
  <c r="P75" i="1"/>
  <c r="Q75" i="1"/>
  <c r="O76" i="1"/>
  <c r="P76" i="1"/>
  <c r="Q76" i="1"/>
  <c r="O77" i="1"/>
  <c r="P77" i="1"/>
  <c r="Q77" i="1"/>
  <c r="O78" i="1"/>
  <c r="P78" i="1"/>
  <c r="Q78" i="1"/>
  <c r="O79" i="1"/>
  <c r="P79" i="1"/>
  <c r="Q79" i="1"/>
  <c r="O80" i="1"/>
  <c r="P80" i="1"/>
  <c r="Q80" i="1"/>
  <c r="O81" i="1"/>
  <c r="P81" i="1"/>
  <c r="Q81" i="1"/>
  <c r="O82" i="1"/>
  <c r="P82" i="1"/>
  <c r="Q82" i="1"/>
  <c r="O83" i="1"/>
  <c r="P83" i="1"/>
  <c r="Q83" i="1"/>
  <c r="O84" i="1"/>
  <c r="P84" i="1"/>
  <c r="Q84" i="1"/>
  <c r="O85" i="1"/>
  <c r="P85" i="1"/>
  <c r="Q85" i="1"/>
  <c r="O86" i="1"/>
  <c r="P86" i="1"/>
  <c r="Q86" i="1"/>
  <c r="O87" i="1"/>
  <c r="P87" i="1"/>
  <c r="Q87" i="1"/>
  <c r="O88" i="1"/>
  <c r="P88" i="1"/>
  <c r="Q88" i="1"/>
  <c r="O89" i="1"/>
  <c r="P89" i="1"/>
  <c r="Q89" i="1"/>
  <c r="O90" i="1"/>
  <c r="P90" i="1"/>
  <c r="Q90" i="1"/>
  <c r="O91" i="1"/>
  <c r="P91" i="1"/>
  <c r="Q91" i="1"/>
  <c r="O92" i="1"/>
  <c r="P92" i="1"/>
  <c r="Q92" i="1"/>
  <c r="O93" i="1"/>
  <c r="P93" i="1"/>
  <c r="Q93" i="1"/>
  <c r="O94" i="1"/>
  <c r="P94" i="1"/>
  <c r="Q94" i="1"/>
  <c r="O95" i="1"/>
  <c r="P95" i="1"/>
  <c r="Q95" i="1"/>
  <c r="O96" i="1"/>
  <c r="P96" i="1"/>
  <c r="Q96" i="1"/>
  <c r="O97" i="1"/>
  <c r="P97" i="1"/>
  <c r="Q97" i="1"/>
  <c r="O98" i="1"/>
  <c r="P98" i="1"/>
  <c r="Q98" i="1"/>
  <c r="O99" i="1"/>
  <c r="P99" i="1"/>
  <c r="Q99" i="1"/>
  <c r="O100" i="1"/>
  <c r="P100" i="1"/>
  <c r="Q100" i="1"/>
  <c r="O101" i="1"/>
  <c r="P101" i="1"/>
  <c r="Q101" i="1"/>
  <c r="O102" i="1"/>
  <c r="P102" i="1"/>
  <c r="Q102" i="1"/>
  <c r="O103" i="1"/>
  <c r="P103" i="1"/>
  <c r="Q103" i="1"/>
  <c r="O104" i="1"/>
  <c r="P104" i="1"/>
  <c r="Q104" i="1"/>
  <c r="O105" i="1"/>
  <c r="P105" i="1"/>
  <c r="Q105" i="1"/>
  <c r="O106" i="1"/>
  <c r="P106" i="1"/>
  <c r="Q106" i="1"/>
  <c r="O107" i="1"/>
  <c r="P107" i="1"/>
  <c r="Q107" i="1"/>
  <c r="O108" i="1"/>
  <c r="P108" i="1"/>
  <c r="Q108" i="1"/>
  <c r="O109" i="1"/>
  <c r="P109" i="1"/>
  <c r="Q109" i="1"/>
  <c r="O110" i="1"/>
  <c r="P110" i="1"/>
  <c r="Q110" i="1"/>
  <c r="O111" i="1"/>
  <c r="P111" i="1"/>
  <c r="Q111" i="1"/>
  <c r="O112" i="1"/>
  <c r="P112" i="1"/>
  <c r="Q112" i="1"/>
  <c r="O113" i="1"/>
  <c r="P113" i="1"/>
  <c r="Q113" i="1"/>
  <c r="O114" i="1"/>
  <c r="P114" i="1"/>
  <c r="Q114" i="1"/>
  <c r="O115" i="1"/>
  <c r="P115" i="1"/>
  <c r="Q115" i="1"/>
  <c r="O116" i="1"/>
  <c r="P116" i="1"/>
  <c r="Q116" i="1"/>
  <c r="O117" i="1"/>
  <c r="P117" i="1"/>
  <c r="Q117" i="1"/>
  <c r="O118" i="1"/>
  <c r="P118" i="1"/>
  <c r="Q118" i="1"/>
  <c r="O119" i="1"/>
  <c r="P119" i="1"/>
  <c r="Q119" i="1"/>
  <c r="O120" i="1"/>
  <c r="P120" i="1"/>
  <c r="Q120" i="1"/>
  <c r="O121" i="1"/>
  <c r="P121" i="1"/>
  <c r="Q121" i="1"/>
  <c r="O122" i="1"/>
  <c r="P122" i="1"/>
  <c r="Q122" i="1"/>
  <c r="O123" i="1"/>
  <c r="P123" i="1"/>
  <c r="Q123" i="1"/>
  <c r="O124" i="1"/>
  <c r="P124" i="1"/>
  <c r="Q124" i="1"/>
  <c r="O125" i="1"/>
  <c r="P125" i="1"/>
  <c r="Q125" i="1"/>
  <c r="O126" i="1"/>
  <c r="P126" i="1"/>
  <c r="Q126" i="1"/>
  <c r="O127" i="1"/>
  <c r="P127" i="1"/>
  <c r="Q127" i="1"/>
  <c r="O128" i="1"/>
  <c r="P128" i="1"/>
  <c r="Q128" i="1"/>
  <c r="O129" i="1"/>
  <c r="P129" i="1"/>
  <c r="Q129" i="1"/>
  <c r="O130" i="1"/>
  <c r="P130" i="1"/>
  <c r="Q130" i="1"/>
  <c r="O131" i="1"/>
  <c r="P131" i="1"/>
  <c r="Q131" i="1"/>
  <c r="O132" i="1"/>
  <c r="P132" i="1"/>
  <c r="Q132" i="1"/>
  <c r="O133" i="1"/>
  <c r="P133" i="1"/>
  <c r="Q133" i="1"/>
  <c r="O134" i="1"/>
  <c r="P134" i="1"/>
  <c r="Q134" i="1"/>
  <c r="O135" i="1"/>
  <c r="P135" i="1"/>
  <c r="Q135" i="1"/>
  <c r="O136" i="1"/>
  <c r="P136" i="1"/>
  <c r="Q136" i="1"/>
  <c r="O137" i="1"/>
  <c r="P137" i="1"/>
  <c r="Q137" i="1"/>
  <c r="O138" i="1"/>
  <c r="P138" i="1"/>
  <c r="Q138" i="1"/>
  <c r="O139" i="1"/>
  <c r="P139" i="1"/>
  <c r="Q139" i="1"/>
  <c r="O140" i="1"/>
  <c r="P140" i="1"/>
  <c r="Q140" i="1"/>
  <c r="O141" i="1"/>
  <c r="P141" i="1"/>
  <c r="Q141" i="1"/>
  <c r="O142" i="1"/>
  <c r="P142" i="1"/>
  <c r="Q142" i="1"/>
  <c r="O143" i="1"/>
  <c r="P143" i="1"/>
  <c r="Q143" i="1"/>
  <c r="O144" i="1"/>
  <c r="P144" i="1"/>
  <c r="Q144" i="1"/>
  <c r="O145" i="1"/>
  <c r="P145" i="1"/>
  <c r="Q145" i="1"/>
  <c r="O146" i="1"/>
  <c r="P146" i="1"/>
  <c r="Q146" i="1"/>
  <c r="O147" i="1"/>
  <c r="P147" i="1"/>
  <c r="Q147" i="1"/>
  <c r="O148" i="1"/>
  <c r="P148" i="1"/>
  <c r="Q148" i="1"/>
  <c r="O149" i="1"/>
  <c r="P149" i="1"/>
  <c r="Q149" i="1"/>
  <c r="O150" i="1"/>
  <c r="P150" i="1"/>
  <c r="Q150" i="1"/>
  <c r="O151" i="1"/>
  <c r="P151" i="1"/>
  <c r="Q151" i="1"/>
  <c r="O152" i="1"/>
  <c r="P152" i="1"/>
  <c r="Q152" i="1"/>
  <c r="O153" i="1"/>
  <c r="P153" i="1"/>
  <c r="Q153" i="1"/>
  <c r="O154" i="1"/>
  <c r="P154" i="1"/>
  <c r="Q154" i="1"/>
  <c r="O155" i="1"/>
  <c r="P155" i="1"/>
  <c r="Q155" i="1"/>
  <c r="O156" i="1"/>
  <c r="P156" i="1"/>
  <c r="Q156" i="1"/>
  <c r="O157" i="1"/>
  <c r="P157" i="1"/>
  <c r="Q157" i="1"/>
  <c r="O158" i="1"/>
  <c r="P158" i="1"/>
  <c r="Q158" i="1"/>
  <c r="O159" i="1"/>
  <c r="P159" i="1"/>
  <c r="Q159" i="1"/>
  <c r="O160" i="1"/>
  <c r="P160" i="1"/>
  <c r="Q160" i="1"/>
  <c r="O161" i="1"/>
  <c r="P161" i="1"/>
  <c r="Q161" i="1"/>
  <c r="O162" i="1"/>
  <c r="P162" i="1"/>
  <c r="Q162" i="1"/>
  <c r="O163" i="1"/>
  <c r="P163" i="1"/>
  <c r="Q163" i="1"/>
  <c r="O164" i="1"/>
  <c r="P164" i="1"/>
  <c r="Q164" i="1"/>
  <c r="O165" i="1"/>
  <c r="P165" i="1"/>
  <c r="Q165" i="1"/>
  <c r="O166" i="1"/>
  <c r="P166" i="1"/>
  <c r="Q166" i="1"/>
  <c r="O167" i="1"/>
  <c r="P167" i="1"/>
  <c r="Q167" i="1"/>
  <c r="O168" i="1"/>
  <c r="P168" i="1"/>
  <c r="Q168" i="1"/>
  <c r="O169" i="1"/>
  <c r="P169" i="1"/>
  <c r="Q169" i="1"/>
  <c r="O170" i="1"/>
  <c r="P170" i="1"/>
  <c r="Q170" i="1"/>
  <c r="O171" i="1"/>
  <c r="P171" i="1"/>
  <c r="Q171" i="1"/>
  <c r="O172" i="1"/>
  <c r="P172" i="1"/>
  <c r="Q172" i="1"/>
  <c r="O173" i="1"/>
  <c r="P173" i="1"/>
  <c r="Q173" i="1"/>
  <c r="O174" i="1"/>
  <c r="P174" i="1"/>
  <c r="Q174" i="1"/>
  <c r="O175" i="1"/>
  <c r="P175" i="1"/>
  <c r="Q175" i="1"/>
  <c r="O176" i="1"/>
  <c r="P176" i="1"/>
  <c r="Q176" i="1"/>
  <c r="O177" i="1"/>
  <c r="P177" i="1"/>
  <c r="Q177" i="1"/>
  <c r="O178" i="1"/>
  <c r="P178" i="1"/>
  <c r="Q178" i="1"/>
  <c r="O179" i="1"/>
  <c r="P179" i="1"/>
  <c r="Q179" i="1"/>
  <c r="O180" i="1"/>
  <c r="P180" i="1"/>
  <c r="Q180" i="1"/>
  <c r="O181" i="1"/>
  <c r="P181" i="1"/>
  <c r="Q181" i="1"/>
  <c r="O182" i="1"/>
  <c r="P182" i="1"/>
  <c r="Q182" i="1"/>
  <c r="O183" i="1"/>
  <c r="P183" i="1"/>
  <c r="Q183" i="1"/>
  <c r="O184" i="1"/>
  <c r="P184" i="1"/>
  <c r="Q184" i="1"/>
  <c r="X74" i="1" l="1"/>
  <c r="X31" i="1"/>
  <c r="X104" i="1"/>
  <c r="X100" i="1"/>
  <c r="X96" i="1"/>
  <c r="X92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AJ37" i="1"/>
  <c r="AS90" i="1"/>
  <c r="AS82" i="1"/>
  <c r="AS78" i="1"/>
  <c r="R48" i="1"/>
  <c r="X23" i="1"/>
  <c r="X19" i="1"/>
  <c r="X15" i="1"/>
  <c r="X11" i="1"/>
  <c r="AD181" i="1"/>
  <c r="AD177" i="1"/>
  <c r="AD173" i="1"/>
  <c r="AD169" i="1"/>
  <c r="AD165" i="1"/>
  <c r="AD161" i="1"/>
  <c r="AD157" i="1"/>
  <c r="AD153" i="1"/>
  <c r="AD149" i="1"/>
  <c r="AD145" i="1"/>
  <c r="AD141" i="1"/>
  <c r="AD137" i="1"/>
  <c r="AD133" i="1"/>
  <c r="AD129" i="1"/>
  <c r="AD125" i="1"/>
  <c r="AD121" i="1"/>
  <c r="AD117" i="1"/>
  <c r="AD113" i="1"/>
  <c r="AD109" i="1"/>
  <c r="AD105" i="1"/>
  <c r="AD101" i="1"/>
  <c r="AD97" i="1"/>
  <c r="AD93" i="1"/>
  <c r="AD89" i="1"/>
  <c r="AD85" i="1"/>
  <c r="AD81" i="1"/>
  <c r="AD77" i="1"/>
  <c r="AD73" i="1"/>
  <c r="AD69" i="1"/>
  <c r="AD65" i="1"/>
  <c r="AD61" i="1"/>
  <c r="AD57" i="1"/>
  <c r="AD53" i="1"/>
  <c r="AD49" i="1"/>
  <c r="AD45" i="1"/>
  <c r="AD41" i="1"/>
  <c r="AD37" i="1"/>
  <c r="AD33" i="1"/>
  <c r="AD29" i="1"/>
  <c r="AD25" i="1"/>
  <c r="AS148" i="1"/>
  <c r="AS146" i="1"/>
  <c r="AS140" i="1"/>
  <c r="AS138" i="1"/>
  <c r="AS132" i="1"/>
  <c r="AS130" i="1"/>
  <c r="AS122" i="1"/>
  <c r="AS116" i="1"/>
  <c r="AS114" i="1"/>
  <c r="AS108" i="1"/>
  <c r="AS106" i="1"/>
  <c r="AS102" i="1"/>
  <c r="AS98" i="1"/>
  <c r="R55" i="1"/>
  <c r="R43" i="1"/>
  <c r="R39" i="1"/>
  <c r="R35" i="1"/>
  <c r="R31" i="1"/>
  <c r="R27" i="1"/>
  <c r="R23" i="1"/>
  <c r="R19" i="1"/>
  <c r="R15" i="1"/>
  <c r="R11" i="1"/>
  <c r="AS178" i="1"/>
  <c r="AS174" i="1"/>
  <c r="AD15" i="1"/>
  <c r="AD11" i="1"/>
  <c r="AJ181" i="1"/>
  <c r="AJ177" i="1"/>
  <c r="AJ173" i="1"/>
  <c r="AJ169" i="1"/>
  <c r="AJ165" i="1"/>
  <c r="AJ161" i="1"/>
  <c r="AJ157" i="1"/>
  <c r="AJ153" i="1"/>
  <c r="AJ149" i="1"/>
  <c r="AJ145" i="1"/>
  <c r="AJ141" i="1"/>
  <c r="AJ137" i="1"/>
  <c r="AJ133" i="1"/>
  <c r="AJ129" i="1"/>
  <c r="AJ121" i="1"/>
  <c r="AJ117" i="1"/>
  <c r="AJ113" i="1"/>
  <c r="AJ109" i="1"/>
  <c r="AJ105" i="1"/>
  <c r="AJ101" i="1"/>
  <c r="AJ97" i="1"/>
  <c r="AJ93" i="1"/>
  <c r="AJ89" i="1"/>
  <c r="AJ85" i="1"/>
  <c r="AJ81" i="1"/>
  <c r="AJ73" i="1"/>
  <c r="AJ69" i="1"/>
  <c r="AJ61" i="1"/>
  <c r="AJ53" i="1"/>
  <c r="AD36" i="1"/>
  <c r="AD32" i="1"/>
  <c r="AD28" i="1"/>
  <c r="AJ178" i="1"/>
  <c r="AJ174" i="1"/>
  <c r="AJ166" i="1"/>
  <c r="AJ158" i="1"/>
  <c r="AJ150" i="1"/>
  <c r="AJ146" i="1"/>
  <c r="AJ122" i="1"/>
  <c r="AJ118" i="1"/>
  <c r="AJ114" i="1"/>
  <c r="AJ110" i="1"/>
  <c r="AJ106" i="1"/>
  <c r="AJ102" i="1"/>
  <c r="AJ98" i="1"/>
  <c r="AJ94" i="1"/>
  <c r="AJ78" i="1"/>
  <c r="AJ62" i="1"/>
  <c r="AJ58" i="1"/>
  <c r="AD21" i="1"/>
  <c r="AD17" i="1"/>
  <c r="AD13" i="1"/>
  <c r="AJ183" i="1"/>
  <c r="AJ179" i="1"/>
  <c r="AJ175" i="1"/>
  <c r="AJ171" i="1"/>
  <c r="AJ167" i="1"/>
  <c r="AJ163" i="1"/>
  <c r="AJ159" i="1"/>
  <c r="AJ155" i="1"/>
  <c r="AJ151" i="1"/>
  <c r="AJ147" i="1"/>
  <c r="AJ143" i="1"/>
  <c r="AJ139" i="1"/>
  <c r="AJ135" i="1"/>
  <c r="AJ131" i="1"/>
  <c r="AJ127" i="1"/>
  <c r="AJ123" i="1"/>
  <c r="AJ119" i="1"/>
  <c r="AJ115" i="1"/>
  <c r="AJ111" i="1"/>
  <c r="AJ107" i="1"/>
  <c r="AJ103" i="1"/>
  <c r="AJ99" i="1"/>
  <c r="AJ95" i="1"/>
  <c r="AJ91" i="1"/>
  <c r="AJ87" i="1"/>
  <c r="AJ83" i="1"/>
  <c r="AJ79" i="1"/>
  <c r="AJ75" i="1"/>
  <c r="AJ71" i="1"/>
  <c r="AJ67" i="1"/>
  <c r="AJ63" i="1"/>
  <c r="AJ59" i="1"/>
  <c r="AJ55" i="1"/>
  <c r="AJ19" i="1"/>
  <c r="AJ15" i="1"/>
  <c r="AJ11" i="1"/>
  <c r="AP141" i="1"/>
  <c r="AP137" i="1"/>
  <c r="AP133" i="1"/>
  <c r="AP121" i="1"/>
  <c r="AP117" i="1"/>
  <c r="AP113" i="1"/>
  <c r="AP109" i="1"/>
  <c r="AP105" i="1"/>
  <c r="AP101" i="1"/>
  <c r="AP97" i="1"/>
  <c r="AP93" i="1"/>
  <c r="AP85" i="1"/>
  <c r="AP81" i="1"/>
  <c r="AS177" i="1"/>
  <c r="AS141" i="1"/>
  <c r="AS135" i="1"/>
  <c r="AS127" i="1"/>
  <c r="AS125" i="1"/>
  <c r="AS119" i="1"/>
  <c r="AS117" i="1"/>
  <c r="AS115" i="1"/>
  <c r="AS111" i="1"/>
  <c r="AS109" i="1"/>
  <c r="AS103" i="1"/>
  <c r="AS99" i="1"/>
  <c r="AS95" i="1"/>
  <c r="AS87" i="1"/>
  <c r="AS83" i="1"/>
  <c r="AS79" i="1"/>
  <c r="AS75" i="1"/>
  <c r="AS71" i="1"/>
  <c r="AS67" i="1"/>
  <c r="AS63" i="1"/>
  <c r="AS59" i="1"/>
  <c r="AS55" i="1"/>
  <c r="AS51" i="1"/>
  <c r="AS47" i="1"/>
  <c r="AS43" i="1"/>
  <c r="AS39" i="1"/>
  <c r="AS31" i="1"/>
  <c r="AS27" i="1"/>
  <c r="AS23" i="1"/>
  <c r="AS19" i="1"/>
  <c r="AS15" i="1"/>
  <c r="AS11" i="1"/>
  <c r="X12" i="1"/>
  <c r="AD182" i="1"/>
  <c r="AD178" i="1"/>
  <c r="AD174" i="1"/>
  <c r="AD170" i="1"/>
  <c r="AD166" i="1"/>
  <c r="AD162" i="1"/>
  <c r="AD158" i="1"/>
  <c r="AD154" i="1"/>
  <c r="AD150" i="1"/>
  <c r="AD146" i="1"/>
  <c r="AD142" i="1"/>
  <c r="AD138" i="1"/>
  <c r="AD134" i="1"/>
  <c r="AD130" i="1"/>
  <c r="AD126" i="1"/>
  <c r="AD122" i="1"/>
  <c r="AD118" i="1"/>
  <c r="AD114" i="1"/>
  <c r="AD110" i="1"/>
  <c r="AD106" i="1"/>
  <c r="AD102" i="1"/>
  <c r="AD98" i="1"/>
  <c r="AD94" i="1"/>
  <c r="AD90" i="1"/>
  <c r="AD86" i="1"/>
  <c r="AD82" i="1"/>
  <c r="AD78" i="1"/>
  <c r="AD74" i="1"/>
  <c r="AD70" i="1"/>
  <c r="AD66" i="1"/>
  <c r="AD62" i="1"/>
  <c r="AD58" i="1"/>
  <c r="AD54" i="1"/>
  <c r="AD50" i="1"/>
  <c r="AD46" i="1"/>
  <c r="AD42" i="1"/>
  <c r="AD38" i="1"/>
  <c r="AS162" i="1"/>
  <c r="AJ125" i="1"/>
  <c r="AJ65" i="1"/>
  <c r="X24" i="1"/>
  <c r="X20" i="1"/>
  <c r="X16" i="1"/>
  <c r="AD24" i="1"/>
  <c r="AD20" i="1"/>
  <c r="AD16" i="1"/>
  <c r="AD12" i="1"/>
  <c r="AJ182" i="1"/>
  <c r="AJ170" i="1"/>
  <c r="AJ162" i="1"/>
  <c r="AJ154" i="1"/>
  <c r="AJ142" i="1"/>
  <c r="AJ138" i="1"/>
  <c r="AJ134" i="1"/>
  <c r="AJ130" i="1"/>
  <c r="AJ126" i="1"/>
  <c r="AJ90" i="1"/>
  <c r="AJ86" i="1"/>
  <c r="AJ82" i="1"/>
  <c r="AJ74" i="1"/>
  <c r="AJ70" i="1"/>
  <c r="AJ66" i="1"/>
  <c r="AJ54" i="1"/>
  <c r="AS35" i="1"/>
  <c r="X21" i="1"/>
  <c r="X17" i="1"/>
  <c r="AD179" i="1"/>
  <c r="AD171" i="1"/>
  <c r="AD163" i="1"/>
  <c r="AD155" i="1"/>
  <c r="AD143" i="1"/>
  <c r="AD135" i="1"/>
  <c r="AD127" i="1"/>
  <c r="AD119" i="1"/>
  <c r="AD111" i="1"/>
  <c r="AD103" i="1"/>
  <c r="AD91" i="1"/>
  <c r="AD83" i="1"/>
  <c r="AD79" i="1"/>
  <c r="AD71" i="1"/>
  <c r="AD63" i="1"/>
  <c r="AD55" i="1"/>
  <c r="AD47" i="1"/>
  <c r="AD43" i="1"/>
  <c r="R51" i="1"/>
  <c r="X22" i="1"/>
  <c r="X18" i="1"/>
  <c r="X14" i="1"/>
  <c r="AD184" i="1"/>
  <c r="AD180" i="1"/>
  <c r="AD176" i="1"/>
  <c r="AD172" i="1"/>
  <c r="AD168" i="1"/>
  <c r="AD164" i="1"/>
  <c r="AD160" i="1"/>
  <c r="AD156" i="1"/>
  <c r="AD152" i="1"/>
  <c r="AD148" i="1"/>
  <c r="AD144" i="1"/>
  <c r="AD140" i="1"/>
  <c r="AD136" i="1"/>
  <c r="AD132" i="1"/>
  <c r="AD128" i="1"/>
  <c r="AD124" i="1"/>
  <c r="AD120" i="1"/>
  <c r="AD116" i="1"/>
  <c r="X25" i="1"/>
  <c r="X13" i="1"/>
  <c r="AD183" i="1"/>
  <c r="AD175" i="1"/>
  <c r="AD167" i="1"/>
  <c r="AD159" i="1"/>
  <c r="AD151" i="1"/>
  <c r="AD147" i="1"/>
  <c r="AD139" i="1"/>
  <c r="AD131" i="1"/>
  <c r="AD123" i="1"/>
  <c r="AD115" i="1"/>
  <c r="AD107" i="1"/>
  <c r="AD99" i="1"/>
  <c r="AD95" i="1"/>
  <c r="AD87" i="1"/>
  <c r="AD75" i="1"/>
  <c r="AD67" i="1"/>
  <c r="AD59" i="1"/>
  <c r="AD51" i="1"/>
  <c r="AD39" i="1"/>
  <c r="R52" i="1"/>
  <c r="AD112" i="1"/>
  <c r="AD108" i="1"/>
  <c r="AD104" i="1"/>
  <c r="AD100" i="1"/>
  <c r="AD96" i="1"/>
  <c r="AD92" i="1"/>
  <c r="AD88" i="1"/>
  <c r="AD84" i="1"/>
  <c r="AD80" i="1"/>
  <c r="AD76" i="1"/>
  <c r="AD72" i="1"/>
  <c r="AD68" i="1"/>
  <c r="AD64" i="1"/>
  <c r="AD60" i="1"/>
  <c r="AD56" i="1"/>
  <c r="AD52" i="1"/>
  <c r="AD48" i="1"/>
  <c r="AD44" i="1"/>
  <c r="AD40" i="1"/>
  <c r="AD34" i="1"/>
  <c r="AD30" i="1"/>
  <c r="AD26" i="1"/>
  <c r="AD22" i="1"/>
  <c r="AD18" i="1"/>
  <c r="AD14" i="1"/>
  <c r="AJ184" i="1"/>
  <c r="AJ180" i="1"/>
  <c r="AJ176" i="1"/>
  <c r="AJ172" i="1"/>
  <c r="AJ168" i="1"/>
  <c r="AJ164" i="1"/>
  <c r="AJ160" i="1"/>
  <c r="AJ156" i="1"/>
  <c r="AJ152" i="1"/>
  <c r="AJ148" i="1"/>
  <c r="AJ144" i="1"/>
  <c r="AJ140" i="1"/>
  <c r="AJ136" i="1"/>
  <c r="AJ132" i="1"/>
  <c r="AJ128" i="1"/>
  <c r="AJ124" i="1"/>
  <c r="AJ120" i="1"/>
  <c r="AJ116" i="1"/>
  <c r="AJ112" i="1"/>
  <c r="AJ108" i="1"/>
  <c r="AJ104" i="1"/>
  <c r="AJ100" i="1"/>
  <c r="AJ96" i="1"/>
  <c r="AJ92" i="1"/>
  <c r="AJ88" i="1"/>
  <c r="AJ84" i="1"/>
  <c r="AJ80" i="1"/>
  <c r="AJ76" i="1"/>
  <c r="AJ72" i="1"/>
  <c r="AJ68" i="1"/>
  <c r="AJ64" i="1"/>
  <c r="AJ60" i="1"/>
  <c r="AJ56" i="1"/>
  <c r="AJ52" i="1"/>
  <c r="AJ48" i="1"/>
  <c r="AJ44" i="1"/>
  <c r="AJ40" i="1"/>
  <c r="AJ36" i="1"/>
  <c r="AJ32" i="1"/>
  <c r="AJ28" i="1"/>
  <c r="AJ24" i="1"/>
  <c r="AJ20" i="1"/>
  <c r="AJ16" i="1"/>
  <c r="AJ12" i="1"/>
  <c r="AP66" i="1"/>
  <c r="AP62" i="1"/>
  <c r="AP58" i="1"/>
  <c r="AP54" i="1"/>
  <c r="AP50" i="1"/>
  <c r="AP46" i="1"/>
  <c r="AP42" i="1"/>
  <c r="AP38" i="1"/>
  <c r="AP34" i="1"/>
  <c r="AP30" i="1"/>
  <c r="AP26" i="1"/>
  <c r="AP22" i="1"/>
  <c r="AP18" i="1"/>
  <c r="AP14" i="1"/>
  <c r="AS184" i="1"/>
  <c r="AS170" i="1"/>
  <c r="AS164" i="1"/>
  <c r="AS154" i="1"/>
  <c r="AS74" i="1"/>
  <c r="AS70" i="1"/>
  <c r="AS66" i="1"/>
  <c r="AS62" i="1"/>
  <c r="AS58" i="1"/>
  <c r="AS54" i="1"/>
  <c r="AS50" i="1"/>
  <c r="AS46" i="1"/>
  <c r="AS42" i="1"/>
  <c r="AS38" i="1"/>
  <c r="AS34" i="1"/>
  <c r="AS30" i="1"/>
  <c r="AS26" i="1"/>
  <c r="AD35" i="1"/>
  <c r="AD31" i="1"/>
  <c r="AD27" i="1"/>
  <c r="AD23" i="1"/>
  <c r="AD19" i="1"/>
  <c r="AJ77" i="1"/>
  <c r="AJ57" i="1"/>
  <c r="AJ49" i="1"/>
  <c r="AJ45" i="1"/>
  <c r="AJ41" i="1"/>
  <c r="AJ33" i="1"/>
  <c r="AJ29" i="1"/>
  <c r="AJ25" i="1"/>
  <c r="AJ21" i="1"/>
  <c r="AJ17" i="1"/>
  <c r="AP183" i="1"/>
  <c r="R182" i="1"/>
  <c r="R178" i="1"/>
  <c r="R174" i="1"/>
  <c r="R170" i="1"/>
  <c r="R150" i="1"/>
  <c r="R146" i="1"/>
  <c r="R142" i="1"/>
  <c r="R138" i="1"/>
  <c r="R134" i="1"/>
  <c r="R130" i="1"/>
  <c r="R126" i="1"/>
  <c r="R122" i="1"/>
  <c r="R118" i="1"/>
  <c r="R114" i="1"/>
  <c r="R110" i="1"/>
  <c r="R106" i="1"/>
  <c r="R102" i="1"/>
  <c r="R98" i="1"/>
  <c r="R94" i="1"/>
  <c r="R90" i="1"/>
  <c r="R86" i="1"/>
  <c r="R82" i="1"/>
  <c r="R78" i="1"/>
  <c r="R74" i="1"/>
  <c r="R70" i="1"/>
  <c r="R66" i="1"/>
  <c r="R62" i="1"/>
  <c r="R58" i="1"/>
  <c r="R54" i="1"/>
  <c r="R50" i="1"/>
  <c r="R46" i="1"/>
  <c r="AU181" i="1"/>
  <c r="AU177" i="1"/>
  <c r="AU173" i="1"/>
  <c r="AU169" i="1"/>
  <c r="AU165" i="1"/>
  <c r="AU161" i="1"/>
  <c r="AU160" i="1"/>
  <c r="AU159" i="1"/>
  <c r="AU157" i="1"/>
  <c r="AU153" i="1"/>
  <c r="AU149" i="1"/>
  <c r="AU145" i="1"/>
  <c r="AU141" i="1"/>
  <c r="AU137" i="1"/>
  <c r="AU133" i="1"/>
  <c r="AU129" i="1"/>
  <c r="AU128" i="1"/>
  <c r="AU127" i="1"/>
  <c r="AU126" i="1"/>
  <c r="AU125" i="1"/>
  <c r="AU121" i="1"/>
  <c r="AU117" i="1"/>
  <c r="AU113" i="1"/>
  <c r="AU109" i="1"/>
  <c r="AU105" i="1"/>
  <c r="AU101" i="1"/>
  <c r="AU97" i="1"/>
  <c r="AU93" i="1"/>
  <c r="AU89" i="1"/>
  <c r="AU85" i="1"/>
  <c r="AU81" i="1"/>
  <c r="AU77" i="1"/>
  <c r="AU73" i="1"/>
  <c r="AU69" i="1"/>
  <c r="AU66" i="1"/>
  <c r="AU65" i="1"/>
  <c r="AU62" i="1"/>
  <c r="AU61" i="1"/>
  <c r="AU58" i="1"/>
  <c r="AU57" i="1"/>
  <c r="AU45" i="1"/>
  <c r="AU44" i="1"/>
  <c r="AU41" i="1"/>
  <c r="AU40" i="1"/>
  <c r="AU37" i="1"/>
  <c r="AU36" i="1"/>
  <c r="AU33" i="1"/>
  <c r="AU32" i="1"/>
  <c r="AU29" i="1"/>
  <c r="AU28" i="1"/>
  <c r="AU25" i="1"/>
  <c r="AU24" i="1"/>
  <c r="AU21" i="1"/>
  <c r="AU20" i="1"/>
  <c r="AU17" i="1"/>
  <c r="AU16" i="1"/>
  <c r="AU13" i="1"/>
  <c r="AU12" i="1"/>
  <c r="R53" i="1"/>
  <c r="R49" i="1"/>
  <c r="AJ13" i="1"/>
  <c r="R166" i="1"/>
  <c r="R162" i="1"/>
  <c r="R158" i="1"/>
  <c r="R154" i="1"/>
  <c r="R47" i="1"/>
  <c r="R44" i="1"/>
  <c r="R40" i="1"/>
  <c r="R36" i="1"/>
  <c r="R32" i="1"/>
  <c r="R28" i="1"/>
  <c r="R24" i="1"/>
  <c r="R20" i="1"/>
  <c r="R16" i="1"/>
  <c r="R12" i="1"/>
  <c r="AT183" i="1"/>
  <c r="AT182" i="1"/>
  <c r="AT170" i="1"/>
  <c r="AT160" i="1"/>
  <c r="AT159" i="1"/>
  <c r="AV159" i="1" s="1"/>
  <c r="AT138" i="1"/>
  <c r="AT129" i="1"/>
  <c r="AT128" i="1"/>
  <c r="AT127" i="1"/>
  <c r="AT84" i="1"/>
  <c r="AT69" i="1"/>
  <c r="AT65" i="1"/>
  <c r="AT61" i="1"/>
  <c r="AT57" i="1"/>
  <c r="AT51" i="1"/>
  <c r="AT44" i="1"/>
  <c r="AT40" i="1"/>
  <c r="AV40" i="1" s="1"/>
  <c r="AT36" i="1"/>
  <c r="AT32" i="1"/>
  <c r="AT28" i="1"/>
  <c r="AT24" i="1"/>
  <c r="AV24" i="1" s="1"/>
  <c r="AT20" i="1"/>
  <c r="AT16" i="1"/>
  <c r="AT12" i="1"/>
  <c r="AT11" i="1"/>
  <c r="AJ50" i="1"/>
  <c r="AJ46" i="1"/>
  <c r="AJ42" i="1"/>
  <c r="AJ38" i="1"/>
  <c r="AJ34" i="1"/>
  <c r="AJ30" i="1"/>
  <c r="AJ26" i="1"/>
  <c r="AJ22" i="1"/>
  <c r="AJ18" i="1"/>
  <c r="AJ14" i="1"/>
  <c r="AP184" i="1"/>
  <c r="AJ51" i="1"/>
  <c r="AJ47" i="1"/>
  <c r="AJ43" i="1"/>
  <c r="AJ39" i="1"/>
  <c r="AJ35" i="1"/>
  <c r="AJ31" i="1"/>
  <c r="AJ27" i="1"/>
  <c r="AJ23" i="1"/>
  <c r="AS182" i="1"/>
  <c r="AS180" i="1"/>
  <c r="AS167" i="1"/>
  <c r="AS165" i="1"/>
  <c r="AS86" i="1"/>
  <c r="AS22" i="1"/>
  <c r="AS18" i="1"/>
  <c r="AS14" i="1"/>
  <c r="AP181" i="1"/>
  <c r="AP177" i="1"/>
  <c r="AP173" i="1"/>
  <c r="AP169" i="1"/>
  <c r="AP165" i="1"/>
  <c r="AP161" i="1"/>
  <c r="AU158" i="1"/>
  <c r="AP157" i="1"/>
  <c r="AP153" i="1"/>
  <c r="AP149" i="1"/>
  <c r="AP145" i="1"/>
  <c r="AP129" i="1"/>
  <c r="AP125" i="1"/>
  <c r="AP89" i="1"/>
  <c r="AP77" i="1"/>
  <c r="AP73" i="1"/>
  <c r="AP69" i="1"/>
  <c r="AP65" i="1"/>
  <c r="AP61" i="1"/>
  <c r="AP57" i="1"/>
  <c r="AP53" i="1"/>
  <c r="AP49" i="1"/>
  <c r="AP45" i="1"/>
  <c r="AP41" i="1"/>
  <c r="AP37" i="1"/>
  <c r="AP33" i="1"/>
  <c r="AP29" i="1"/>
  <c r="AP25" i="1"/>
  <c r="AP21" i="1"/>
  <c r="AP17" i="1"/>
  <c r="AP13" i="1"/>
  <c r="AS183" i="1"/>
  <c r="AS181" i="1"/>
  <c r="AS159" i="1"/>
  <c r="AS157" i="1"/>
  <c r="AS151" i="1"/>
  <c r="AS149" i="1"/>
  <c r="AS147" i="1"/>
  <c r="AS143" i="1"/>
  <c r="AS133" i="1"/>
  <c r="AS91" i="1"/>
  <c r="R183" i="1"/>
  <c r="R155" i="1"/>
  <c r="R147" i="1"/>
  <c r="R135" i="1"/>
  <c r="R115" i="1"/>
  <c r="R107" i="1"/>
  <c r="R75" i="1"/>
  <c r="R71" i="1"/>
  <c r="AU183" i="1"/>
  <c r="AU180" i="1"/>
  <c r="AU178" i="1"/>
  <c r="AU176" i="1"/>
  <c r="AU171" i="1"/>
  <c r="AU168" i="1"/>
  <c r="AU166" i="1"/>
  <c r="AU163" i="1"/>
  <c r="AU156" i="1"/>
  <c r="AU151" i="1"/>
  <c r="AU148" i="1"/>
  <c r="AU143" i="1"/>
  <c r="AU140" i="1"/>
  <c r="AU135" i="1"/>
  <c r="AU132" i="1"/>
  <c r="AU130" i="1"/>
  <c r="AU123" i="1"/>
  <c r="AU120" i="1"/>
  <c r="AU118" i="1"/>
  <c r="AU116" i="1"/>
  <c r="AU111" i="1"/>
  <c r="AU108" i="1"/>
  <c r="AU106" i="1"/>
  <c r="AU103" i="1"/>
  <c r="AU100" i="1"/>
  <c r="AU92" i="1"/>
  <c r="AU87" i="1"/>
  <c r="AU84" i="1"/>
  <c r="AU75" i="1"/>
  <c r="AU72" i="1"/>
  <c r="AU63" i="1"/>
  <c r="AU59" i="1"/>
  <c r="AU56" i="1"/>
  <c r="AU54" i="1"/>
  <c r="AU51" i="1"/>
  <c r="AV51" i="1" s="1"/>
  <c r="AU47" i="1"/>
  <c r="AU42" i="1"/>
  <c r="AU39" i="1"/>
  <c r="AU34" i="1"/>
  <c r="AU30" i="1"/>
  <c r="AU27" i="1"/>
  <c r="AU26" i="1"/>
  <c r="AU23" i="1"/>
  <c r="AU14" i="1"/>
  <c r="AP182" i="1"/>
  <c r="AP178" i="1"/>
  <c r="AP174" i="1"/>
  <c r="AP170" i="1"/>
  <c r="AP166" i="1"/>
  <c r="AP162" i="1"/>
  <c r="AP158" i="1"/>
  <c r="AP154" i="1"/>
  <c r="AP150" i="1"/>
  <c r="AP146" i="1"/>
  <c r="AP142" i="1"/>
  <c r="AP138" i="1"/>
  <c r="AP134" i="1"/>
  <c r="AP130" i="1"/>
  <c r="AP126" i="1"/>
  <c r="AP122" i="1"/>
  <c r="AP118" i="1"/>
  <c r="AP114" i="1"/>
  <c r="AP110" i="1"/>
  <c r="AP106" i="1"/>
  <c r="AP102" i="1"/>
  <c r="AP98" i="1"/>
  <c r="AP94" i="1"/>
  <c r="AP90" i="1"/>
  <c r="AP86" i="1"/>
  <c r="AP82" i="1"/>
  <c r="AP78" i="1"/>
  <c r="AP74" i="1"/>
  <c r="AP70" i="1"/>
  <c r="AT161" i="1"/>
  <c r="AV161" i="1" s="1"/>
  <c r="R163" i="1"/>
  <c r="R111" i="1"/>
  <c r="R99" i="1"/>
  <c r="R87" i="1"/>
  <c r="R67" i="1"/>
  <c r="AU184" i="1"/>
  <c r="AU182" i="1"/>
  <c r="AV182" i="1" s="1"/>
  <c r="AU179" i="1"/>
  <c r="AU174" i="1"/>
  <c r="AU162" i="1"/>
  <c r="AU154" i="1"/>
  <c r="AU146" i="1"/>
  <c r="AU138" i="1"/>
  <c r="AU134" i="1"/>
  <c r="AU131" i="1"/>
  <c r="AU122" i="1"/>
  <c r="AU119" i="1"/>
  <c r="AU115" i="1"/>
  <c r="AU102" i="1"/>
  <c r="AU98" i="1"/>
  <c r="AU95" i="1"/>
  <c r="AU90" i="1"/>
  <c r="AU82" i="1"/>
  <c r="AU78" i="1"/>
  <c r="AU74" i="1"/>
  <c r="AU71" i="1"/>
  <c r="AU67" i="1"/>
  <c r="AU64" i="1"/>
  <c r="AU60" i="1"/>
  <c r="AU52" i="1"/>
  <c r="AU49" i="1"/>
  <c r="AU46" i="1"/>
  <c r="AU38" i="1"/>
  <c r="AU35" i="1"/>
  <c r="AU18" i="1"/>
  <c r="AU15" i="1"/>
  <c r="R184" i="1"/>
  <c r="R176" i="1"/>
  <c r="R168" i="1"/>
  <c r="R164" i="1"/>
  <c r="R152" i="1"/>
  <c r="R148" i="1"/>
  <c r="R140" i="1"/>
  <c r="R136" i="1"/>
  <c r="R120" i="1"/>
  <c r="R112" i="1"/>
  <c r="R104" i="1"/>
  <c r="R96" i="1"/>
  <c r="R88" i="1"/>
  <c r="R80" i="1"/>
  <c r="R76" i="1"/>
  <c r="R68" i="1"/>
  <c r="R60" i="1"/>
  <c r="AT180" i="1"/>
  <c r="AT178" i="1"/>
  <c r="AT176" i="1"/>
  <c r="AT174" i="1"/>
  <c r="AV174" i="1" s="1"/>
  <c r="AT172" i="1"/>
  <c r="AT168" i="1"/>
  <c r="AT166" i="1"/>
  <c r="AT164" i="1"/>
  <c r="AT162" i="1"/>
  <c r="AV162" i="1" s="1"/>
  <c r="AT158" i="1"/>
  <c r="AT156" i="1"/>
  <c r="AT154" i="1"/>
  <c r="AT152" i="1"/>
  <c r="AT150" i="1"/>
  <c r="AT148" i="1"/>
  <c r="AT146" i="1"/>
  <c r="AT144" i="1"/>
  <c r="AT142" i="1"/>
  <c r="AT139" i="1"/>
  <c r="AT136" i="1"/>
  <c r="AT134" i="1"/>
  <c r="AV134" i="1" s="1"/>
  <c r="AT132" i="1"/>
  <c r="AT130" i="1"/>
  <c r="AT126" i="1"/>
  <c r="AV126" i="1" s="1"/>
  <c r="AT124" i="1"/>
  <c r="AT122" i="1"/>
  <c r="AT120" i="1"/>
  <c r="AV120" i="1" s="1"/>
  <c r="AT118" i="1"/>
  <c r="AV118" i="1" s="1"/>
  <c r="AT116" i="1"/>
  <c r="AV116" i="1" s="1"/>
  <c r="AT114" i="1"/>
  <c r="AT112" i="1"/>
  <c r="AT110" i="1"/>
  <c r="AT108" i="1"/>
  <c r="AT106" i="1"/>
  <c r="AT104" i="1"/>
  <c r="AT102" i="1"/>
  <c r="AT100" i="1"/>
  <c r="AT98" i="1"/>
  <c r="AT96" i="1"/>
  <c r="AT94" i="1"/>
  <c r="AT92" i="1"/>
  <c r="AV92" i="1" s="1"/>
  <c r="AT90" i="1"/>
  <c r="AT88" i="1"/>
  <c r="AT86" i="1"/>
  <c r="AT83" i="1"/>
  <c r="AT81" i="1"/>
  <c r="AT79" i="1"/>
  <c r="AT77" i="1"/>
  <c r="AT75" i="1"/>
  <c r="AT73" i="1"/>
  <c r="AV73" i="1" s="1"/>
  <c r="AT71" i="1"/>
  <c r="AT70" i="1"/>
  <c r="AT68" i="1"/>
  <c r="AT66" i="1"/>
  <c r="AT64" i="1"/>
  <c r="AV64" i="1" s="1"/>
  <c r="AT59" i="1"/>
  <c r="AT58" i="1"/>
  <c r="AT56" i="1"/>
  <c r="AT54" i="1"/>
  <c r="AT52" i="1"/>
  <c r="AT49" i="1"/>
  <c r="AT47" i="1"/>
  <c r="AT42" i="1"/>
  <c r="AP179" i="1"/>
  <c r="AP175" i="1"/>
  <c r="AP171" i="1"/>
  <c r="AP167" i="1"/>
  <c r="AP163" i="1"/>
  <c r="AP159" i="1"/>
  <c r="AP155" i="1"/>
  <c r="AP151" i="1"/>
  <c r="AP147" i="1"/>
  <c r="AP143" i="1"/>
  <c r="AP139" i="1"/>
  <c r="AP135" i="1"/>
  <c r="AP131" i="1"/>
  <c r="AP127" i="1"/>
  <c r="AP123" i="1"/>
  <c r="AP119" i="1"/>
  <c r="AP115" i="1"/>
  <c r="AP111" i="1"/>
  <c r="AP107" i="1"/>
  <c r="AP103" i="1"/>
  <c r="AP99" i="1"/>
  <c r="AP95" i="1"/>
  <c r="AP91" i="1"/>
  <c r="AP87" i="1"/>
  <c r="AP83" i="1"/>
  <c r="AP79" i="1"/>
  <c r="AP75" i="1"/>
  <c r="AP71" i="1"/>
  <c r="AP67" i="1"/>
  <c r="AP63" i="1"/>
  <c r="AP59" i="1"/>
  <c r="AP55" i="1"/>
  <c r="AP51" i="1"/>
  <c r="AP47" i="1"/>
  <c r="AP43" i="1"/>
  <c r="AP39" i="1"/>
  <c r="AP35" i="1"/>
  <c r="AP31" i="1"/>
  <c r="AP27" i="1"/>
  <c r="AP23" i="1"/>
  <c r="AV160" i="1"/>
  <c r="R179" i="1"/>
  <c r="R175" i="1"/>
  <c r="R171" i="1"/>
  <c r="R167" i="1"/>
  <c r="R159" i="1"/>
  <c r="R151" i="1"/>
  <c r="R143" i="1"/>
  <c r="R139" i="1"/>
  <c r="R131" i="1"/>
  <c r="R127" i="1"/>
  <c r="R123" i="1"/>
  <c r="R119" i="1"/>
  <c r="R103" i="1"/>
  <c r="R95" i="1"/>
  <c r="R91" i="1"/>
  <c r="R83" i="1"/>
  <c r="R79" i="1"/>
  <c r="R63" i="1"/>
  <c r="R59" i="1"/>
  <c r="AU175" i="1"/>
  <c r="AU172" i="1"/>
  <c r="AU170" i="1"/>
  <c r="AU167" i="1"/>
  <c r="AU164" i="1"/>
  <c r="AU155" i="1"/>
  <c r="AU152" i="1"/>
  <c r="AU150" i="1"/>
  <c r="AU147" i="1"/>
  <c r="AU144" i="1"/>
  <c r="AU142" i="1"/>
  <c r="AU139" i="1"/>
  <c r="AU136" i="1"/>
  <c r="AU124" i="1"/>
  <c r="AU114" i="1"/>
  <c r="AU112" i="1"/>
  <c r="AU110" i="1"/>
  <c r="AU107" i="1"/>
  <c r="AU104" i="1"/>
  <c r="AU99" i="1"/>
  <c r="AU96" i="1"/>
  <c r="AU94" i="1"/>
  <c r="AU91" i="1"/>
  <c r="AU88" i="1"/>
  <c r="AU86" i="1"/>
  <c r="AU83" i="1"/>
  <c r="AU80" i="1"/>
  <c r="AU79" i="1"/>
  <c r="AU76" i="1"/>
  <c r="AU70" i="1"/>
  <c r="AU68" i="1"/>
  <c r="AU55" i="1"/>
  <c r="AU53" i="1"/>
  <c r="AU50" i="1"/>
  <c r="AU48" i="1"/>
  <c r="AU43" i="1"/>
  <c r="AU31" i="1"/>
  <c r="AU22" i="1"/>
  <c r="AU19" i="1"/>
  <c r="AU11" i="1"/>
  <c r="R180" i="1"/>
  <c r="R172" i="1"/>
  <c r="R160" i="1"/>
  <c r="R156" i="1"/>
  <c r="R144" i="1"/>
  <c r="R132" i="1"/>
  <c r="R128" i="1"/>
  <c r="R124" i="1"/>
  <c r="R116" i="1"/>
  <c r="R108" i="1"/>
  <c r="R100" i="1"/>
  <c r="R92" i="1"/>
  <c r="R84" i="1"/>
  <c r="R72" i="1"/>
  <c r="R64" i="1"/>
  <c r="R56" i="1"/>
  <c r="AT184" i="1"/>
  <c r="AT181" i="1"/>
  <c r="AT179" i="1"/>
  <c r="AT177" i="1"/>
  <c r="AV177" i="1" s="1"/>
  <c r="AT175" i="1"/>
  <c r="AV175" i="1" s="1"/>
  <c r="AT173" i="1"/>
  <c r="AT171" i="1"/>
  <c r="AT169" i="1"/>
  <c r="AT167" i="1"/>
  <c r="AT165" i="1"/>
  <c r="AT163" i="1"/>
  <c r="AT157" i="1"/>
  <c r="AT155" i="1"/>
  <c r="AT153" i="1"/>
  <c r="AT151" i="1"/>
  <c r="AT149" i="1"/>
  <c r="AT147" i="1"/>
  <c r="AV147" i="1" s="1"/>
  <c r="AT145" i="1"/>
  <c r="AT143" i="1"/>
  <c r="AT141" i="1"/>
  <c r="AT140" i="1"/>
  <c r="AT137" i="1"/>
  <c r="AT135" i="1"/>
  <c r="AT133" i="1"/>
  <c r="AT131" i="1"/>
  <c r="AT125" i="1"/>
  <c r="AT123" i="1"/>
  <c r="AT121" i="1"/>
  <c r="AT119" i="1"/>
  <c r="AV119" i="1" s="1"/>
  <c r="AT117" i="1"/>
  <c r="AT115" i="1"/>
  <c r="AT113" i="1"/>
  <c r="AT111" i="1"/>
  <c r="AT109" i="1"/>
  <c r="AT107" i="1"/>
  <c r="AT105" i="1"/>
  <c r="AT103" i="1"/>
  <c r="AT101" i="1"/>
  <c r="AT99" i="1"/>
  <c r="AT97" i="1"/>
  <c r="AT95" i="1"/>
  <c r="AV95" i="1" s="1"/>
  <c r="AT93" i="1"/>
  <c r="AV93" i="1" s="1"/>
  <c r="AT91" i="1"/>
  <c r="AV91" i="1" s="1"/>
  <c r="AT89" i="1"/>
  <c r="AT87" i="1"/>
  <c r="AV87" i="1" s="1"/>
  <c r="AT85" i="1"/>
  <c r="AT82" i="1"/>
  <c r="AT80" i="1"/>
  <c r="AT78" i="1"/>
  <c r="AT76" i="1"/>
  <c r="AT74" i="1"/>
  <c r="AT72" i="1"/>
  <c r="AV69" i="1"/>
  <c r="AT67" i="1"/>
  <c r="AT63" i="1"/>
  <c r="AT62" i="1"/>
  <c r="AT60" i="1"/>
  <c r="AV60" i="1" s="1"/>
  <c r="AT55" i="1"/>
  <c r="AT53" i="1"/>
  <c r="AT50" i="1"/>
  <c r="AT48" i="1"/>
  <c r="AT46" i="1"/>
  <c r="AT45" i="1"/>
  <c r="AT43" i="1"/>
  <c r="AV43" i="1" s="1"/>
  <c r="AT41" i="1"/>
  <c r="AT39" i="1"/>
  <c r="AT38" i="1"/>
  <c r="AT37" i="1"/>
  <c r="AT35" i="1"/>
  <c r="AT34" i="1"/>
  <c r="AT33" i="1"/>
  <c r="AT31" i="1"/>
  <c r="AT30" i="1"/>
  <c r="AT29" i="1"/>
  <c r="AT27" i="1"/>
  <c r="AV27" i="1" s="1"/>
  <c r="AT26" i="1"/>
  <c r="AT25" i="1"/>
  <c r="AT23" i="1"/>
  <c r="AT22" i="1"/>
  <c r="AT21" i="1"/>
  <c r="AT19" i="1"/>
  <c r="AT18" i="1"/>
  <c r="AT17" i="1"/>
  <c r="AT15" i="1"/>
  <c r="AT14" i="1"/>
  <c r="AT13" i="1"/>
  <c r="R181" i="1"/>
  <c r="R177" i="1"/>
  <c r="R173" i="1"/>
  <c r="R169" i="1"/>
  <c r="R165" i="1"/>
  <c r="R161" i="1"/>
  <c r="R157" i="1"/>
  <c r="R153" i="1"/>
  <c r="R149" i="1"/>
  <c r="R145" i="1"/>
  <c r="R141" i="1"/>
  <c r="R137" i="1"/>
  <c r="R133" i="1"/>
  <c r="R129" i="1"/>
  <c r="R125" i="1"/>
  <c r="R121" i="1"/>
  <c r="R117" i="1"/>
  <c r="R113" i="1"/>
  <c r="R109" i="1"/>
  <c r="R105" i="1"/>
  <c r="R101" i="1"/>
  <c r="R97" i="1"/>
  <c r="R93" i="1"/>
  <c r="R89" i="1"/>
  <c r="R85" i="1"/>
  <c r="R81" i="1"/>
  <c r="R77" i="1"/>
  <c r="R73" i="1"/>
  <c r="R69" i="1"/>
  <c r="R65" i="1"/>
  <c r="R61" i="1"/>
  <c r="R57" i="1"/>
  <c r="R45" i="1"/>
  <c r="R41" i="1"/>
  <c r="R37" i="1"/>
  <c r="R33" i="1"/>
  <c r="R29" i="1"/>
  <c r="R25" i="1"/>
  <c r="R21" i="1"/>
  <c r="R17" i="1"/>
  <c r="R13" i="1"/>
  <c r="AP180" i="1"/>
  <c r="AP176" i="1"/>
  <c r="AP172" i="1"/>
  <c r="AP168" i="1"/>
  <c r="AP164" i="1"/>
  <c r="AP160" i="1"/>
  <c r="AP156" i="1"/>
  <c r="AP152" i="1"/>
  <c r="AP148" i="1"/>
  <c r="AP144" i="1"/>
  <c r="AP140" i="1"/>
  <c r="AP136" i="1"/>
  <c r="AP132" i="1"/>
  <c r="AP128" i="1"/>
  <c r="AP124" i="1"/>
  <c r="AP120" i="1"/>
  <c r="AP116" i="1"/>
  <c r="AP112" i="1"/>
  <c r="AP108" i="1"/>
  <c r="AP104" i="1"/>
  <c r="AP100" i="1"/>
  <c r="AP96" i="1"/>
  <c r="AP92" i="1"/>
  <c r="AP88" i="1"/>
  <c r="AP84" i="1"/>
  <c r="AP80" i="1"/>
  <c r="AP76" i="1"/>
  <c r="AP72" i="1"/>
  <c r="AP68" i="1"/>
  <c r="AP64" i="1"/>
  <c r="AP60" i="1"/>
  <c r="AP56" i="1"/>
  <c r="AP52" i="1"/>
  <c r="AP48" i="1"/>
  <c r="AP44" i="1"/>
  <c r="AP40" i="1"/>
  <c r="AP36" i="1"/>
  <c r="AP32" i="1"/>
  <c r="AP28" i="1"/>
  <c r="AP24" i="1"/>
  <c r="AS172" i="1"/>
  <c r="AS163" i="1"/>
  <c r="AS131" i="1"/>
  <c r="AS175" i="1"/>
  <c r="AS156" i="1"/>
  <c r="AS124" i="1"/>
  <c r="AP19" i="1"/>
  <c r="AP15" i="1"/>
  <c r="AP11" i="1"/>
  <c r="AP20" i="1"/>
  <c r="AP16" i="1"/>
  <c r="AP12" i="1"/>
  <c r="AS179" i="1"/>
  <c r="AS176" i="1"/>
  <c r="AS171" i="1"/>
  <c r="AS155" i="1"/>
  <c r="AS139" i="1"/>
  <c r="AS123" i="1"/>
  <c r="AS107" i="1"/>
  <c r="AS169" i="1"/>
  <c r="AS168" i="1"/>
  <c r="AS161" i="1"/>
  <c r="AS160" i="1"/>
  <c r="AS153" i="1"/>
  <c r="AS152" i="1"/>
  <c r="AS145" i="1"/>
  <c r="AS144" i="1"/>
  <c r="AS137" i="1"/>
  <c r="AS136" i="1"/>
  <c r="AS129" i="1"/>
  <c r="AS128" i="1"/>
  <c r="AS121" i="1"/>
  <c r="AS120" i="1"/>
  <c r="AS113" i="1"/>
  <c r="AS112" i="1"/>
  <c r="AS173" i="1"/>
  <c r="AS166" i="1"/>
  <c r="AS158" i="1"/>
  <c r="AS150" i="1"/>
  <c r="AS142" i="1"/>
  <c r="AS134" i="1"/>
  <c r="AS126" i="1"/>
  <c r="AS118" i="1"/>
  <c r="AS110" i="1"/>
  <c r="AS101" i="1"/>
  <c r="AS100" i="1"/>
  <c r="AS93" i="1"/>
  <c r="AS92" i="1"/>
  <c r="AS85" i="1"/>
  <c r="AS84" i="1"/>
  <c r="AS77" i="1"/>
  <c r="AS76" i="1"/>
  <c r="AS69" i="1"/>
  <c r="AS68" i="1"/>
  <c r="AS61" i="1"/>
  <c r="AS60" i="1"/>
  <c r="AS53" i="1"/>
  <c r="AS52" i="1"/>
  <c r="AS45" i="1"/>
  <c r="AS44" i="1"/>
  <c r="AS37" i="1"/>
  <c r="AS36" i="1"/>
  <c r="AS29" i="1"/>
  <c r="AS28" i="1"/>
  <c r="AS21" i="1"/>
  <c r="AS20" i="1"/>
  <c r="AS13" i="1"/>
  <c r="AS12" i="1"/>
  <c r="AS105" i="1"/>
  <c r="AS104" i="1"/>
  <c r="AS97" i="1"/>
  <c r="AS96" i="1"/>
  <c r="AS89" i="1"/>
  <c r="AS88" i="1"/>
  <c r="AS81" i="1"/>
  <c r="AS80" i="1"/>
  <c r="AS73" i="1"/>
  <c r="AS72" i="1"/>
  <c r="AS65" i="1"/>
  <c r="AS64" i="1"/>
  <c r="AS57" i="1"/>
  <c r="AS56" i="1"/>
  <c r="AS49" i="1"/>
  <c r="AS48" i="1"/>
  <c r="AS40" i="1"/>
  <c r="AS33" i="1"/>
  <c r="AS32" i="1"/>
  <c r="AS25" i="1"/>
  <c r="AS24" i="1"/>
  <c r="AS17" i="1"/>
  <c r="AS16" i="1"/>
  <c r="AS41" i="1"/>
  <c r="AV97" i="1" l="1"/>
  <c r="AV94" i="1"/>
  <c r="AV12" i="1"/>
  <c r="AV44" i="1"/>
  <c r="AV96" i="1"/>
  <c r="AV22" i="1"/>
  <c r="AV65" i="1"/>
  <c r="AV50" i="1"/>
  <c r="AV167" i="1"/>
  <c r="AV13" i="1"/>
  <c r="AV48" i="1"/>
  <c r="AV41" i="1"/>
  <c r="AV37" i="1"/>
  <c r="AV17" i="1"/>
  <c r="AV33" i="1"/>
  <c r="AV99" i="1"/>
  <c r="AV151" i="1"/>
  <c r="AV170" i="1"/>
  <c r="AV158" i="1"/>
  <c r="AV20" i="1"/>
  <c r="AV36" i="1"/>
  <c r="AV38" i="1"/>
  <c r="AV23" i="1"/>
  <c r="AV34" i="1"/>
  <c r="AV53" i="1"/>
  <c r="AV135" i="1"/>
  <c r="AV179" i="1"/>
  <c r="AV55" i="1"/>
  <c r="AV85" i="1"/>
  <c r="AV101" i="1"/>
  <c r="AV117" i="1"/>
  <c r="AV137" i="1"/>
  <c r="AV153" i="1"/>
  <c r="AV173" i="1"/>
  <c r="AV58" i="1"/>
  <c r="AV61" i="1"/>
  <c r="AV127" i="1"/>
  <c r="AV57" i="1"/>
  <c r="AV103" i="1"/>
  <c r="AV184" i="1"/>
  <c r="AV59" i="1"/>
  <c r="AV155" i="1"/>
  <c r="AV52" i="1"/>
  <c r="AV14" i="1"/>
  <c r="AV25" i="1"/>
  <c r="AV30" i="1"/>
  <c r="AV63" i="1"/>
  <c r="AV113" i="1"/>
  <c r="AV133" i="1"/>
  <c r="AV149" i="1"/>
  <c r="AV71" i="1"/>
  <c r="AV130" i="1"/>
  <c r="AV176" i="1"/>
  <c r="AV74" i="1"/>
  <c r="AV107" i="1"/>
  <c r="AV115" i="1"/>
  <c r="AV143" i="1"/>
  <c r="AV163" i="1"/>
  <c r="AV47" i="1"/>
  <c r="AV66" i="1"/>
  <c r="AV81" i="1"/>
  <c r="AV106" i="1"/>
  <c r="AV132" i="1"/>
  <c r="AV178" i="1"/>
  <c r="AV35" i="1"/>
  <c r="AV29" i="1"/>
  <c r="AV165" i="1"/>
  <c r="AV181" i="1"/>
  <c r="AV49" i="1"/>
  <c r="AV84" i="1"/>
  <c r="AV11" i="1"/>
  <c r="AV16" i="1"/>
  <c r="AV32" i="1"/>
  <c r="AV111" i="1"/>
  <c r="AV140" i="1"/>
  <c r="AV138" i="1"/>
  <c r="AV128" i="1"/>
  <c r="AV45" i="1"/>
  <c r="AV62" i="1"/>
  <c r="AV131" i="1"/>
  <c r="AV21" i="1"/>
  <c r="AV89" i="1"/>
  <c r="AV105" i="1"/>
  <c r="AV121" i="1"/>
  <c r="AV141" i="1"/>
  <c r="AV157" i="1"/>
  <c r="AV148" i="1"/>
  <c r="AV166" i="1"/>
  <c r="AV26" i="1"/>
  <c r="AV39" i="1"/>
  <c r="AV109" i="1"/>
  <c r="AV125" i="1"/>
  <c r="AV145" i="1"/>
  <c r="AV90" i="1"/>
  <c r="AV98" i="1"/>
  <c r="AV114" i="1"/>
  <c r="AV122" i="1"/>
  <c r="AV142" i="1"/>
  <c r="AV150" i="1"/>
  <c r="AV168" i="1"/>
  <c r="AV183" i="1"/>
  <c r="AV28" i="1"/>
  <c r="AV19" i="1"/>
  <c r="AV78" i="1"/>
  <c r="AV108" i="1"/>
  <c r="AV180" i="1"/>
  <c r="AV129" i="1"/>
  <c r="AV15" i="1"/>
  <c r="AV46" i="1"/>
  <c r="AV72" i="1"/>
  <c r="AV169" i="1"/>
  <c r="AV54" i="1"/>
  <c r="AV77" i="1"/>
  <c r="AV146" i="1"/>
  <c r="AV80" i="1"/>
  <c r="AV68" i="1"/>
  <c r="AV75" i="1"/>
  <c r="AV83" i="1"/>
  <c r="AV100" i="1"/>
  <c r="AV124" i="1"/>
  <c r="AV144" i="1"/>
  <c r="AV152" i="1"/>
  <c r="AV172" i="1"/>
  <c r="AV82" i="1"/>
  <c r="AV123" i="1"/>
  <c r="AV171" i="1"/>
  <c r="AV42" i="1"/>
  <c r="AV70" i="1"/>
  <c r="AV86" i="1"/>
  <c r="AV102" i="1"/>
  <c r="AV110" i="1"/>
  <c r="AV136" i="1"/>
  <c r="AV154" i="1"/>
  <c r="AV164" i="1"/>
  <c r="AV18" i="1"/>
  <c r="AV31" i="1"/>
  <c r="AV67" i="1"/>
  <c r="AV76" i="1"/>
  <c r="AV56" i="1"/>
  <c r="AV79" i="1"/>
  <c r="AV88" i="1"/>
  <c r="AV104" i="1"/>
  <c r="AV112" i="1"/>
  <c r="AV139" i="1"/>
  <c r="AV156" i="1"/>
  <c r="AX137" i="1"/>
  <c r="AX49" i="1" l="1"/>
  <c r="AX146" i="1"/>
  <c r="AX74" i="1" l="1"/>
  <c r="AL185" i="1" l="1"/>
  <c r="AK185" i="1"/>
  <c r="AF185" i="1"/>
  <c r="AE185" i="1"/>
  <c r="Z185" i="1"/>
  <c r="Y185" i="1"/>
  <c r="T185" i="1"/>
  <c r="S185" i="1"/>
  <c r="N185" i="1"/>
  <c r="M185" i="1"/>
  <c r="AR10" i="1"/>
  <c r="AQ10" i="1"/>
  <c r="AO10" i="1"/>
  <c r="AN10" i="1"/>
  <c r="AM10" i="1"/>
  <c r="AI10" i="1"/>
  <c r="AH10" i="1"/>
  <c r="AG10" i="1"/>
  <c r="AC10" i="1"/>
  <c r="AB10" i="1"/>
  <c r="AA10" i="1"/>
  <c r="W10" i="1"/>
  <c r="V10" i="1"/>
  <c r="U10" i="1"/>
  <c r="Q10" i="1"/>
  <c r="P10" i="1"/>
  <c r="O10" i="1"/>
  <c r="AX155" i="1" l="1"/>
  <c r="AX159" i="1"/>
  <c r="AX90" i="1"/>
  <c r="AX36" i="1"/>
  <c r="AX44" i="1"/>
  <c r="AX53" i="1"/>
  <c r="AX164" i="1"/>
  <c r="AX13" i="1"/>
  <c r="AX143" i="1"/>
  <c r="AX148" i="1"/>
  <c r="AX152" i="1"/>
  <c r="AX23" i="1"/>
  <c r="AX27" i="1"/>
  <c r="AX31" i="1"/>
  <c r="AX47" i="1"/>
  <c r="AX62" i="1"/>
  <c r="AX70" i="1"/>
  <c r="AX144" i="1"/>
  <c r="AX147" i="1"/>
  <c r="AX163" i="1"/>
  <c r="AX68" i="1"/>
  <c r="AX19" i="1"/>
  <c r="AX43" i="1"/>
  <c r="AX17" i="1"/>
  <c r="AX40" i="1"/>
  <c r="AX48" i="1"/>
  <c r="AX50" i="1"/>
  <c r="AX87" i="1"/>
  <c r="AX88" i="1"/>
  <c r="AX96" i="1"/>
  <c r="AX135" i="1"/>
  <c r="AX142" i="1"/>
  <c r="AX145" i="1"/>
  <c r="AX149" i="1"/>
  <c r="AX26" i="1"/>
  <c r="AX42" i="1"/>
  <c r="AX69" i="1"/>
  <c r="AX72" i="1"/>
  <c r="AX81" i="1"/>
  <c r="AX113" i="1"/>
  <c r="AX123" i="1"/>
  <c r="AX127" i="1"/>
  <c r="AX129" i="1"/>
  <c r="AX33" i="1"/>
  <c r="AX55" i="1"/>
  <c r="AX20" i="1"/>
  <c r="AX39" i="1"/>
  <c r="AX52" i="1"/>
  <c r="AX104" i="1"/>
  <c r="AX153" i="1"/>
  <c r="AX156" i="1"/>
  <c r="AX11" i="1"/>
  <c r="AX16" i="1"/>
  <c r="AX22" i="1"/>
  <c r="AX28" i="1"/>
  <c r="AX32" i="1"/>
  <c r="AX37" i="1"/>
  <c r="AX38" i="1"/>
  <c r="AX58" i="1"/>
  <c r="AX59" i="1"/>
  <c r="AX60" i="1"/>
  <c r="AX63" i="1"/>
  <c r="AX67" i="1"/>
  <c r="AX77" i="1"/>
  <c r="AX79" i="1"/>
  <c r="AX83" i="1"/>
  <c r="AX151" i="1"/>
  <c r="AX157" i="1"/>
  <c r="AX71" i="1"/>
  <c r="AX111" i="1"/>
  <c r="AX12" i="1"/>
  <c r="AX35" i="1"/>
  <c r="AX66" i="1"/>
  <c r="AX73" i="1"/>
  <c r="AX14" i="1"/>
  <c r="AX15" i="1"/>
  <c r="AX18" i="1"/>
  <c r="AX24" i="1"/>
  <c r="AX34" i="1"/>
  <c r="AX45" i="1"/>
  <c r="AX51" i="1"/>
  <c r="AX56" i="1"/>
  <c r="AX61" i="1"/>
  <c r="AX64" i="1"/>
  <c r="AX21" i="1"/>
  <c r="AX29" i="1"/>
  <c r="AX30" i="1"/>
  <c r="AX41" i="1"/>
  <c r="AX46" i="1"/>
  <c r="AX54" i="1"/>
  <c r="AX57" i="1"/>
  <c r="AX65" i="1"/>
  <c r="AX76" i="1"/>
  <c r="AX80" i="1"/>
  <c r="AX84" i="1"/>
  <c r="AX106" i="1"/>
  <c r="AX107" i="1"/>
  <c r="AX110" i="1"/>
  <c r="AX133" i="1"/>
  <c r="AX158" i="1"/>
  <c r="AX75" i="1"/>
  <c r="AX78" i="1"/>
  <c r="AX95" i="1"/>
  <c r="AX105" i="1"/>
  <c r="AX108" i="1"/>
  <c r="AX109" i="1"/>
  <c r="AX124" i="1"/>
  <c r="AX167" i="1"/>
  <c r="AX171" i="1"/>
  <c r="AR185" i="1"/>
  <c r="AX25" i="1"/>
  <c r="AX86" i="1"/>
  <c r="AX100" i="1"/>
  <c r="AX82" i="1"/>
  <c r="AX92" i="1"/>
  <c r="AX94" i="1"/>
  <c r="AX98" i="1"/>
  <c r="AX150" i="1"/>
  <c r="AX154" i="1"/>
  <c r="AX112" i="1"/>
  <c r="AX116" i="1"/>
  <c r="AX119" i="1"/>
  <c r="AX126" i="1"/>
  <c r="AX160" i="1"/>
  <c r="AX168" i="1"/>
  <c r="AX172" i="1"/>
  <c r="AX102" i="1"/>
  <c r="AX120" i="1"/>
  <c r="AX161" i="1"/>
  <c r="AX165" i="1"/>
  <c r="AX169" i="1"/>
  <c r="AX173" i="1"/>
  <c r="AX114" i="1"/>
  <c r="AX115" i="1"/>
  <c r="AX117" i="1"/>
  <c r="AX118" i="1"/>
  <c r="AX121" i="1"/>
  <c r="AX122" i="1"/>
  <c r="AX125" i="1"/>
  <c r="AX130" i="1"/>
  <c r="AX131" i="1"/>
  <c r="AX138" i="1"/>
  <c r="AX140" i="1"/>
  <c r="AX162" i="1"/>
  <c r="AX166" i="1"/>
  <c r="AX170" i="1"/>
  <c r="AH185" i="1"/>
  <c r="AJ10" i="1"/>
  <c r="V185" i="1"/>
  <c r="AT10" i="1"/>
  <c r="X10" i="1"/>
  <c r="P185" i="1"/>
  <c r="R10" i="1"/>
  <c r="AN185" i="1"/>
  <c r="AP10" i="1"/>
  <c r="AB185" i="1"/>
  <c r="AD10" i="1"/>
  <c r="AS10" i="1"/>
  <c r="AX91" i="1"/>
  <c r="AX99" i="1"/>
  <c r="AX89" i="1"/>
  <c r="AX85" i="1"/>
  <c r="AX101" i="1"/>
  <c r="AX93" i="1"/>
  <c r="AX97" i="1"/>
  <c r="AX103" i="1"/>
  <c r="AX128" i="1"/>
  <c r="AX132" i="1"/>
  <c r="AX134" i="1"/>
  <c r="AX136" i="1"/>
  <c r="AX139" i="1"/>
  <c r="AX141" i="1"/>
  <c r="AX181" i="1"/>
  <c r="AX174" i="1"/>
  <c r="AX177" i="1"/>
  <c r="AX182" i="1"/>
  <c r="Q185" i="1"/>
  <c r="W185" i="1"/>
  <c r="AC185" i="1"/>
  <c r="AI185" i="1"/>
  <c r="AO185" i="1"/>
  <c r="O185" i="1"/>
  <c r="U185" i="1"/>
  <c r="AA185" i="1"/>
  <c r="D9" i="2" s="1"/>
  <c r="AG185" i="1"/>
  <c r="F9" i="2" s="1"/>
  <c r="AM185" i="1"/>
  <c r="AQ185" i="1"/>
  <c r="AU10" i="1"/>
  <c r="AX178" i="1"/>
  <c r="AX179" i="1"/>
  <c r="AX175" i="1"/>
  <c r="AX176" i="1"/>
  <c r="AX180" i="1"/>
  <c r="AX183" i="1"/>
  <c r="AX184" i="1"/>
  <c r="AV188" i="1" l="1"/>
  <c r="H9" i="2"/>
  <c r="B9" i="2"/>
  <c r="AV10" i="1"/>
  <c r="AJ185" i="1"/>
  <c r="G9" i="2" s="1"/>
  <c r="AD185" i="1"/>
  <c r="E9" i="2" s="1"/>
  <c r="R185" i="1"/>
  <c r="AX10" i="1"/>
  <c r="AS185" i="1"/>
  <c r="AP185" i="1"/>
  <c r="AT185" i="1"/>
  <c r="X185" i="1"/>
  <c r="AU185" i="1"/>
  <c r="J9" i="2" l="1"/>
  <c r="G3" i="2" s="1"/>
  <c r="AV187" i="1"/>
  <c r="I9" i="2"/>
  <c r="C9" i="2"/>
  <c r="AX185" i="1"/>
  <c r="AV185" i="1"/>
  <c r="K9" i="2" l="1"/>
  <c r="E3" i="2" s="1"/>
</calcChain>
</file>

<file path=xl/sharedStrings.xml><?xml version="1.0" encoding="utf-8"?>
<sst xmlns="http://schemas.openxmlformats.org/spreadsheetml/2006/main" count="1261" uniqueCount="274">
  <si>
    <t>CONTRATO ABIERTO, LICITACIÓN Y COMPRA DIRECTA</t>
  </si>
  <si>
    <t>Resaltados en rojo marcan incumplimiento</t>
  </si>
  <si>
    <t xml:space="preserve">TOTAL RACIONES SERVIDAS </t>
  </si>
  <si>
    <t>EJECUCIÓN FINANCIERA GLOBAL</t>
  </si>
  <si>
    <t>DEPARTAMENTO</t>
  </si>
  <si>
    <t>MUNICIPIO</t>
  </si>
  <si>
    <t>COMEDOR SOCIAL</t>
  </si>
  <si>
    <t>MODALIDAD</t>
  </si>
  <si>
    <t>DESAYUNO</t>
  </si>
  <si>
    <t>ALMUERZO</t>
  </si>
  <si>
    <t xml:space="preserve">MODALIDAD DE CONTRATACION </t>
  </si>
  <si>
    <t>REGION O LOTE</t>
  </si>
  <si>
    <t>PROVEEDOR</t>
  </si>
  <si>
    <t>TOTAL</t>
  </si>
  <si>
    <t>ALTA VERAPAZ</t>
  </si>
  <si>
    <t>CAHABÓN</t>
  </si>
  <si>
    <t>FIJO</t>
  </si>
  <si>
    <t>CONTRATO ABIERTO</t>
  </si>
  <si>
    <t>BANQUETES DE GUATEMALA, S.A.</t>
  </si>
  <si>
    <t>CHAHAL</t>
  </si>
  <si>
    <t xml:space="preserve"> </t>
  </si>
  <si>
    <t>CHISEC</t>
  </si>
  <si>
    <t>COBÁN</t>
  </si>
  <si>
    <t>LICITACION</t>
  </si>
  <si>
    <t>LOTE 4</t>
  </si>
  <si>
    <t>PROVEEDORA DE ALIMENTOS EL ROSARIO</t>
  </si>
  <si>
    <t>FRAY BARTOLOMÉ DE LAS CASAS</t>
  </si>
  <si>
    <t>LOTE 5</t>
  </si>
  <si>
    <t>PANZÓS</t>
  </si>
  <si>
    <t>LOTE 6</t>
  </si>
  <si>
    <t>RAXRUHÁ</t>
  </si>
  <si>
    <t>SAN AGUSTÍN LANQUÍN</t>
  </si>
  <si>
    <t>MÓVIL</t>
  </si>
  <si>
    <t>SAN CRISTÓBAL VERAPAZ</t>
  </si>
  <si>
    <t>SAN JUAN CHAMELCO</t>
  </si>
  <si>
    <t>LOTE 9</t>
  </si>
  <si>
    <t>SAN MIGUEL TUCURÚ</t>
  </si>
  <si>
    <t>SANTA CATALINA LA TINTA</t>
  </si>
  <si>
    <t>SENAHÚ</t>
  </si>
  <si>
    <t>LOTE 12</t>
  </si>
  <si>
    <t>TAMAHÚ</t>
  </si>
  <si>
    <t>MÓVIL TEMPORAL</t>
  </si>
  <si>
    <t>BAJA VERAPAZ</t>
  </si>
  <si>
    <t>CUBULCO</t>
  </si>
  <si>
    <t>PURULHÁ</t>
  </si>
  <si>
    <t>LOTE 13</t>
  </si>
  <si>
    <t>SALAMÁ</t>
  </si>
  <si>
    <t>COMPRA DIRECTA</t>
  </si>
  <si>
    <t>TECNO SUMINISTROS, S.A.</t>
  </si>
  <si>
    <t>SALAMA 2 (CHILASCÓ)</t>
  </si>
  <si>
    <t>SAN JERÓNIMO</t>
  </si>
  <si>
    <t>LOTE 14</t>
  </si>
  <si>
    <t>SAN MIGUEL CHICAJ</t>
  </si>
  <si>
    <t>CHIMALTENANGO</t>
  </si>
  <si>
    <t>ACATENANGO</t>
  </si>
  <si>
    <t>REGION 5</t>
  </si>
  <si>
    <t>EL TEJAR</t>
  </si>
  <si>
    <t>PATZÚN</t>
  </si>
  <si>
    <t>LOTE 16</t>
  </si>
  <si>
    <t>SAN MIGUEL POCHUTA</t>
  </si>
  <si>
    <t>SAN PEDRO YEPOCAPA</t>
  </si>
  <si>
    <t>CHIQUIMULA</t>
  </si>
  <si>
    <t>REGION 3</t>
  </si>
  <si>
    <t>CAMOTÁN</t>
  </si>
  <si>
    <t>LOTE 17</t>
  </si>
  <si>
    <t>IPALA</t>
  </si>
  <si>
    <t>JOCOTÁN</t>
  </si>
  <si>
    <t>OLOPA</t>
  </si>
  <si>
    <t>SAN JUAN ERMITA</t>
  </si>
  <si>
    <t>EL PROGRESO</t>
  </si>
  <si>
    <t>EL JÍCARO</t>
  </si>
  <si>
    <t>LOTE 18</t>
  </si>
  <si>
    <t>MORAZÁN</t>
  </si>
  <si>
    <t>SAN AGUSTÍN ACASAGUASTLAN</t>
  </si>
  <si>
    <t>SAN ANTONIO LA PAZ</t>
  </si>
  <si>
    <t>SANSARE</t>
  </si>
  <si>
    <t>ESCUINTLA</t>
  </si>
  <si>
    <t>GUANAGAZAPA</t>
  </si>
  <si>
    <t>IZTAPA</t>
  </si>
  <si>
    <t>LA DEMOCRACIA</t>
  </si>
  <si>
    <t>LA GOMERA</t>
  </si>
  <si>
    <t>MASAGUA</t>
  </si>
  <si>
    <t>NUEVA CONCEPCIÓN</t>
  </si>
  <si>
    <t>PALÍN</t>
  </si>
  <si>
    <t>SAN VICENTE PACAYA</t>
  </si>
  <si>
    <t>SANTA LUCIA COTZUMALGUAPA</t>
  </si>
  <si>
    <t>SIPACATE</t>
  </si>
  <si>
    <t>SIQUINALÁ</t>
  </si>
  <si>
    <t>TIQUISATE</t>
  </si>
  <si>
    <t>GUATEMALA</t>
  </si>
  <si>
    <t>EL INCIENSO ZONA 3</t>
  </si>
  <si>
    <t>REGION 1</t>
  </si>
  <si>
    <t>FEGUA</t>
  </si>
  <si>
    <t>LOTE 20</t>
  </si>
  <si>
    <t>MAIMI</t>
  </si>
  <si>
    <t>MAINA</t>
  </si>
  <si>
    <t>ROOSEVELT</t>
  </si>
  <si>
    <t>UNOP</t>
  </si>
  <si>
    <t>ZONA 5</t>
  </si>
  <si>
    <t>MIXCO</t>
  </si>
  <si>
    <t>PALENCIA</t>
  </si>
  <si>
    <t>SAN JUAN SACATEPÉQUEZ</t>
  </si>
  <si>
    <t>LO DE CARRANZA</t>
  </si>
  <si>
    <t>VILLA NUEVA</t>
  </si>
  <si>
    <t>HUEHUETENANGO</t>
  </si>
  <si>
    <t>AGUACATÁN</t>
  </si>
  <si>
    <t>REGION 8</t>
  </si>
  <si>
    <t>LOTE 23</t>
  </si>
  <si>
    <t>MALACATANCITO</t>
  </si>
  <si>
    <t>MULTINEGOCIOS LA LOMA, S.A.</t>
  </si>
  <si>
    <t>SAN JUAN ATITÁN</t>
  </si>
  <si>
    <t>SAN PEDRO NECTA</t>
  </si>
  <si>
    <t>SAN PEDRO SOLOMA</t>
  </si>
  <si>
    <t>SAN RAFAEL PÉTZAL</t>
  </si>
  <si>
    <t>SAN SEBASTIÁN HUEHUETENANGO</t>
  </si>
  <si>
    <t>SANTA BÁRBARA</t>
  </si>
  <si>
    <t>SANTIAGO CHIMALTENANGO</t>
  </si>
  <si>
    <t>IZABAL</t>
  </si>
  <si>
    <t>EL ESTOR</t>
  </si>
  <si>
    <t>PLAYA PATAXTE</t>
  </si>
  <si>
    <t>LIVINGSTÓN</t>
  </si>
  <si>
    <t>FRONTERAS RIO DULCE</t>
  </si>
  <si>
    <t>LOS AMATES</t>
  </si>
  <si>
    <t>MORALES</t>
  </si>
  <si>
    <t>LOTE 35</t>
  </si>
  <si>
    <t>PUERTO BARRIOS</t>
  </si>
  <si>
    <t>ENTRE RÍOS</t>
  </si>
  <si>
    <t>JALAPA</t>
  </si>
  <si>
    <t>MATAQUESCUINTLA</t>
  </si>
  <si>
    <t>MONJAS</t>
  </si>
  <si>
    <t>SAN CARLOS ALZATATE</t>
  </si>
  <si>
    <t>SAN LUIS JILOTEPEQUE</t>
  </si>
  <si>
    <t>SAN MANUEL CHAPARRÓN</t>
  </si>
  <si>
    <t>SAN PEDRO PÍNULA</t>
  </si>
  <si>
    <t>JUTIAPA</t>
  </si>
  <si>
    <t>COMAPA</t>
  </si>
  <si>
    <t>CONGUACO</t>
  </si>
  <si>
    <t>EL ADELANTO</t>
  </si>
  <si>
    <t>JALPATAGUA</t>
  </si>
  <si>
    <t>MOYUTA</t>
  </si>
  <si>
    <t>QUESADA</t>
  </si>
  <si>
    <t>SANTA CATARINA MITA</t>
  </si>
  <si>
    <t>YUPILTEPEQUE</t>
  </si>
  <si>
    <t>ZAPOTITLÁN</t>
  </si>
  <si>
    <t>PETÉN</t>
  </si>
  <si>
    <t>LA LIBERTAD</t>
  </si>
  <si>
    <t>MELCHOR DE MENCOS</t>
  </si>
  <si>
    <t>POPTÚN</t>
  </si>
  <si>
    <t>SAN ANDRÉS</t>
  </si>
  <si>
    <t>SAN BENITO</t>
  </si>
  <si>
    <t>SAN FRANCISCO</t>
  </si>
  <si>
    <t>SAN LUIS</t>
  </si>
  <si>
    <t>SANTA ANA</t>
  </si>
  <si>
    <t>LAS CRUCES</t>
  </si>
  <si>
    <t>QUETZALTENANGO</t>
  </si>
  <si>
    <t>REGION 6</t>
  </si>
  <si>
    <t>CAJOLÁ</t>
  </si>
  <si>
    <t>LOTE 42</t>
  </si>
  <si>
    <t>SAN FRANCISCO LA UNIÓN</t>
  </si>
  <si>
    <t>QUICHÉ</t>
  </si>
  <si>
    <t>CANILLÁ</t>
  </si>
  <si>
    <t>CHICHÉ</t>
  </si>
  <si>
    <t>SACAPULAS</t>
  </si>
  <si>
    <t>SAN ANDRÉS SAJCABAJÁ</t>
  </si>
  <si>
    <t>SAN MIGUEL USPANTÁN</t>
  </si>
  <si>
    <t>SANTA CRUZ DEL QUICHÉ</t>
  </si>
  <si>
    <t>LOTE 44</t>
  </si>
  <si>
    <t>RETALHULEU</t>
  </si>
  <si>
    <t>CHAMPERICO</t>
  </si>
  <si>
    <t>REGION 7</t>
  </si>
  <si>
    <t>CHAMPERICO CENTRO</t>
  </si>
  <si>
    <t>NUEVO SAN CARLOS</t>
  </si>
  <si>
    <t>SAN MARTÍN ZAPOTITLÁN</t>
  </si>
  <si>
    <t>SACATEPÉQUEZ</t>
  </si>
  <si>
    <t>SAN BARTOLOMÉ MILPAS ALTAS</t>
  </si>
  <si>
    <t>SANTA LUCÍA MILPAS ALTAS</t>
  </si>
  <si>
    <t>SANTA MARÍA DE JESUS</t>
  </si>
  <si>
    <t>SAN ANTONIO AGUAS CALIENTES</t>
  </si>
  <si>
    <t>SAN MARCOS</t>
  </si>
  <si>
    <t>CONCEPCIÓN TUTUAPA</t>
  </si>
  <si>
    <t>ESQUIPULAS PALO GORDO</t>
  </si>
  <si>
    <t>LA BLANCA</t>
  </si>
  <si>
    <t>LA REFORMA</t>
  </si>
  <si>
    <t>MALACATÁN</t>
  </si>
  <si>
    <t>SAN JOSÉ EL RODEO</t>
  </si>
  <si>
    <t>SAN JOSÉ OJETENAM</t>
  </si>
  <si>
    <t>SAN LORENZO</t>
  </si>
  <si>
    <t>SAN MIGUEL IXTAHUACÁN</t>
  </si>
  <si>
    <t>SAN PABLO</t>
  </si>
  <si>
    <t>SAN RAFAEL PIE DE LA CUESTA</t>
  </si>
  <si>
    <t>SANTA ROSA</t>
  </si>
  <si>
    <t>BARBERENA</t>
  </si>
  <si>
    <t>LOTE 53</t>
  </si>
  <si>
    <t>CASILLAS</t>
  </si>
  <si>
    <t>CHIQUIMULILLA</t>
  </si>
  <si>
    <t>CUILAPA</t>
  </si>
  <si>
    <t>100-150</t>
  </si>
  <si>
    <t>200-225</t>
  </si>
  <si>
    <t>NUEVA SANTA ROSA</t>
  </si>
  <si>
    <t>PUEBLO NUEVO VIÑAS</t>
  </si>
  <si>
    <t>SAN RAFAEL LAS FLORES</t>
  </si>
  <si>
    <t>SANTA CRUZ NARANJO</t>
  </si>
  <si>
    <t>SANTA ROSA DE LIMA</t>
  </si>
  <si>
    <t>TAXISCO</t>
  </si>
  <si>
    <t>SOLOLÁ</t>
  </si>
  <si>
    <t>SANTA CRUZ LA LAGUNA</t>
  </si>
  <si>
    <t>SUCHITEPÉQUEZ</t>
  </si>
  <si>
    <t>CHICACAO</t>
  </si>
  <si>
    <t>PATULUL</t>
  </si>
  <si>
    <t>RÍO BRAVO</t>
  </si>
  <si>
    <t>SAMAYAC</t>
  </si>
  <si>
    <t>SAN ANTONIO SUCHITEPÉQUEZ</t>
  </si>
  <si>
    <t>SAN BERNARDINO</t>
  </si>
  <si>
    <t>SAN FRANCISCO ZAPOTITLÁN</t>
  </si>
  <si>
    <t>LOTE 54</t>
  </si>
  <si>
    <t>SAN GABRIEL</t>
  </si>
  <si>
    <t>SAN PABLO JOCOPILAS</t>
  </si>
  <si>
    <t>SANTO TOMÁS LA UNIÓN</t>
  </si>
  <si>
    <t>TOTONICAPÁN</t>
  </si>
  <si>
    <t>MOMOSTENANGO</t>
  </si>
  <si>
    <t>SAN FRANCISCO EL ALTO</t>
  </si>
  <si>
    <t>SANTA LUCIA LA REFORMA</t>
  </si>
  <si>
    <t>SANTA LUCÍA LA REFORMA</t>
  </si>
  <si>
    <t>LOTE 56</t>
  </si>
  <si>
    <t>SANTA MARÍA CHIQUIMULA</t>
  </si>
  <si>
    <t>LOTE 57</t>
  </si>
  <si>
    <t>LOTE 58</t>
  </si>
  <si>
    <t>ZACAPA</t>
  </si>
  <si>
    <t>CABAÑAS</t>
  </si>
  <si>
    <t>GUALÁN</t>
  </si>
  <si>
    <t>HUITÉ</t>
  </si>
  <si>
    <t>LA UNIÓN</t>
  </si>
  <si>
    <t>SAN DIEGO</t>
  </si>
  <si>
    <t>SAN JORGE</t>
  </si>
  <si>
    <t>ESTANZUELA</t>
  </si>
  <si>
    <t>REGION 4</t>
  </si>
  <si>
    <t>TECULUTÁN</t>
  </si>
  <si>
    <t>USUMATLÁN</t>
  </si>
  <si>
    <t xml:space="preserve">TOTAL GLOBAL JULIO/AGOSTO                                    </t>
  </si>
  <si>
    <t xml:space="preserve">TOTAL GLOBAL RACIONES JULIO/AGOSTO                                    </t>
  </si>
  <si>
    <t>2a. Semana (RACIONES SERVIDAS)</t>
  </si>
  <si>
    <t>3a. Semana (RACIONES SERVIDAS)</t>
  </si>
  <si>
    <t>4a. Semana (RACIONES SERVIDAS)</t>
  </si>
  <si>
    <t xml:space="preserve">TOTAL GLOBAL </t>
  </si>
  <si>
    <t>Cantidad de raciones servidas</t>
  </si>
  <si>
    <t>Ejecución Financiera</t>
  </si>
  <si>
    <t>Cantidad de racione servidas</t>
  </si>
  <si>
    <t>Acumulado Raciones</t>
  </si>
  <si>
    <t>Acumulado Ejecución</t>
  </si>
  <si>
    <t>SALAMA  (CASCO URBANO)</t>
  </si>
  <si>
    <t>MOYUTA MÓVIL</t>
  </si>
  <si>
    <t>EJECUCIÓN SEPTIEMBRE 2026</t>
  </si>
  <si>
    <t>CUBULCO MÓVIL</t>
  </si>
  <si>
    <t>PRIMERA SEMANA (del 1 al 11 de Septiembre)</t>
  </si>
  <si>
    <t>TERCERA SEMANA (del 21 al 25 de septiembre)</t>
  </si>
  <si>
    <t>CUARTA SEMANA (del 28 al 30 de septiembre)</t>
  </si>
  <si>
    <t>SEGUNDA SEMANA (del 14 al 18 de septiembre)</t>
  </si>
  <si>
    <t>SANARATE</t>
  </si>
  <si>
    <t>SAN AGUSTÍN ACASAGUASTLAN MÓVIL</t>
  </si>
  <si>
    <t>VILLA CANALES</t>
  </si>
  <si>
    <t>Nuevas Aperturas</t>
  </si>
  <si>
    <t>suspendidos</t>
  </si>
  <si>
    <t>150-125</t>
  </si>
  <si>
    <t>200-175</t>
  </si>
  <si>
    <t>CATARINA</t>
  </si>
  <si>
    <t xml:space="preserve"> (pendiente de liquidar de agosto)</t>
  </si>
  <si>
    <t>VILLA NUEVA ZONA 4 (ALTOS DE VILLA NUEVA)</t>
  </si>
  <si>
    <t>1a. Semana de septiembre y período de agosto pendiente de liquidar (RACIONES SERVIDAS)</t>
  </si>
  <si>
    <t>SALAMA</t>
  </si>
  <si>
    <t>No.</t>
  </si>
  <si>
    <t>Comedores con Corte anticipado</t>
  </si>
  <si>
    <t>OCÓS</t>
  </si>
  <si>
    <t>Resumen septiembre 2026 (del 01 al 30 de septiembre 2026</t>
  </si>
  <si>
    <t>150-175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</si>
</sst>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Q&quot;* #,##0.00_-;\-&quot;Q&quot;* #,##0.00_-;_-&quot;Q&quot;* &quot;-&quot;??_-;_-@_-"/>
    <numFmt numFmtId="164" formatCode="#,##0_);[Red]\(#,##0\)"/>
    <numFmt numFmtId="165" formatCode="_-&quot;Q&quot;* #,##0.00_-;\-&quot;Q&quot;* #,##0.00_-;_-&quot;Q&quot;* &quot;-&quot;??_-;_-@"/>
    <numFmt numFmtId="166" formatCode="&quot;Q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u/>
      <sz val="11"/>
      <color rgb="FFFF0000"/>
      <name val="Calibri"/>
      <family val="2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i/>
      <u/>
      <sz val="11"/>
      <name val="Calibri"/>
      <family val="2"/>
    </font>
    <font>
      <sz val="11"/>
      <color rgb="FFFF0000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rgb="FF00FFFF"/>
      </patternFill>
    </fill>
    <fill>
      <patternFill patternType="solid">
        <fgColor rgb="FF00FFFF"/>
        <bgColor rgb="FF00FFFF"/>
      </patternFill>
    </fill>
    <fill>
      <patternFill patternType="solid">
        <fgColor theme="8" tint="0.59999389629810485"/>
        <bgColor rgb="FF00FFFF"/>
      </patternFill>
    </fill>
    <fill>
      <patternFill patternType="solid">
        <fgColor theme="6" tint="0.59999389629810485"/>
        <bgColor rgb="FF00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1">
    <xf numFmtId="0" fontId="0" fillId="0" borderId="0" xfId="0"/>
    <xf numFmtId="0" fontId="3" fillId="0" borderId="0" xfId="0" applyFont="1" applyFill="1" applyAlignment="1">
      <alignment horizontal="center" vertical="center"/>
    </xf>
    <xf numFmtId="0" fontId="3" fillId="0" borderId="0" xfId="0" applyFont="1"/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Fill="1" applyAlignment="1"/>
    <xf numFmtId="0" fontId="4" fillId="0" borderId="0" xfId="0" applyFont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vertical="top"/>
    </xf>
    <xf numFmtId="0" fontId="0" fillId="0" borderId="0" xfId="0" applyFont="1" applyAlignment="1">
      <alignment horizontal="right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Fill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2" fillId="0" borderId="0" xfId="0" applyFont="1" applyAlignment="1"/>
    <xf numFmtId="3" fontId="4" fillId="5" borderId="8" xfId="0" applyNumberFormat="1" applyFont="1" applyFill="1" applyBorder="1" applyAlignment="1">
      <alignment horizontal="center" vertical="center"/>
    </xf>
    <xf numFmtId="3" fontId="4" fillId="5" borderId="9" xfId="0" applyNumberFormat="1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3" fontId="4" fillId="6" borderId="8" xfId="0" applyNumberFormat="1" applyFont="1" applyFill="1" applyBorder="1" applyAlignment="1">
      <alignment horizontal="center" vertical="center"/>
    </xf>
    <xf numFmtId="3" fontId="4" fillId="6" borderId="9" xfId="0" applyNumberFormat="1" applyFont="1" applyFill="1" applyBorder="1" applyAlignment="1">
      <alignment horizontal="center" vertical="center"/>
    </xf>
    <xf numFmtId="3" fontId="4" fillId="6" borderId="10" xfId="0" applyNumberFormat="1" applyFont="1" applyFill="1" applyBorder="1" applyAlignment="1">
      <alignment horizontal="center" vertical="center"/>
    </xf>
    <xf numFmtId="3" fontId="4" fillId="7" borderId="9" xfId="0" applyNumberFormat="1" applyFont="1" applyFill="1" applyBorder="1" applyAlignment="1">
      <alignment horizontal="center" vertical="center"/>
    </xf>
    <xf numFmtId="3" fontId="4" fillId="7" borderId="10" xfId="0" applyNumberFormat="1" applyFont="1" applyFill="1" applyBorder="1" applyAlignment="1">
      <alignment horizontal="center" vertical="center"/>
    </xf>
    <xf numFmtId="3" fontId="4" fillId="8" borderId="9" xfId="0" applyNumberFormat="1" applyFont="1" applyFill="1" applyBorder="1" applyAlignment="1">
      <alignment horizontal="center" vertical="center"/>
    </xf>
    <xf numFmtId="3" fontId="4" fillId="8" borderId="10" xfId="0" applyNumberFormat="1" applyFont="1" applyFill="1" applyBorder="1" applyAlignment="1">
      <alignment horizontal="center" vertical="center"/>
    </xf>
    <xf numFmtId="3" fontId="4" fillId="6" borderId="11" xfId="0" applyNumberFormat="1" applyFont="1" applyFill="1" applyBorder="1" applyAlignment="1">
      <alignment horizontal="center" vertical="center"/>
    </xf>
    <xf numFmtId="3" fontId="4" fillId="6" borderId="12" xfId="0" applyNumberFormat="1" applyFont="1" applyFill="1" applyBorder="1" applyAlignment="1">
      <alignment horizontal="center" vertical="center"/>
    </xf>
    <xf numFmtId="0" fontId="9" fillId="0" borderId="0" xfId="0" applyFont="1" applyFill="1" applyAlignment="1"/>
    <xf numFmtId="44" fontId="9" fillId="0" borderId="0" xfId="0" applyNumberFormat="1" applyFont="1" applyFill="1" applyAlignment="1"/>
    <xf numFmtId="0" fontId="9" fillId="0" borderId="0" xfId="0" applyFont="1" applyFill="1" applyAlignment="1">
      <alignment vertical="center"/>
    </xf>
    <xf numFmtId="0" fontId="9" fillId="3" borderId="0" xfId="0" applyFont="1" applyFill="1" applyAlignment="1"/>
    <xf numFmtId="0" fontId="9" fillId="2" borderId="0" xfId="0" applyFont="1" applyFill="1" applyAlignment="1"/>
    <xf numFmtId="0" fontId="9" fillId="0" borderId="0" xfId="0" applyFont="1" applyFill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44" fontId="4" fillId="9" borderId="1" xfId="0" applyNumberFormat="1" applyFont="1" applyFill="1" applyBorder="1" applyAlignment="1">
      <alignment horizontal="center" vertical="center"/>
    </xf>
    <xf numFmtId="44" fontId="4" fillId="0" borderId="1" xfId="0" applyNumberFormat="1" applyFont="1" applyBorder="1" applyAlignment="1">
      <alignment horizontal="right" vertical="center"/>
    </xf>
    <xf numFmtId="44" fontId="4" fillId="6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44" fontId="3" fillId="0" borderId="0" xfId="0" applyNumberFormat="1" applyFont="1"/>
    <xf numFmtId="166" fontId="13" fillId="0" borderId="0" xfId="0" applyNumberFormat="1" applyFont="1" applyFill="1" applyBorder="1" applyAlignment="1">
      <alignment horizontal="center" vertical="center" wrapText="1"/>
    </xf>
    <xf numFmtId="3" fontId="13" fillId="0" borderId="0" xfId="0" applyNumberFormat="1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 wrapText="1"/>
    </xf>
    <xf numFmtId="0" fontId="4" fillId="12" borderId="23" xfId="0" applyFont="1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 wrapText="1"/>
    </xf>
    <xf numFmtId="0" fontId="4" fillId="12" borderId="25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4" fillId="12" borderId="27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3" fontId="3" fillId="0" borderId="28" xfId="0" applyNumberFormat="1" applyFont="1" applyBorder="1" applyAlignment="1">
      <alignment horizontal="center"/>
    </xf>
    <xf numFmtId="44" fontId="1" fillId="0" borderId="29" xfId="0" applyNumberFormat="1" applyFont="1" applyBorder="1" applyAlignment="1">
      <alignment horizontal="center"/>
    </xf>
    <xf numFmtId="3" fontId="1" fillId="0" borderId="28" xfId="0" applyNumberFormat="1" applyFont="1" applyBorder="1" applyAlignment="1">
      <alignment horizontal="center"/>
    </xf>
    <xf numFmtId="3" fontId="0" fillId="0" borderId="30" xfId="0" applyNumberFormat="1" applyFont="1" applyBorder="1" applyAlignment="1">
      <alignment horizontal="center"/>
    </xf>
    <xf numFmtId="44" fontId="0" fillId="0" borderId="3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3" fontId="3" fillId="0" borderId="0" xfId="0" applyNumberFormat="1" applyFont="1"/>
    <xf numFmtId="0" fontId="11" fillId="0" borderId="0" xfId="0" applyFont="1" applyFill="1" applyAlignment="1"/>
    <xf numFmtId="0" fontId="14" fillId="0" borderId="0" xfId="0" applyFont="1"/>
    <xf numFmtId="0" fontId="14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4" fontId="4" fillId="13" borderId="1" xfId="0" applyNumberFormat="1" applyFont="1" applyFill="1" applyBorder="1" applyAlignment="1">
      <alignment horizontal="center" vertical="center"/>
    </xf>
    <xf numFmtId="0" fontId="9" fillId="13" borderId="0" xfId="0" applyFont="1" applyFill="1" applyAlignment="1"/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vertical="center"/>
    </xf>
    <xf numFmtId="0" fontId="15" fillId="13" borderId="0" xfId="0" applyFont="1" applyFill="1" applyAlignment="1"/>
    <xf numFmtId="0" fontId="4" fillId="0" borderId="0" xfId="0" applyFont="1" applyAlignment="1">
      <alignment horizontal="center" vertical="center"/>
    </xf>
    <xf numFmtId="0" fontId="7" fillId="0" borderId="2" xfId="0" applyFont="1" applyBorder="1"/>
    <xf numFmtId="44" fontId="4" fillId="5" borderId="1" xfId="0" applyNumberFormat="1" applyFont="1" applyFill="1" applyBorder="1" applyAlignment="1">
      <alignment horizontal="center" vertical="center"/>
    </xf>
    <xf numFmtId="44" fontId="4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right" vertical="center"/>
    </xf>
    <xf numFmtId="3" fontId="10" fillId="0" borderId="0" xfId="0" applyNumberFormat="1" applyFont="1" applyFill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/>
    <xf numFmtId="0" fontId="11" fillId="0" borderId="0" xfId="0" applyFont="1" applyAlignment="1"/>
    <xf numFmtId="0" fontId="9" fillId="0" borderId="0" xfId="0" applyFont="1" applyAlignment="1">
      <alignment horizontal="right"/>
    </xf>
    <xf numFmtId="0" fontId="8" fillId="0" borderId="0" xfId="0" applyFont="1" applyAlignment="1"/>
    <xf numFmtId="0" fontId="8" fillId="0" borderId="0" xfId="0" applyFont="1" applyFill="1" applyAlignment="1"/>
    <xf numFmtId="0" fontId="8" fillId="0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Fill="1" applyAlignment="1">
      <alignment vertical="center"/>
    </xf>
    <xf numFmtId="44" fontId="8" fillId="0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44" fontId="10" fillId="0" borderId="0" xfId="0" applyNumberFormat="1" applyFont="1"/>
    <xf numFmtId="3" fontId="10" fillId="0" borderId="0" xfId="0" applyNumberFormat="1" applyFont="1"/>
    <xf numFmtId="0" fontId="19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44" fontId="0" fillId="0" borderId="1" xfId="0" applyNumberFormat="1" applyFont="1" applyFill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top"/>
    </xf>
    <xf numFmtId="44" fontId="0" fillId="0" borderId="1" xfId="1" applyNumberFormat="1" applyFont="1" applyFill="1" applyBorder="1" applyAlignment="1">
      <alignment horizontal="center" vertical="top"/>
    </xf>
    <xf numFmtId="0" fontId="17" fillId="0" borderId="1" xfId="1" applyNumberFormat="1" applyFont="1" applyFill="1" applyBorder="1" applyAlignment="1">
      <alignment horizontal="center" vertical="top"/>
    </xf>
    <xf numFmtId="3" fontId="0" fillId="0" borderId="1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164" fontId="3" fillId="0" borderId="13" xfId="0" applyNumberFormat="1" applyFont="1" applyFill="1" applyBorder="1" applyAlignment="1">
      <alignment horizontal="center" vertical="center"/>
    </xf>
    <xf numFmtId="44" fontId="3" fillId="0" borderId="14" xfId="0" applyNumberFormat="1" applyFont="1" applyFill="1" applyBorder="1" applyAlignment="1">
      <alignment horizontal="center" vertical="center"/>
    </xf>
    <xf numFmtId="165" fontId="3" fillId="0" borderId="14" xfId="0" applyNumberFormat="1" applyFont="1" applyFill="1" applyBorder="1" applyAlignment="1">
      <alignment horizontal="center" vertical="center"/>
    </xf>
    <xf numFmtId="165" fontId="3" fillId="0" borderId="5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vertical="center"/>
    </xf>
    <xf numFmtId="0" fontId="15" fillId="0" borderId="1" xfId="1" applyNumberFormat="1" applyFont="1" applyFill="1" applyBorder="1" applyAlignment="1">
      <alignment horizontal="center" vertical="top"/>
    </xf>
    <xf numFmtId="0" fontId="0" fillId="0" borderId="3" xfId="1" applyNumberFormat="1" applyFont="1" applyFill="1" applyBorder="1" applyAlignment="1">
      <alignment horizontal="center" vertical="top"/>
    </xf>
    <xf numFmtId="0" fontId="17" fillId="0" borderId="1" xfId="0" applyFont="1" applyFill="1" applyBorder="1" applyAlignment="1">
      <alignment horizontal="center" vertical="center"/>
    </xf>
    <xf numFmtId="3" fontId="17" fillId="0" borderId="1" xfId="0" applyNumberFormat="1" applyFont="1" applyFill="1" applyBorder="1" applyAlignment="1">
      <alignment horizontal="center" vertical="center"/>
    </xf>
    <xf numFmtId="44" fontId="17" fillId="0" borderId="1" xfId="0" applyNumberFormat="1" applyFont="1" applyFill="1" applyBorder="1" applyAlignment="1">
      <alignment horizontal="center" vertical="center"/>
    </xf>
    <xf numFmtId="44" fontId="17" fillId="0" borderId="1" xfId="1" applyFont="1" applyFill="1" applyBorder="1" applyAlignment="1">
      <alignment horizontal="center" vertical="center"/>
    </xf>
    <xf numFmtId="0" fontId="17" fillId="0" borderId="3" xfId="1" applyNumberFormat="1" applyFont="1" applyFill="1" applyBorder="1" applyAlignment="1">
      <alignment horizontal="center" vertical="top"/>
    </xf>
    <xf numFmtId="0" fontId="15" fillId="0" borderId="3" xfId="1" applyNumberFormat="1" applyFont="1" applyFill="1" applyBorder="1" applyAlignment="1">
      <alignment horizontal="center" vertical="top"/>
    </xf>
    <xf numFmtId="0" fontId="17" fillId="0" borderId="3" xfId="1" applyNumberFormat="1" applyFont="1" applyFill="1" applyBorder="1" applyAlignment="1">
      <alignment horizontal="center" vertical="center"/>
    </xf>
    <xf numFmtId="0" fontId="0" fillId="0" borderId="3" xfId="1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/>
    </xf>
    <xf numFmtId="4" fontId="17" fillId="0" borderId="1" xfId="0" applyNumberFormat="1" applyFont="1" applyFill="1" applyBorder="1" applyAlignment="1">
      <alignment vertical="center" wrapText="1"/>
    </xf>
    <xf numFmtId="4" fontId="17" fillId="0" borderId="1" xfId="0" applyNumberFormat="1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4" fontId="17" fillId="13" borderId="1" xfId="0" applyNumberFormat="1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left" vertical="center" wrapText="1"/>
    </xf>
    <xf numFmtId="4" fontId="15" fillId="13" borderId="1" xfId="0" applyNumberFormat="1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4" fontId="15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4" fontId="17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vertical="center"/>
    </xf>
    <xf numFmtId="0" fontId="17" fillId="0" borderId="1" xfId="1" applyNumberFormat="1" applyFont="1" applyFill="1" applyBorder="1" applyAlignment="1">
      <alignment horizontal="center" vertical="center"/>
    </xf>
    <xf numFmtId="0" fontId="17" fillId="0" borderId="15" xfId="0" applyFont="1" applyFill="1" applyBorder="1" applyAlignment="1">
      <alignment horizontal="left" vertical="center" wrapText="1"/>
    </xf>
    <xf numFmtId="0" fontId="17" fillId="0" borderId="15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vertical="center" wrapText="1"/>
    </xf>
    <xf numFmtId="0" fontId="0" fillId="0" borderId="0" xfId="0" applyFont="1" applyFill="1" applyAlignment="1">
      <alignment horizontal="center"/>
    </xf>
    <xf numFmtId="0" fontId="15" fillId="0" borderId="1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17" fillId="13" borderId="1" xfId="0" applyFont="1" applyFill="1" applyBorder="1" applyAlignment="1">
      <alignment vertical="center"/>
    </xf>
    <xf numFmtId="4" fontId="15" fillId="0" borderId="1" xfId="0" applyNumberFormat="1" applyFont="1" applyFill="1" applyBorder="1" applyAlignment="1">
      <alignment vertical="center" wrapText="1"/>
    </xf>
    <xf numFmtId="0" fontId="15" fillId="0" borderId="16" xfId="1" applyNumberFormat="1" applyFont="1" applyFill="1" applyBorder="1" applyAlignment="1">
      <alignment horizontal="center" vertical="top"/>
    </xf>
    <xf numFmtId="0" fontId="0" fillId="0" borderId="16" xfId="1" applyNumberFormat="1" applyFont="1" applyFill="1" applyBorder="1" applyAlignment="1">
      <alignment horizontal="center" vertical="top"/>
    </xf>
    <xf numFmtId="44" fontId="0" fillId="0" borderId="3" xfId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3" fontId="15" fillId="0" borderId="1" xfId="0" applyNumberFormat="1" applyFont="1" applyFill="1" applyBorder="1" applyAlignment="1">
      <alignment horizontal="center" vertical="center"/>
    </xf>
    <xf numFmtId="44" fontId="15" fillId="0" borderId="1" xfId="0" applyNumberFormat="1" applyFont="1" applyFill="1" applyBorder="1" applyAlignment="1">
      <alignment horizontal="center" vertical="center"/>
    </xf>
    <xf numFmtId="44" fontId="15" fillId="0" borderId="1" xfId="1" applyFont="1" applyFill="1" applyBorder="1" applyAlignment="1">
      <alignment horizontal="center" vertical="center"/>
    </xf>
    <xf numFmtId="0" fontId="15" fillId="0" borderId="1" xfId="1" applyNumberFormat="1" applyFont="1" applyFill="1" applyBorder="1" applyAlignment="1">
      <alignment horizontal="center" vertical="center"/>
    </xf>
    <xf numFmtId="44" fontId="15" fillId="0" borderId="3" xfId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vertical="center"/>
    </xf>
    <xf numFmtId="0" fontId="12" fillId="10" borderId="17" xfId="0" applyFont="1" applyFill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center" vertical="center" wrapText="1"/>
    </xf>
    <xf numFmtId="166" fontId="13" fillId="0" borderId="17" xfId="0" applyNumberFormat="1" applyFont="1" applyFill="1" applyBorder="1" applyAlignment="1">
      <alignment horizontal="center" vertical="center" wrapText="1"/>
    </xf>
    <xf numFmtId="166" fontId="13" fillId="0" borderId="18" xfId="0" applyNumberFormat="1" applyFont="1" applyFill="1" applyBorder="1" applyAlignment="1">
      <alignment horizontal="center" vertical="center" wrapText="1"/>
    </xf>
    <xf numFmtId="3" fontId="13" fillId="0" borderId="17" xfId="0" applyNumberFormat="1" applyFont="1" applyFill="1" applyBorder="1" applyAlignment="1">
      <alignment horizontal="center" vertical="center" wrapText="1"/>
    </xf>
    <xf numFmtId="3" fontId="13" fillId="0" borderId="18" xfId="0" applyNumberFormat="1" applyFont="1" applyFill="1" applyBorder="1" applyAlignment="1">
      <alignment horizontal="center" vertical="center" wrapText="1"/>
    </xf>
    <xf numFmtId="17" fontId="4" fillId="0" borderId="17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7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14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vertical="center"/>
    </xf>
    <xf numFmtId="0" fontId="0" fillId="14" borderId="1" xfId="0" applyFont="1" applyFill="1" applyBorder="1" applyAlignment="1">
      <alignment horizontal="center" vertical="center"/>
    </xf>
    <xf numFmtId="3" fontId="0" fillId="14" borderId="1" xfId="0" applyNumberFormat="1" applyFont="1" applyFill="1" applyBorder="1" applyAlignment="1">
      <alignment horizontal="center" vertical="center"/>
    </xf>
    <xf numFmtId="44" fontId="0" fillId="14" borderId="1" xfId="0" applyNumberFormat="1" applyFont="1" applyFill="1" applyBorder="1" applyAlignment="1">
      <alignment horizontal="center" vertical="center"/>
    </xf>
    <xf numFmtId="44" fontId="0" fillId="14" borderId="1" xfId="1" applyFont="1" applyFill="1" applyBorder="1" applyAlignment="1">
      <alignment horizontal="center" vertical="center"/>
    </xf>
    <xf numFmtId="0" fontId="0" fillId="14" borderId="1" xfId="1" applyNumberFormat="1" applyFont="1" applyFill="1" applyBorder="1" applyAlignment="1">
      <alignment horizontal="center" vertical="center"/>
    </xf>
    <xf numFmtId="0" fontId="0" fillId="14" borderId="1" xfId="1" applyNumberFormat="1" applyFont="1" applyFill="1" applyBorder="1" applyAlignment="1">
      <alignment horizontal="center" vertical="top"/>
    </xf>
    <xf numFmtId="44" fontId="0" fillId="14" borderId="1" xfId="1" applyNumberFormat="1" applyFont="1" applyFill="1" applyBorder="1" applyAlignment="1">
      <alignment horizontal="center" vertical="top"/>
    </xf>
    <xf numFmtId="0" fontId="0" fillId="14" borderId="3" xfId="1" applyNumberFormat="1" applyFont="1" applyFill="1" applyBorder="1" applyAlignment="1">
      <alignment horizontal="center" vertical="top"/>
    </xf>
    <xf numFmtId="3" fontId="0" fillId="14" borderId="1" xfId="0" applyNumberFormat="1" applyFont="1" applyFill="1" applyBorder="1" applyAlignment="1">
      <alignment horizontal="center"/>
    </xf>
    <xf numFmtId="3" fontId="0" fillId="14" borderId="3" xfId="0" applyNumberFormat="1" applyFont="1" applyFill="1" applyBorder="1" applyAlignment="1">
      <alignment horizontal="center"/>
    </xf>
    <xf numFmtId="164" fontId="3" fillId="14" borderId="13" xfId="0" applyNumberFormat="1" applyFont="1" applyFill="1" applyBorder="1" applyAlignment="1">
      <alignment horizontal="center" vertical="center"/>
    </xf>
    <xf numFmtId="44" fontId="3" fillId="14" borderId="14" xfId="0" applyNumberFormat="1" applyFont="1" applyFill="1" applyBorder="1" applyAlignment="1">
      <alignment horizontal="center" vertical="center"/>
    </xf>
    <xf numFmtId="165" fontId="3" fillId="14" borderId="14" xfId="0" applyNumberFormat="1" applyFont="1" applyFill="1" applyBorder="1" applyAlignment="1">
      <alignment horizontal="center" vertical="center"/>
    </xf>
    <xf numFmtId="165" fontId="3" fillId="14" borderId="5" xfId="0" applyNumberFormat="1" applyFont="1" applyFill="1" applyBorder="1" applyAlignment="1">
      <alignment horizontal="center" vertical="center"/>
    </xf>
    <xf numFmtId="0" fontId="9" fillId="14" borderId="0" xfId="0" applyFont="1" applyFill="1" applyAlignment="1"/>
    <xf numFmtId="44" fontId="9" fillId="14" borderId="0" xfId="0" applyNumberFormat="1" applyFont="1" applyFill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552450</xdr:colOff>
      <xdr:row>0</xdr:row>
      <xdr:rowOff>95250</xdr:rowOff>
    </xdr:from>
    <xdr:ext cx="2095500" cy="75247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2450" y="95250"/>
          <a:ext cx="2095500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1</xdr:row>
      <xdr:rowOff>9525</xdr:rowOff>
    </xdr:from>
    <xdr:ext cx="2057400" cy="552449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544300" y="209550"/>
          <a:ext cx="2057400" cy="55244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266699</xdr:colOff>
      <xdr:row>1</xdr:row>
      <xdr:rowOff>47624</xdr:rowOff>
    </xdr:from>
    <xdr:ext cx="2305051" cy="75247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699" y="209549"/>
          <a:ext cx="2305051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542925</xdr:colOff>
      <xdr:row>2</xdr:row>
      <xdr:rowOff>19050</xdr:rowOff>
    </xdr:from>
    <xdr:ext cx="2057400" cy="552449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020925" y="438150"/>
          <a:ext cx="2057400" cy="55244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6"/>
  <sheetViews>
    <sheetView topLeftCell="D1" workbookViewId="0">
      <selection activeCell="H14" sqref="H14"/>
    </sheetView>
  </sheetViews>
  <sheetFormatPr baseColWidth="10" defaultColWidth="14.42578125" defaultRowHeight="15" x14ac:dyDescent="0.25"/>
  <cols>
    <col min="1" max="1" width="10.7109375" style="7" customWidth="1"/>
    <col min="2" max="2" width="23.5703125" style="7" customWidth="1"/>
    <col min="3" max="3" width="23.42578125" style="7" customWidth="1"/>
    <col min="4" max="4" width="20.85546875" style="7" customWidth="1"/>
    <col min="5" max="5" width="20.140625" style="7" customWidth="1"/>
    <col min="6" max="6" width="18" style="7" customWidth="1"/>
    <col min="7" max="7" width="19.42578125" style="7" customWidth="1"/>
    <col min="8" max="8" width="16.42578125" style="7" customWidth="1"/>
    <col min="9" max="9" width="19.85546875" style="7" customWidth="1"/>
    <col min="10" max="10" width="17.42578125" style="7" customWidth="1"/>
    <col min="11" max="11" width="20.140625" style="7" customWidth="1"/>
    <col min="12" max="29" width="10.7109375" style="7" customWidth="1"/>
    <col min="30" max="16384" width="14.42578125" style="7"/>
  </cols>
  <sheetData>
    <row r="1" spans="2:11" ht="15.75" thickBot="1" x14ac:dyDescent="0.3"/>
    <row r="2" spans="2:11" ht="21.75" thickBot="1" x14ac:dyDescent="0.3">
      <c r="E2" s="184" t="s">
        <v>238</v>
      </c>
      <c r="F2" s="185"/>
      <c r="G2" s="184" t="s">
        <v>239</v>
      </c>
      <c r="H2" s="185"/>
    </row>
    <row r="3" spans="2:11" ht="21.75" thickBot="1" x14ac:dyDescent="0.3">
      <c r="E3" s="186">
        <f>K9</f>
        <v>29697839.680000003</v>
      </c>
      <c r="F3" s="187"/>
      <c r="G3" s="188">
        <f>J9</f>
        <v>945908</v>
      </c>
      <c r="H3" s="189"/>
    </row>
    <row r="4" spans="2:11" ht="21" x14ac:dyDescent="0.25">
      <c r="E4" s="48"/>
      <c r="F4" s="48"/>
      <c r="G4" s="49"/>
      <c r="H4" s="49"/>
    </row>
    <row r="5" spans="2:11" ht="21.75" thickBot="1" x14ac:dyDescent="0.3">
      <c r="E5" s="48"/>
      <c r="F5" s="48"/>
      <c r="G5" s="49"/>
      <c r="H5" s="49"/>
    </row>
    <row r="6" spans="2:11" ht="15.75" thickBot="1" x14ac:dyDescent="0.3">
      <c r="B6" s="190">
        <v>46266</v>
      </c>
      <c r="C6" s="191"/>
      <c r="D6" s="191"/>
      <c r="E6" s="191"/>
      <c r="F6" s="191"/>
      <c r="G6" s="191"/>
      <c r="H6" s="191"/>
      <c r="I6" s="191"/>
      <c r="J6" s="191"/>
      <c r="K6" s="192"/>
    </row>
    <row r="7" spans="2:11" ht="33.75" customHeight="1" thickBot="1" x14ac:dyDescent="0.3">
      <c r="B7" s="193" t="s">
        <v>267</v>
      </c>
      <c r="C7" s="194"/>
      <c r="D7" s="182" t="s">
        <v>240</v>
      </c>
      <c r="E7" s="183"/>
      <c r="F7" s="182" t="s">
        <v>241</v>
      </c>
      <c r="G7" s="183"/>
      <c r="H7" s="182" t="s">
        <v>242</v>
      </c>
      <c r="I7" s="183"/>
      <c r="J7" s="195" t="s">
        <v>243</v>
      </c>
      <c r="K7" s="196"/>
    </row>
    <row r="8" spans="2:11" s="56" customFormat="1" ht="30" x14ac:dyDescent="0.25">
      <c r="B8" s="50" t="s">
        <v>244</v>
      </c>
      <c r="C8" s="51" t="s">
        <v>245</v>
      </c>
      <c r="D8" s="50" t="s">
        <v>244</v>
      </c>
      <c r="E8" s="51" t="s">
        <v>245</v>
      </c>
      <c r="F8" s="50" t="s">
        <v>246</v>
      </c>
      <c r="G8" s="51" t="s">
        <v>245</v>
      </c>
      <c r="H8" s="52" t="s">
        <v>246</v>
      </c>
      <c r="I8" s="53" t="s">
        <v>245</v>
      </c>
      <c r="J8" s="54" t="s">
        <v>247</v>
      </c>
      <c r="K8" s="55" t="s">
        <v>248</v>
      </c>
    </row>
    <row r="9" spans="2:11" s="62" customFormat="1" ht="15.75" thickBot="1" x14ac:dyDescent="0.3">
      <c r="B9" s="57">
        <f>SEPTIEMBRE!O185+SEPTIEMBRE!U185</f>
        <v>431352</v>
      </c>
      <c r="C9" s="58">
        <f>SEPTIEMBRE!R185+SEPTIEMBRE!X185</f>
        <v>13503433.08</v>
      </c>
      <c r="D9" s="59">
        <f>SEPTIEMBRE!AA185</f>
        <v>143697</v>
      </c>
      <c r="E9" s="58">
        <f>SEPTIEMBRE!AD185</f>
        <v>4503499.46</v>
      </c>
      <c r="F9" s="59">
        <f>SEPTIEMBRE!AG185</f>
        <v>233164</v>
      </c>
      <c r="G9" s="58">
        <f>SEPTIEMBRE!AJ185</f>
        <v>7343504.3100000005</v>
      </c>
      <c r="H9" s="59">
        <f>SEPTIEMBRE!AM185</f>
        <v>137695</v>
      </c>
      <c r="I9" s="58">
        <f>SEPTIEMBRE!AP185</f>
        <v>4347402.830000001</v>
      </c>
      <c r="J9" s="60">
        <f>B9+D9+F9+H9</f>
        <v>945908</v>
      </c>
      <c r="K9" s="61">
        <f>C9+E9+G9+I9</f>
        <v>29697839.680000003</v>
      </c>
    </row>
    <row r="12" spans="2:11" ht="15.75" thickBot="1" x14ac:dyDescent="0.3"/>
    <row r="13" spans="2:11" x14ac:dyDescent="0.25">
      <c r="F13" s="182"/>
      <c r="G13" s="183"/>
      <c r="K13" s="47"/>
    </row>
    <row r="14" spans="2:11" x14ac:dyDescent="0.25">
      <c r="K14" s="63"/>
    </row>
    <row r="16" spans="2:11" x14ac:dyDescent="0.25">
      <c r="J16" s="7" t="s">
        <v>20</v>
      </c>
    </row>
  </sheetData>
  <mergeCells count="11">
    <mergeCell ref="F13:G13"/>
    <mergeCell ref="E2:F2"/>
    <mergeCell ref="G2:H2"/>
    <mergeCell ref="E3:F3"/>
    <mergeCell ref="G3:H3"/>
    <mergeCell ref="B6:K6"/>
    <mergeCell ref="B7:C7"/>
    <mergeCell ref="D7:E7"/>
    <mergeCell ref="F7:G7"/>
    <mergeCell ref="H7:I7"/>
    <mergeCell ref="J7:K7"/>
  </mergeCells>
  <printOptions horizontalCentered="1"/>
  <pageMargins left="0.31496062992125984" right="0.31496062992125984" top="0.94488188976377963" bottom="0.74803149606299213" header="0.31496062992125984" footer="0.31496062992125984"/>
  <pageSetup paperSize="345" scale="7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88"/>
  <sheetViews>
    <sheetView tabSelected="1" topLeftCell="AL90" workbookViewId="0">
      <selection activeCell="AU188" sqref="AU188"/>
    </sheetView>
  </sheetViews>
  <sheetFormatPr baseColWidth="10" defaultColWidth="11.140625" defaultRowHeight="12.75" x14ac:dyDescent="0.2"/>
  <cols>
    <col min="1" max="1" width="5.7109375" style="33" customWidth="1"/>
    <col min="2" max="2" width="29.140625" style="96" customWidth="1"/>
    <col min="3" max="3" width="35.42578125" style="96" hidden="1" customWidth="1"/>
    <col min="4" max="4" width="27.28515625" style="96" customWidth="1"/>
    <col min="5" max="5" width="20.42578125" style="95" customWidth="1"/>
    <col min="6" max="6" width="13.140625" style="95" customWidth="1"/>
    <col min="7" max="8" width="11.85546875" style="97" customWidth="1"/>
    <col min="9" max="9" width="11.42578125" style="95" customWidth="1"/>
    <col min="10" max="10" width="19.85546875" style="95" customWidth="1"/>
    <col min="11" max="11" width="27.5703125" style="95" customWidth="1"/>
    <col min="12" max="12" width="44.42578125" style="95" customWidth="1"/>
    <col min="13" max="13" width="24" style="95" customWidth="1"/>
    <col min="14" max="14" width="24.140625" style="95" customWidth="1"/>
    <col min="15" max="15" width="18.28515625" style="95" customWidth="1"/>
    <col min="16" max="16" width="24" style="95" customWidth="1"/>
    <col min="17" max="17" width="24.140625" style="95" customWidth="1"/>
    <col min="18" max="18" width="20.140625" style="95" customWidth="1"/>
    <col min="19" max="19" width="16" style="95" customWidth="1"/>
    <col min="20" max="20" width="16.7109375" style="95" customWidth="1"/>
    <col min="21" max="21" width="14.28515625" style="95" customWidth="1"/>
    <col min="22" max="22" width="19.28515625" style="95" customWidth="1"/>
    <col min="23" max="23" width="18.5703125" style="95" customWidth="1"/>
    <col min="24" max="24" width="20.140625" style="95" customWidth="1"/>
    <col min="25" max="25" width="16.7109375" style="95" customWidth="1"/>
    <col min="26" max="26" width="14.85546875" style="95" customWidth="1"/>
    <col min="27" max="27" width="18.28515625" style="95" customWidth="1"/>
    <col min="28" max="28" width="16.7109375" style="95" customWidth="1"/>
    <col min="29" max="29" width="15.7109375" style="95" customWidth="1"/>
    <col min="30" max="31" width="15.140625" style="95" customWidth="1"/>
    <col min="32" max="32" width="15.140625" style="33" customWidth="1"/>
    <col min="33" max="41" width="15.140625" style="95" customWidth="1"/>
    <col min="42" max="42" width="15" style="95" customWidth="1"/>
    <col min="43" max="43" width="15.140625" style="95" customWidth="1"/>
    <col min="44" max="44" width="15" style="95" customWidth="1"/>
    <col min="45" max="45" width="14.5703125" style="95" customWidth="1"/>
    <col min="46" max="46" width="17.140625" style="95" customWidth="1"/>
    <col min="47" max="47" width="18.42578125" style="95" customWidth="1"/>
    <col min="48" max="48" width="22.5703125" style="95" bestFit="1" customWidth="1"/>
    <col min="49" max="49" width="11" style="33" customWidth="1"/>
    <col min="50" max="50" width="22.5703125" style="33" bestFit="1" customWidth="1"/>
    <col min="51" max="69" width="11.140625" style="33"/>
    <col min="70" max="16384" width="11.140625" style="95"/>
  </cols>
  <sheetData>
    <row r="1" spans="1:69" ht="12.75" customHeight="1" x14ac:dyDescent="0.25">
      <c r="A1" s="1"/>
      <c r="B1" s="65"/>
      <c r="C1" s="66"/>
      <c r="D1" s="67"/>
      <c r="E1" s="3"/>
      <c r="F1" s="3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"/>
      <c r="AG1" s="3"/>
      <c r="AH1" s="3"/>
      <c r="AI1" s="3"/>
      <c r="AJ1" s="3"/>
      <c r="AK1" s="3"/>
      <c r="AL1" s="3"/>
      <c r="AM1" s="3"/>
      <c r="AN1" s="3"/>
      <c r="AO1" s="3"/>
      <c r="AP1" s="3"/>
      <c r="AQ1" s="2"/>
      <c r="AR1" s="2"/>
      <c r="AS1" s="6"/>
      <c r="AT1" s="2"/>
      <c r="AU1" s="2"/>
      <c r="AV1" s="2"/>
    </row>
    <row r="2" spans="1:69" ht="20.25" customHeight="1" x14ac:dyDescent="0.25">
      <c r="A2" s="8"/>
      <c r="B2" s="68"/>
      <c r="C2" s="68"/>
      <c r="D2" s="68"/>
      <c r="E2" s="197" t="s">
        <v>0</v>
      </c>
      <c r="F2" s="197"/>
      <c r="G2" s="197"/>
      <c r="H2" s="197"/>
      <c r="I2" s="197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spans="1:69" ht="20.25" customHeight="1" x14ac:dyDescent="0.25">
      <c r="A3" s="10"/>
      <c r="B3" s="69"/>
      <c r="C3" s="69"/>
      <c r="D3" s="198" t="s">
        <v>251</v>
      </c>
      <c r="E3" s="198"/>
      <c r="F3" s="198"/>
      <c r="G3" s="198"/>
      <c r="H3" s="198"/>
      <c r="I3" s="198"/>
      <c r="J3" s="198"/>
      <c r="K3" s="198"/>
      <c r="L3" s="11"/>
      <c r="M3" s="11"/>
      <c r="N3" s="82"/>
      <c r="O3" s="82"/>
      <c r="P3" s="82"/>
      <c r="Q3" s="82"/>
      <c r="R3" s="82"/>
      <c r="S3" s="7"/>
      <c r="T3" s="7"/>
      <c r="U3" s="7"/>
      <c r="V3" s="7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</row>
    <row r="4" spans="1:69" ht="16.5" customHeight="1" x14ac:dyDescent="0.25">
      <c r="A4" s="10"/>
      <c r="B4" s="69"/>
      <c r="C4" s="70" t="s">
        <v>20</v>
      </c>
      <c r="D4" s="74"/>
      <c r="E4" s="76" t="s">
        <v>260</v>
      </c>
      <c r="F4" s="76"/>
      <c r="G4" s="12"/>
      <c r="H4" s="76"/>
      <c r="I4" s="7"/>
      <c r="J4" s="7"/>
      <c r="K4" s="7"/>
      <c r="L4" s="82"/>
      <c r="M4" s="82"/>
      <c r="N4" s="82"/>
      <c r="O4" s="82"/>
      <c r="P4" s="82"/>
      <c r="Q4" s="82"/>
      <c r="R4" s="82"/>
      <c r="S4" s="7"/>
      <c r="T4" s="7"/>
      <c r="U4" s="7"/>
      <c r="V4" s="7"/>
      <c r="W4" s="82"/>
      <c r="X4" s="82"/>
      <c r="Y4" s="82"/>
      <c r="Z4" s="82"/>
      <c r="AA4" s="82"/>
      <c r="AB4" s="82"/>
      <c r="AC4" s="82"/>
      <c r="AD4" s="82"/>
      <c r="AE4" s="82"/>
      <c r="AF4" s="10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</row>
    <row r="5" spans="1:69" ht="16.5" customHeight="1" x14ac:dyDescent="0.25">
      <c r="A5" s="10"/>
      <c r="B5" s="69"/>
      <c r="C5" s="69"/>
      <c r="D5" s="15"/>
      <c r="E5" s="200" t="s">
        <v>261</v>
      </c>
      <c r="F5" s="200"/>
      <c r="G5" s="12"/>
      <c r="H5" s="76"/>
      <c r="I5" s="82"/>
      <c r="J5" s="82"/>
      <c r="K5" s="82"/>
      <c r="L5" s="82"/>
      <c r="M5" s="82"/>
      <c r="N5" s="82"/>
      <c r="O5" s="82"/>
      <c r="P5" s="82"/>
      <c r="Q5" s="82"/>
      <c r="R5" s="82"/>
      <c r="S5" s="7"/>
      <c r="T5" s="7"/>
      <c r="U5" s="7"/>
      <c r="V5" s="7"/>
      <c r="W5" s="82"/>
      <c r="X5" s="82"/>
      <c r="Y5" s="82"/>
      <c r="Z5" s="82"/>
      <c r="AA5" s="82"/>
      <c r="AB5" s="82"/>
      <c r="AC5" s="82"/>
      <c r="AD5" s="82"/>
      <c r="AE5" s="82"/>
      <c r="AF5" s="10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</row>
    <row r="6" spans="1:69" ht="14.25" customHeight="1" x14ac:dyDescent="0.25">
      <c r="A6" s="13"/>
      <c r="B6" s="71"/>
      <c r="C6" s="72"/>
      <c r="D6" s="81"/>
      <c r="E6" s="20" t="s">
        <v>270</v>
      </c>
      <c r="F6" s="7"/>
      <c r="G6" s="12"/>
      <c r="H6" s="201" t="s">
        <v>1</v>
      </c>
      <c r="I6" s="201"/>
      <c r="J6" s="201"/>
      <c r="K6" s="201"/>
      <c r="L6" s="14"/>
      <c r="M6" s="14"/>
      <c r="N6" s="14"/>
      <c r="O6" s="14"/>
      <c r="P6" s="14"/>
      <c r="Q6" s="14"/>
      <c r="R6" s="14"/>
      <c r="S6" s="13"/>
      <c r="T6" s="75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3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6"/>
      <c r="AR6" s="16"/>
      <c r="AS6" s="17"/>
      <c r="AT6" s="16"/>
      <c r="AU6" s="16"/>
      <c r="AV6" s="16"/>
    </row>
    <row r="7" spans="1:69" ht="15" customHeight="1" x14ac:dyDescent="0.25">
      <c r="A7" s="13"/>
      <c r="B7" s="71"/>
      <c r="C7" s="72"/>
      <c r="D7" s="72"/>
      <c r="E7" s="7"/>
      <c r="F7" s="7"/>
      <c r="G7" s="12"/>
      <c r="H7" s="75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3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99" t="s">
        <v>272</v>
      </c>
      <c r="AR7" s="199"/>
      <c r="AS7" s="199"/>
      <c r="AT7" s="199"/>
      <c r="AU7" s="199"/>
      <c r="AV7" s="199"/>
    </row>
    <row r="8" spans="1:69" s="98" customFormat="1" ht="15" customHeight="1" x14ac:dyDescent="0.25">
      <c r="A8" s="13"/>
      <c r="B8" s="71"/>
      <c r="C8" s="72"/>
      <c r="D8" s="209"/>
      <c r="E8" s="206"/>
      <c r="F8" s="209"/>
      <c r="G8" s="206"/>
      <c r="H8" s="18"/>
      <c r="I8" s="83"/>
      <c r="J8" s="83"/>
      <c r="K8" s="83"/>
      <c r="L8" s="19"/>
      <c r="M8" s="210" t="s">
        <v>265</v>
      </c>
      <c r="N8" s="211"/>
      <c r="O8" s="211"/>
      <c r="P8" s="211"/>
      <c r="Q8" s="211"/>
      <c r="R8" s="211"/>
      <c r="S8" s="211" t="s">
        <v>253</v>
      </c>
      <c r="T8" s="211"/>
      <c r="U8" s="211"/>
      <c r="V8" s="211"/>
      <c r="W8" s="211"/>
      <c r="X8" s="211"/>
      <c r="Y8" s="202" t="s">
        <v>256</v>
      </c>
      <c r="Z8" s="203"/>
      <c r="AA8" s="203"/>
      <c r="AB8" s="203"/>
      <c r="AC8" s="203"/>
      <c r="AD8" s="204"/>
      <c r="AE8" s="202" t="s">
        <v>254</v>
      </c>
      <c r="AF8" s="203"/>
      <c r="AG8" s="203"/>
      <c r="AH8" s="203"/>
      <c r="AI8" s="203"/>
      <c r="AJ8" s="204"/>
      <c r="AK8" s="202" t="s">
        <v>255</v>
      </c>
      <c r="AL8" s="203"/>
      <c r="AM8" s="203"/>
      <c r="AN8" s="203"/>
      <c r="AO8" s="203"/>
      <c r="AP8" s="204"/>
      <c r="AQ8" s="205" t="s">
        <v>2</v>
      </c>
      <c r="AR8" s="206"/>
      <c r="AS8" s="207"/>
      <c r="AT8" s="208" t="s">
        <v>3</v>
      </c>
      <c r="AU8" s="206"/>
      <c r="AV8" s="207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</row>
    <row r="9" spans="1:69" ht="32.25" customHeight="1" x14ac:dyDescent="0.2">
      <c r="A9" s="107" t="s">
        <v>269</v>
      </c>
      <c r="B9" s="108" t="s">
        <v>4</v>
      </c>
      <c r="C9" s="108" t="s">
        <v>5</v>
      </c>
      <c r="D9" s="108" t="s">
        <v>6</v>
      </c>
      <c r="E9" s="109" t="s">
        <v>7</v>
      </c>
      <c r="F9" s="110" t="s">
        <v>8</v>
      </c>
      <c r="G9" s="110" t="s">
        <v>9</v>
      </c>
      <c r="H9" s="110" t="s">
        <v>8</v>
      </c>
      <c r="I9" s="110" t="s">
        <v>9</v>
      </c>
      <c r="J9" s="111" t="s">
        <v>10</v>
      </c>
      <c r="K9" s="109" t="s">
        <v>11</v>
      </c>
      <c r="L9" s="112" t="s">
        <v>12</v>
      </c>
      <c r="M9" s="21" t="s">
        <v>8</v>
      </c>
      <c r="N9" s="22" t="s">
        <v>9</v>
      </c>
      <c r="O9" s="23" t="s">
        <v>13</v>
      </c>
      <c r="P9" s="23" t="s">
        <v>8</v>
      </c>
      <c r="Q9" s="23" t="s">
        <v>9</v>
      </c>
      <c r="R9" s="22" t="s">
        <v>13</v>
      </c>
      <c r="S9" s="24" t="s">
        <v>8</v>
      </c>
      <c r="T9" s="25" t="s">
        <v>9</v>
      </c>
      <c r="U9" s="26" t="s">
        <v>13</v>
      </c>
      <c r="V9" s="26" t="s">
        <v>8</v>
      </c>
      <c r="W9" s="26" t="s">
        <v>9</v>
      </c>
      <c r="X9" s="25" t="s">
        <v>13</v>
      </c>
      <c r="Y9" s="27" t="s">
        <v>8</v>
      </c>
      <c r="Z9" s="27" t="s">
        <v>9</v>
      </c>
      <c r="AA9" s="28" t="s">
        <v>13</v>
      </c>
      <c r="AB9" s="28" t="s">
        <v>8</v>
      </c>
      <c r="AC9" s="28" t="s">
        <v>9</v>
      </c>
      <c r="AD9" s="27" t="s">
        <v>13</v>
      </c>
      <c r="AE9" s="22" t="s">
        <v>8</v>
      </c>
      <c r="AF9" s="22" t="s">
        <v>9</v>
      </c>
      <c r="AG9" s="23" t="s">
        <v>13</v>
      </c>
      <c r="AH9" s="23" t="s">
        <v>8</v>
      </c>
      <c r="AI9" s="23" t="s">
        <v>9</v>
      </c>
      <c r="AJ9" s="22" t="s">
        <v>13</v>
      </c>
      <c r="AK9" s="29" t="s">
        <v>8</v>
      </c>
      <c r="AL9" s="29" t="s">
        <v>9</v>
      </c>
      <c r="AM9" s="30" t="s">
        <v>13</v>
      </c>
      <c r="AN9" s="30" t="s">
        <v>8</v>
      </c>
      <c r="AO9" s="30" t="s">
        <v>9</v>
      </c>
      <c r="AP9" s="29" t="s">
        <v>13</v>
      </c>
      <c r="AQ9" s="31" t="s">
        <v>8</v>
      </c>
      <c r="AR9" s="31" t="s">
        <v>9</v>
      </c>
      <c r="AS9" s="32" t="s">
        <v>13</v>
      </c>
      <c r="AT9" s="32" t="s">
        <v>8</v>
      </c>
      <c r="AU9" s="32" t="s">
        <v>9</v>
      </c>
      <c r="AV9" s="31" t="s">
        <v>13</v>
      </c>
    </row>
    <row r="10" spans="1:69" s="33" customFormat="1" ht="17.25" customHeight="1" x14ac:dyDescent="0.25">
      <c r="A10" s="113">
        <v>1</v>
      </c>
      <c r="B10" s="114" t="s">
        <v>14</v>
      </c>
      <c r="C10" s="115" t="s">
        <v>15</v>
      </c>
      <c r="D10" s="115" t="s">
        <v>15</v>
      </c>
      <c r="E10" s="116" t="s">
        <v>16</v>
      </c>
      <c r="F10" s="117">
        <v>130</v>
      </c>
      <c r="G10" s="117">
        <v>200</v>
      </c>
      <c r="H10" s="118">
        <v>31.27</v>
      </c>
      <c r="I10" s="118">
        <v>34.450000000000003</v>
      </c>
      <c r="J10" s="119" t="s">
        <v>17</v>
      </c>
      <c r="K10" s="120"/>
      <c r="L10" s="119" t="s">
        <v>18</v>
      </c>
      <c r="M10" s="121"/>
      <c r="N10" s="121"/>
      <c r="O10" s="121">
        <f>M10+N10</f>
        <v>0</v>
      </c>
      <c r="P10" s="122">
        <f>M10*H10</f>
        <v>0</v>
      </c>
      <c r="Q10" s="122">
        <f>N10*I10</f>
        <v>0</v>
      </c>
      <c r="R10" s="122">
        <f>P10+Q10</f>
        <v>0</v>
      </c>
      <c r="S10" s="123">
        <v>1040</v>
      </c>
      <c r="T10" s="121">
        <v>1800</v>
      </c>
      <c r="U10" s="121">
        <f t="shared" ref="U10" si="0">S10+T10</f>
        <v>2840</v>
      </c>
      <c r="V10" s="122">
        <f>S10*H10</f>
        <v>32520.799999999999</v>
      </c>
      <c r="W10" s="122">
        <f>T10*I10</f>
        <v>62010.000000000007</v>
      </c>
      <c r="X10" s="122">
        <f>V10+W10</f>
        <v>94530.8</v>
      </c>
      <c r="Y10" s="121">
        <v>390</v>
      </c>
      <c r="Z10" s="121">
        <v>600</v>
      </c>
      <c r="AA10" s="121">
        <f>Y10+Z10</f>
        <v>990</v>
      </c>
      <c r="AB10" s="122">
        <f>Y10*H10</f>
        <v>12195.3</v>
      </c>
      <c r="AC10" s="122">
        <f>Z10*I10</f>
        <v>20670</v>
      </c>
      <c r="AD10" s="122">
        <f>AB10+AC10</f>
        <v>32865.300000000003</v>
      </c>
      <c r="AE10" s="121">
        <v>650</v>
      </c>
      <c r="AF10" s="121">
        <v>1000</v>
      </c>
      <c r="AG10" s="121">
        <f>AE10+AF10</f>
        <v>1650</v>
      </c>
      <c r="AH10" s="122">
        <f t="shared" ref="AH10" si="1">AE10*H10</f>
        <v>20325.5</v>
      </c>
      <c r="AI10" s="122">
        <f t="shared" ref="AI10" si="2">AF10*I10</f>
        <v>34450</v>
      </c>
      <c r="AJ10" s="122">
        <f>AH10+AI10</f>
        <v>54775.5</v>
      </c>
      <c r="AK10" s="121">
        <v>390</v>
      </c>
      <c r="AL10" s="121">
        <v>600</v>
      </c>
      <c r="AM10" s="121">
        <f>AK10+AL10</f>
        <v>990</v>
      </c>
      <c r="AN10" s="122">
        <f t="shared" ref="AN10" si="3">AK10*H10</f>
        <v>12195.3</v>
      </c>
      <c r="AO10" s="122">
        <f t="shared" ref="AO10" si="4">AL10*I10</f>
        <v>20670</v>
      </c>
      <c r="AP10" s="122">
        <f>AN10+AO10</f>
        <v>32865.300000000003</v>
      </c>
      <c r="AQ10" s="124">
        <f>S10+Y10+AE10+AK10+M10</f>
        <v>2470</v>
      </c>
      <c r="AR10" s="125">
        <f>T10+Z10+AF10+AL10+N10</f>
        <v>4000</v>
      </c>
      <c r="AS10" s="126">
        <f>AQ10+AR10</f>
        <v>6470</v>
      </c>
      <c r="AT10" s="127">
        <f>V10+AB10+AH10+AN10+P10</f>
        <v>77236.899999999994</v>
      </c>
      <c r="AU10" s="128">
        <f>W10+AC10+AI10+AO10+Q10</f>
        <v>137800</v>
      </c>
      <c r="AV10" s="129">
        <f>AT10+AU10</f>
        <v>215036.9</v>
      </c>
      <c r="AX10" s="34">
        <f>X10+AD10+AJ10+AP10+R10</f>
        <v>215036.90000000002</v>
      </c>
    </row>
    <row r="11" spans="1:69" s="33" customFormat="1" ht="15" customHeight="1" x14ac:dyDescent="0.25">
      <c r="A11" s="113">
        <v>2</v>
      </c>
      <c r="B11" s="130" t="s">
        <v>14</v>
      </c>
      <c r="C11" s="131" t="s">
        <v>19</v>
      </c>
      <c r="D11" s="131" t="s">
        <v>19</v>
      </c>
      <c r="E11" s="116" t="s">
        <v>16</v>
      </c>
      <c r="F11" s="117">
        <v>150</v>
      </c>
      <c r="G11" s="117">
        <v>225</v>
      </c>
      <c r="H11" s="118">
        <v>31.27</v>
      </c>
      <c r="I11" s="118">
        <v>34.450000000000003</v>
      </c>
      <c r="J11" s="119" t="s">
        <v>17</v>
      </c>
      <c r="K11" s="120"/>
      <c r="L11" s="119" t="s">
        <v>18</v>
      </c>
      <c r="M11" s="121"/>
      <c r="N11" s="121"/>
      <c r="O11" s="121">
        <f t="shared" ref="O11:O74" si="5">M11+N11</f>
        <v>0</v>
      </c>
      <c r="P11" s="122">
        <f t="shared" ref="P11:P74" si="6">M11*H11</f>
        <v>0</v>
      </c>
      <c r="Q11" s="122">
        <f t="shared" ref="Q11:Q74" si="7">N11*I11</f>
        <v>0</v>
      </c>
      <c r="R11" s="122">
        <f t="shared" ref="R11:R74" si="8">P11+Q11</f>
        <v>0</v>
      </c>
      <c r="S11" s="121">
        <v>1350</v>
      </c>
      <c r="T11" s="121">
        <v>2025</v>
      </c>
      <c r="U11" s="121">
        <f t="shared" ref="U11:U74" si="9">S11+T11</f>
        <v>3375</v>
      </c>
      <c r="V11" s="122">
        <f t="shared" ref="V11:V74" si="10">S11*H11</f>
        <v>42214.5</v>
      </c>
      <c r="W11" s="122">
        <f t="shared" ref="W11:W74" si="11">T11*I11</f>
        <v>69761.25</v>
      </c>
      <c r="X11" s="122">
        <f t="shared" ref="X11:X74" si="12">V11+W11</f>
        <v>111975.75</v>
      </c>
      <c r="Y11" s="121">
        <v>450</v>
      </c>
      <c r="Z11" s="121">
        <v>675</v>
      </c>
      <c r="AA11" s="121">
        <f t="shared" ref="AA11:AA74" si="13">Y11+Z11</f>
        <v>1125</v>
      </c>
      <c r="AB11" s="122">
        <f t="shared" ref="AB11:AB74" si="14">Y11*H11</f>
        <v>14071.5</v>
      </c>
      <c r="AC11" s="122">
        <f t="shared" ref="AC11:AC74" si="15">Z11*I11</f>
        <v>23253.750000000004</v>
      </c>
      <c r="AD11" s="122">
        <f t="shared" ref="AD11:AD74" si="16">AB11+AC11</f>
        <v>37325.25</v>
      </c>
      <c r="AE11" s="121">
        <v>750</v>
      </c>
      <c r="AF11" s="121">
        <v>1125</v>
      </c>
      <c r="AG11" s="121">
        <f t="shared" ref="AG11:AG74" si="17">AE11+AF11</f>
        <v>1875</v>
      </c>
      <c r="AH11" s="122">
        <f t="shared" ref="AH11:AH74" si="18">AE11*H11</f>
        <v>23452.5</v>
      </c>
      <c r="AI11" s="122">
        <f t="shared" ref="AI11:AI74" si="19">AF11*I11</f>
        <v>38756.25</v>
      </c>
      <c r="AJ11" s="122">
        <f t="shared" ref="AJ11:AJ74" si="20">AH11+AI11</f>
        <v>62208.75</v>
      </c>
      <c r="AK11" s="121">
        <v>450</v>
      </c>
      <c r="AL11" s="121">
        <v>675</v>
      </c>
      <c r="AM11" s="121">
        <f t="shared" ref="AM11:AM74" si="21">AK11+AL11</f>
        <v>1125</v>
      </c>
      <c r="AN11" s="122">
        <f t="shared" ref="AN11:AN74" si="22">AK11*H11</f>
        <v>14071.5</v>
      </c>
      <c r="AO11" s="122">
        <f t="shared" ref="AO11:AO74" si="23">AL11*I11</f>
        <v>23253.750000000004</v>
      </c>
      <c r="AP11" s="122">
        <f t="shared" ref="AP11:AP74" si="24">AN11+AO11</f>
        <v>37325.25</v>
      </c>
      <c r="AQ11" s="124">
        <f t="shared" ref="AQ11:AQ74" si="25">S11+Y11+AE11+AK11+M11</f>
        <v>3000</v>
      </c>
      <c r="AR11" s="125">
        <f t="shared" ref="AR11:AR74" si="26">T11+Z11+AF11+AL11+N11</f>
        <v>4500</v>
      </c>
      <c r="AS11" s="126">
        <f t="shared" ref="AS11:AS74" si="27">AQ11+AR11</f>
        <v>7500</v>
      </c>
      <c r="AT11" s="127">
        <f t="shared" ref="AT11:AT74" si="28">V11+AB11+AH11+AN11+P11</f>
        <v>93810</v>
      </c>
      <c r="AU11" s="128">
        <f t="shared" ref="AU11:AU74" si="29">W11+AC11+AI11+AO11+Q11</f>
        <v>155025</v>
      </c>
      <c r="AV11" s="129">
        <f t="shared" ref="AV11:AV74" si="30">AT11+AU11</f>
        <v>248835</v>
      </c>
      <c r="AX11" s="34">
        <f t="shared" ref="AX11:AX74" si="31">X11+AD11+AJ11+AP11+R11</f>
        <v>248835</v>
      </c>
    </row>
    <row r="12" spans="1:69" s="33" customFormat="1" ht="15" customHeight="1" x14ac:dyDescent="0.25">
      <c r="A12" s="113">
        <v>3</v>
      </c>
      <c r="B12" s="130" t="s">
        <v>14</v>
      </c>
      <c r="C12" s="131" t="s">
        <v>21</v>
      </c>
      <c r="D12" s="131" t="s">
        <v>21</v>
      </c>
      <c r="E12" s="116" t="s">
        <v>16</v>
      </c>
      <c r="F12" s="117">
        <v>100</v>
      </c>
      <c r="G12" s="117">
        <v>150</v>
      </c>
      <c r="H12" s="118">
        <v>31.27</v>
      </c>
      <c r="I12" s="118">
        <v>34.450000000000003</v>
      </c>
      <c r="J12" s="119" t="s">
        <v>17</v>
      </c>
      <c r="K12" s="120"/>
      <c r="L12" s="119" t="s">
        <v>18</v>
      </c>
      <c r="M12" s="121"/>
      <c r="N12" s="121"/>
      <c r="O12" s="121">
        <f t="shared" si="5"/>
        <v>0</v>
      </c>
      <c r="P12" s="122">
        <f t="shared" si="6"/>
        <v>0</v>
      </c>
      <c r="Q12" s="122">
        <f t="shared" si="7"/>
        <v>0</v>
      </c>
      <c r="R12" s="122">
        <f t="shared" si="8"/>
        <v>0</v>
      </c>
      <c r="S12" s="121">
        <v>900</v>
      </c>
      <c r="T12" s="121">
        <v>1350</v>
      </c>
      <c r="U12" s="121">
        <f t="shared" si="9"/>
        <v>2250</v>
      </c>
      <c r="V12" s="122">
        <f t="shared" si="10"/>
        <v>28143</v>
      </c>
      <c r="W12" s="122">
        <f t="shared" si="11"/>
        <v>46507.500000000007</v>
      </c>
      <c r="X12" s="122">
        <f t="shared" si="12"/>
        <v>74650.5</v>
      </c>
      <c r="Y12" s="121">
        <v>300</v>
      </c>
      <c r="Z12" s="121">
        <v>450</v>
      </c>
      <c r="AA12" s="121">
        <f t="shared" si="13"/>
        <v>750</v>
      </c>
      <c r="AB12" s="122">
        <f t="shared" si="14"/>
        <v>9381</v>
      </c>
      <c r="AC12" s="122">
        <f t="shared" si="15"/>
        <v>15502.500000000002</v>
      </c>
      <c r="AD12" s="122">
        <f t="shared" si="16"/>
        <v>24883.5</v>
      </c>
      <c r="AE12" s="121">
        <v>500</v>
      </c>
      <c r="AF12" s="132">
        <v>750</v>
      </c>
      <c r="AG12" s="121">
        <f t="shared" si="17"/>
        <v>1250</v>
      </c>
      <c r="AH12" s="122">
        <f t="shared" si="18"/>
        <v>15635</v>
      </c>
      <c r="AI12" s="122">
        <f t="shared" si="19"/>
        <v>25837.500000000004</v>
      </c>
      <c r="AJ12" s="122">
        <f t="shared" si="20"/>
        <v>41472.5</v>
      </c>
      <c r="AK12" s="121">
        <v>300</v>
      </c>
      <c r="AL12" s="121">
        <v>450</v>
      </c>
      <c r="AM12" s="121">
        <f t="shared" si="21"/>
        <v>750</v>
      </c>
      <c r="AN12" s="122">
        <f t="shared" si="22"/>
        <v>9381</v>
      </c>
      <c r="AO12" s="122">
        <f t="shared" si="23"/>
        <v>15502.500000000002</v>
      </c>
      <c r="AP12" s="122">
        <f t="shared" si="24"/>
        <v>24883.5</v>
      </c>
      <c r="AQ12" s="124">
        <f t="shared" si="25"/>
        <v>2000</v>
      </c>
      <c r="AR12" s="125">
        <f t="shared" si="26"/>
        <v>3000</v>
      </c>
      <c r="AS12" s="126">
        <f t="shared" si="27"/>
        <v>5000</v>
      </c>
      <c r="AT12" s="127">
        <f t="shared" si="28"/>
        <v>62540</v>
      </c>
      <c r="AU12" s="128">
        <f t="shared" si="29"/>
        <v>103350.00000000001</v>
      </c>
      <c r="AV12" s="129">
        <f t="shared" si="30"/>
        <v>165890</v>
      </c>
      <c r="AX12" s="34">
        <f t="shared" si="31"/>
        <v>165890</v>
      </c>
    </row>
    <row r="13" spans="1:69" s="33" customFormat="1" ht="15" customHeight="1" x14ac:dyDescent="0.25">
      <c r="A13" s="113">
        <v>4</v>
      </c>
      <c r="B13" s="130" t="s">
        <v>14</v>
      </c>
      <c r="C13" s="131" t="s">
        <v>22</v>
      </c>
      <c r="D13" s="131" t="s">
        <v>22</v>
      </c>
      <c r="E13" s="116" t="s">
        <v>16</v>
      </c>
      <c r="F13" s="117">
        <v>150</v>
      </c>
      <c r="G13" s="117">
        <v>200</v>
      </c>
      <c r="H13" s="118">
        <v>23</v>
      </c>
      <c r="I13" s="118">
        <v>27</v>
      </c>
      <c r="J13" s="119" t="s">
        <v>23</v>
      </c>
      <c r="K13" s="119" t="s">
        <v>24</v>
      </c>
      <c r="L13" s="119" t="s">
        <v>25</v>
      </c>
      <c r="M13" s="121"/>
      <c r="N13" s="121"/>
      <c r="O13" s="121">
        <f t="shared" si="5"/>
        <v>0</v>
      </c>
      <c r="P13" s="122">
        <f t="shared" si="6"/>
        <v>0</v>
      </c>
      <c r="Q13" s="122">
        <f t="shared" si="7"/>
        <v>0</v>
      </c>
      <c r="R13" s="122">
        <f t="shared" si="8"/>
        <v>0</v>
      </c>
      <c r="S13" s="121">
        <v>1350</v>
      </c>
      <c r="T13" s="121">
        <v>1800</v>
      </c>
      <c r="U13" s="121">
        <f t="shared" si="9"/>
        <v>3150</v>
      </c>
      <c r="V13" s="122">
        <f t="shared" si="10"/>
        <v>31050</v>
      </c>
      <c r="W13" s="122">
        <f t="shared" si="11"/>
        <v>48600</v>
      </c>
      <c r="X13" s="122">
        <f t="shared" si="12"/>
        <v>79650</v>
      </c>
      <c r="Y13" s="121">
        <v>450</v>
      </c>
      <c r="Z13" s="121">
        <v>600</v>
      </c>
      <c r="AA13" s="121">
        <f t="shared" si="13"/>
        <v>1050</v>
      </c>
      <c r="AB13" s="122">
        <f t="shared" si="14"/>
        <v>10350</v>
      </c>
      <c r="AC13" s="122">
        <f t="shared" si="15"/>
        <v>16200</v>
      </c>
      <c r="AD13" s="122">
        <f t="shared" si="16"/>
        <v>26550</v>
      </c>
      <c r="AE13" s="133">
        <v>750</v>
      </c>
      <c r="AF13" s="133">
        <v>1000</v>
      </c>
      <c r="AG13" s="121">
        <f t="shared" si="17"/>
        <v>1750</v>
      </c>
      <c r="AH13" s="122">
        <f t="shared" si="18"/>
        <v>17250</v>
      </c>
      <c r="AI13" s="122">
        <f t="shared" si="19"/>
        <v>27000</v>
      </c>
      <c r="AJ13" s="122">
        <f t="shared" si="20"/>
        <v>44250</v>
      </c>
      <c r="AK13" s="133">
        <v>450</v>
      </c>
      <c r="AL13" s="133">
        <v>600</v>
      </c>
      <c r="AM13" s="121">
        <f t="shared" si="21"/>
        <v>1050</v>
      </c>
      <c r="AN13" s="122">
        <f t="shared" si="22"/>
        <v>10350</v>
      </c>
      <c r="AO13" s="122">
        <f t="shared" si="23"/>
        <v>16200</v>
      </c>
      <c r="AP13" s="122">
        <f t="shared" si="24"/>
        <v>26550</v>
      </c>
      <c r="AQ13" s="124">
        <f t="shared" si="25"/>
        <v>3000</v>
      </c>
      <c r="AR13" s="125">
        <f t="shared" si="26"/>
        <v>4000</v>
      </c>
      <c r="AS13" s="126">
        <f t="shared" si="27"/>
        <v>7000</v>
      </c>
      <c r="AT13" s="127">
        <f t="shared" si="28"/>
        <v>69000</v>
      </c>
      <c r="AU13" s="128">
        <f t="shared" si="29"/>
        <v>108000</v>
      </c>
      <c r="AV13" s="129">
        <f t="shared" si="30"/>
        <v>177000</v>
      </c>
      <c r="AX13" s="34">
        <f t="shared" si="31"/>
        <v>177000</v>
      </c>
    </row>
    <row r="14" spans="1:69" s="33" customFormat="1" ht="15" customHeight="1" x14ac:dyDescent="0.25">
      <c r="A14" s="113">
        <v>5</v>
      </c>
      <c r="B14" s="114" t="s">
        <v>14</v>
      </c>
      <c r="C14" s="115" t="s">
        <v>26</v>
      </c>
      <c r="D14" s="115" t="s">
        <v>26</v>
      </c>
      <c r="E14" s="134" t="s">
        <v>16</v>
      </c>
      <c r="F14" s="135">
        <v>150</v>
      </c>
      <c r="G14" s="135">
        <v>250</v>
      </c>
      <c r="H14" s="136">
        <v>24</v>
      </c>
      <c r="I14" s="136">
        <v>28</v>
      </c>
      <c r="J14" s="137" t="s">
        <v>23</v>
      </c>
      <c r="K14" s="137" t="s">
        <v>27</v>
      </c>
      <c r="L14" s="137" t="s">
        <v>25</v>
      </c>
      <c r="M14" s="123"/>
      <c r="N14" s="123"/>
      <c r="O14" s="121">
        <f t="shared" si="5"/>
        <v>0</v>
      </c>
      <c r="P14" s="122">
        <f t="shared" si="6"/>
        <v>0</v>
      </c>
      <c r="Q14" s="122">
        <f t="shared" si="7"/>
        <v>0</v>
      </c>
      <c r="R14" s="122">
        <f t="shared" si="8"/>
        <v>0</v>
      </c>
      <c r="S14" s="138">
        <v>1305</v>
      </c>
      <c r="T14" s="138">
        <v>2211</v>
      </c>
      <c r="U14" s="121">
        <f t="shared" si="9"/>
        <v>3516</v>
      </c>
      <c r="V14" s="122">
        <f t="shared" si="10"/>
        <v>31320</v>
      </c>
      <c r="W14" s="122">
        <f t="shared" si="11"/>
        <v>61908</v>
      </c>
      <c r="X14" s="122">
        <f t="shared" si="12"/>
        <v>93228</v>
      </c>
      <c r="Y14" s="133">
        <v>450</v>
      </c>
      <c r="Z14" s="133">
        <v>750</v>
      </c>
      <c r="AA14" s="121">
        <f t="shared" si="13"/>
        <v>1200</v>
      </c>
      <c r="AB14" s="122">
        <f t="shared" si="14"/>
        <v>10800</v>
      </c>
      <c r="AC14" s="122">
        <f t="shared" si="15"/>
        <v>21000</v>
      </c>
      <c r="AD14" s="122">
        <f t="shared" si="16"/>
        <v>31800</v>
      </c>
      <c r="AE14" s="133">
        <v>750</v>
      </c>
      <c r="AF14" s="138">
        <v>1200</v>
      </c>
      <c r="AG14" s="121">
        <f t="shared" si="17"/>
        <v>1950</v>
      </c>
      <c r="AH14" s="122">
        <f t="shared" si="18"/>
        <v>18000</v>
      </c>
      <c r="AI14" s="122">
        <f t="shared" si="19"/>
        <v>33600</v>
      </c>
      <c r="AJ14" s="122">
        <f t="shared" si="20"/>
        <v>51600</v>
      </c>
      <c r="AK14" s="139">
        <v>450</v>
      </c>
      <c r="AL14" s="139">
        <v>750</v>
      </c>
      <c r="AM14" s="121">
        <f t="shared" si="21"/>
        <v>1200</v>
      </c>
      <c r="AN14" s="122">
        <f t="shared" si="22"/>
        <v>10800</v>
      </c>
      <c r="AO14" s="122">
        <f t="shared" si="23"/>
        <v>21000</v>
      </c>
      <c r="AP14" s="122">
        <f t="shared" si="24"/>
        <v>31800</v>
      </c>
      <c r="AQ14" s="124">
        <f t="shared" si="25"/>
        <v>2955</v>
      </c>
      <c r="AR14" s="125">
        <f t="shared" si="26"/>
        <v>4911</v>
      </c>
      <c r="AS14" s="126">
        <f t="shared" si="27"/>
        <v>7866</v>
      </c>
      <c r="AT14" s="127">
        <f t="shared" si="28"/>
        <v>70920</v>
      </c>
      <c r="AU14" s="128">
        <f t="shared" si="29"/>
        <v>137508</v>
      </c>
      <c r="AV14" s="129">
        <f t="shared" si="30"/>
        <v>208428</v>
      </c>
      <c r="AX14" s="34">
        <f t="shared" si="31"/>
        <v>208428</v>
      </c>
    </row>
    <row r="15" spans="1:69" s="33" customFormat="1" ht="15" customHeight="1" x14ac:dyDescent="0.25">
      <c r="A15" s="113">
        <v>6</v>
      </c>
      <c r="B15" s="114" t="s">
        <v>14</v>
      </c>
      <c r="C15" s="115" t="s">
        <v>28</v>
      </c>
      <c r="D15" s="115" t="s">
        <v>28</v>
      </c>
      <c r="E15" s="116" t="s">
        <v>16</v>
      </c>
      <c r="F15" s="117">
        <v>150</v>
      </c>
      <c r="G15" s="117">
        <v>250</v>
      </c>
      <c r="H15" s="118">
        <v>23</v>
      </c>
      <c r="I15" s="118">
        <v>27</v>
      </c>
      <c r="J15" s="119" t="s">
        <v>23</v>
      </c>
      <c r="K15" s="119" t="s">
        <v>29</v>
      </c>
      <c r="L15" s="119" t="s">
        <v>25</v>
      </c>
      <c r="M15" s="121"/>
      <c r="N15" s="121"/>
      <c r="O15" s="121">
        <f t="shared" si="5"/>
        <v>0</v>
      </c>
      <c r="P15" s="122">
        <f t="shared" si="6"/>
        <v>0</v>
      </c>
      <c r="Q15" s="122">
        <f t="shared" si="7"/>
        <v>0</v>
      </c>
      <c r="R15" s="122">
        <f t="shared" si="8"/>
        <v>0</v>
      </c>
      <c r="S15" s="133">
        <v>1350</v>
      </c>
      <c r="T15" s="133">
        <v>2250</v>
      </c>
      <c r="U15" s="121">
        <f t="shared" si="9"/>
        <v>3600</v>
      </c>
      <c r="V15" s="122">
        <f t="shared" si="10"/>
        <v>31050</v>
      </c>
      <c r="W15" s="122">
        <f t="shared" si="11"/>
        <v>60750</v>
      </c>
      <c r="X15" s="122">
        <f t="shared" si="12"/>
        <v>91800</v>
      </c>
      <c r="Y15" s="133">
        <v>450</v>
      </c>
      <c r="Z15" s="133">
        <v>750</v>
      </c>
      <c r="AA15" s="121">
        <f t="shared" si="13"/>
        <v>1200</v>
      </c>
      <c r="AB15" s="122">
        <f t="shared" si="14"/>
        <v>10350</v>
      </c>
      <c r="AC15" s="122">
        <f t="shared" si="15"/>
        <v>20250</v>
      </c>
      <c r="AD15" s="122">
        <f t="shared" si="16"/>
        <v>30600</v>
      </c>
      <c r="AE15" s="133">
        <v>750</v>
      </c>
      <c r="AF15" s="138">
        <v>1240</v>
      </c>
      <c r="AG15" s="121">
        <f t="shared" si="17"/>
        <v>1990</v>
      </c>
      <c r="AH15" s="122">
        <f t="shared" si="18"/>
        <v>17250</v>
      </c>
      <c r="AI15" s="122">
        <f t="shared" si="19"/>
        <v>33480</v>
      </c>
      <c r="AJ15" s="122">
        <f t="shared" si="20"/>
        <v>50730</v>
      </c>
      <c r="AK15" s="133">
        <v>450</v>
      </c>
      <c r="AL15" s="133">
        <v>750</v>
      </c>
      <c r="AM15" s="121">
        <f t="shared" si="21"/>
        <v>1200</v>
      </c>
      <c r="AN15" s="122">
        <f t="shared" si="22"/>
        <v>10350</v>
      </c>
      <c r="AO15" s="122">
        <f t="shared" si="23"/>
        <v>20250</v>
      </c>
      <c r="AP15" s="122">
        <f t="shared" si="24"/>
        <v>30600</v>
      </c>
      <c r="AQ15" s="124">
        <f t="shared" si="25"/>
        <v>3000</v>
      </c>
      <c r="AR15" s="125">
        <f t="shared" si="26"/>
        <v>4990</v>
      </c>
      <c r="AS15" s="126">
        <f t="shared" si="27"/>
        <v>7990</v>
      </c>
      <c r="AT15" s="127">
        <f t="shared" si="28"/>
        <v>69000</v>
      </c>
      <c r="AU15" s="128">
        <f t="shared" si="29"/>
        <v>134730</v>
      </c>
      <c r="AV15" s="129">
        <f t="shared" si="30"/>
        <v>203730</v>
      </c>
      <c r="AX15" s="34">
        <f t="shared" si="31"/>
        <v>203730</v>
      </c>
    </row>
    <row r="16" spans="1:69" s="33" customFormat="1" ht="15" customHeight="1" x14ac:dyDescent="0.25">
      <c r="A16" s="113">
        <v>7</v>
      </c>
      <c r="B16" s="130" t="s">
        <v>14</v>
      </c>
      <c r="C16" s="131" t="s">
        <v>30</v>
      </c>
      <c r="D16" s="131" t="s">
        <v>30</v>
      </c>
      <c r="E16" s="116" t="s">
        <v>16</v>
      </c>
      <c r="F16" s="117">
        <v>100</v>
      </c>
      <c r="G16" s="117">
        <v>150</v>
      </c>
      <c r="H16" s="118">
        <v>31.27</v>
      </c>
      <c r="I16" s="118">
        <v>34.450000000000003</v>
      </c>
      <c r="J16" s="119" t="s">
        <v>17</v>
      </c>
      <c r="K16" s="120"/>
      <c r="L16" s="119" t="s">
        <v>18</v>
      </c>
      <c r="M16" s="121"/>
      <c r="N16" s="121"/>
      <c r="O16" s="121">
        <f t="shared" si="5"/>
        <v>0</v>
      </c>
      <c r="P16" s="122">
        <f t="shared" si="6"/>
        <v>0</v>
      </c>
      <c r="Q16" s="122">
        <f t="shared" si="7"/>
        <v>0</v>
      </c>
      <c r="R16" s="122">
        <f t="shared" si="8"/>
        <v>0</v>
      </c>
      <c r="S16" s="133">
        <v>900</v>
      </c>
      <c r="T16" s="139">
        <v>1350</v>
      </c>
      <c r="U16" s="121">
        <f t="shared" si="9"/>
        <v>2250</v>
      </c>
      <c r="V16" s="122">
        <f t="shared" si="10"/>
        <v>28143</v>
      </c>
      <c r="W16" s="122">
        <f t="shared" si="11"/>
        <v>46507.500000000007</v>
      </c>
      <c r="X16" s="122">
        <f t="shared" si="12"/>
        <v>74650.5</v>
      </c>
      <c r="Y16" s="133">
        <v>300</v>
      </c>
      <c r="Z16" s="133">
        <v>450</v>
      </c>
      <c r="AA16" s="121">
        <f t="shared" si="13"/>
        <v>750</v>
      </c>
      <c r="AB16" s="122">
        <f t="shared" si="14"/>
        <v>9381</v>
      </c>
      <c r="AC16" s="122">
        <f t="shared" si="15"/>
        <v>15502.500000000002</v>
      </c>
      <c r="AD16" s="122">
        <f t="shared" si="16"/>
        <v>24883.5</v>
      </c>
      <c r="AE16" s="133">
        <v>500</v>
      </c>
      <c r="AF16" s="133">
        <v>750</v>
      </c>
      <c r="AG16" s="121">
        <f t="shared" si="17"/>
        <v>1250</v>
      </c>
      <c r="AH16" s="122">
        <f t="shared" si="18"/>
        <v>15635</v>
      </c>
      <c r="AI16" s="122">
        <f t="shared" si="19"/>
        <v>25837.500000000004</v>
      </c>
      <c r="AJ16" s="122">
        <f t="shared" si="20"/>
        <v>41472.5</v>
      </c>
      <c r="AK16" s="133">
        <v>300</v>
      </c>
      <c r="AL16" s="133">
        <v>450</v>
      </c>
      <c r="AM16" s="121">
        <f t="shared" si="21"/>
        <v>750</v>
      </c>
      <c r="AN16" s="122">
        <f t="shared" si="22"/>
        <v>9381</v>
      </c>
      <c r="AO16" s="122">
        <f t="shared" si="23"/>
        <v>15502.500000000002</v>
      </c>
      <c r="AP16" s="122">
        <f t="shared" si="24"/>
        <v>24883.5</v>
      </c>
      <c r="AQ16" s="124">
        <f t="shared" si="25"/>
        <v>2000</v>
      </c>
      <c r="AR16" s="125">
        <f t="shared" si="26"/>
        <v>3000</v>
      </c>
      <c r="AS16" s="126">
        <f t="shared" si="27"/>
        <v>5000</v>
      </c>
      <c r="AT16" s="127">
        <f t="shared" si="28"/>
        <v>62540</v>
      </c>
      <c r="AU16" s="128">
        <f t="shared" si="29"/>
        <v>103350.00000000001</v>
      </c>
      <c r="AV16" s="129">
        <f t="shared" si="30"/>
        <v>165890</v>
      </c>
      <c r="AX16" s="34">
        <f t="shared" si="31"/>
        <v>165890</v>
      </c>
    </row>
    <row r="17" spans="1:69" s="35" customFormat="1" ht="16.5" customHeight="1" x14ac:dyDescent="0.25">
      <c r="A17" s="113">
        <v>8</v>
      </c>
      <c r="B17" s="114" t="s">
        <v>14</v>
      </c>
      <c r="C17" s="115" t="s">
        <v>31</v>
      </c>
      <c r="D17" s="115" t="s">
        <v>31</v>
      </c>
      <c r="E17" s="116" t="s">
        <v>32</v>
      </c>
      <c r="F17" s="117">
        <v>150</v>
      </c>
      <c r="G17" s="117">
        <v>250</v>
      </c>
      <c r="H17" s="118">
        <v>31.27</v>
      </c>
      <c r="I17" s="118">
        <v>34.450000000000003</v>
      </c>
      <c r="J17" s="119" t="s">
        <v>17</v>
      </c>
      <c r="K17" s="120"/>
      <c r="L17" s="119" t="s">
        <v>18</v>
      </c>
      <c r="M17" s="121"/>
      <c r="N17" s="121"/>
      <c r="O17" s="121">
        <f t="shared" si="5"/>
        <v>0</v>
      </c>
      <c r="P17" s="122">
        <f t="shared" si="6"/>
        <v>0</v>
      </c>
      <c r="Q17" s="122">
        <f t="shared" si="7"/>
        <v>0</v>
      </c>
      <c r="R17" s="122">
        <f t="shared" si="8"/>
        <v>0</v>
      </c>
      <c r="S17" s="140">
        <v>1313</v>
      </c>
      <c r="T17" s="140">
        <v>2249</v>
      </c>
      <c r="U17" s="121">
        <f t="shared" si="9"/>
        <v>3562</v>
      </c>
      <c r="V17" s="122">
        <f t="shared" si="10"/>
        <v>41057.51</v>
      </c>
      <c r="W17" s="122">
        <f t="shared" si="11"/>
        <v>77478.05</v>
      </c>
      <c r="X17" s="122">
        <f t="shared" si="12"/>
        <v>118535.56</v>
      </c>
      <c r="Y17" s="141">
        <v>450</v>
      </c>
      <c r="Z17" s="140">
        <v>705</v>
      </c>
      <c r="AA17" s="121">
        <f t="shared" si="13"/>
        <v>1155</v>
      </c>
      <c r="AB17" s="122">
        <f t="shared" si="14"/>
        <v>14071.5</v>
      </c>
      <c r="AC17" s="122">
        <f t="shared" si="15"/>
        <v>24287.250000000004</v>
      </c>
      <c r="AD17" s="122">
        <f t="shared" si="16"/>
        <v>38358.75</v>
      </c>
      <c r="AE17" s="141">
        <v>750</v>
      </c>
      <c r="AF17" s="140">
        <v>1210</v>
      </c>
      <c r="AG17" s="121">
        <f t="shared" si="17"/>
        <v>1960</v>
      </c>
      <c r="AH17" s="122">
        <f t="shared" si="18"/>
        <v>23452.5</v>
      </c>
      <c r="AI17" s="122">
        <f t="shared" si="19"/>
        <v>41684.5</v>
      </c>
      <c r="AJ17" s="122">
        <f t="shared" si="20"/>
        <v>65137</v>
      </c>
      <c r="AK17" s="141">
        <v>450</v>
      </c>
      <c r="AL17" s="141">
        <v>750</v>
      </c>
      <c r="AM17" s="121">
        <f t="shared" si="21"/>
        <v>1200</v>
      </c>
      <c r="AN17" s="122">
        <f t="shared" si="22"/>
        <v>14071.5</v>
      </c>
      <c r="AO17" s="122">
        <f t="shared" si="23"/>
        <v>25837.500000000004</v>
      </c>
      <c r="AP17" s="122">
        <f t="shared" si="24"/>
        <v>39909</v>
      </c>
      <c r="AQ17" s="124">
        <f t="shared" si="25"/>
        <v>2963</v>
      </c>
      <c r="AR17" s="125">
        <f t="shared" si="26"/>
        <v>4914</v>
      </c>
      <c r="AS17" s="126">
        <f t="shared" si="27"/>
        <v>7877</v>
      </c>
      <c r="AT17" s="127">
        <f t="shared" si="28"/>
        <v>92653.010000000009</v>
      </c>
      <c r="AU17" s="128">
        <f t="shared" si="29"/>
        <v>169287.3</v>
      </c>
      <c r="AV17" s="129">
        <f t="shared" si="30"/>
        <v>261940.31</v>
      </c>
      <c r="AW17" s="33"/>
      <c r="AX17" s="34">
        <f t="shared" si="31"/>
        <v>261940.31</v>
      </c>
    </row>
    <row r="18" spans="1:69" s="33" customFormat="1" ht="15" customHeight="1" x14ac:dyDescent="0.25">
      <c r="A18" s="113">
        <v>9</v>
      </c>
      <c r="B18" s="130" t="s">
        <v>14</v>
      </c>
      <c r="C18" s="131" t="s">
        <v>33</v>
      </c>
      <c r="D18" s="131" t="s">
        <v>33</v>
      </c>
      <c r="E18" s="116" t="s">
        <v>16</v>
      </c>
      <c r="F18" s="117">
        <v>100</v>
      </c>
      <c r="G18" s="117">
        <v>150</v>
      </c>
      <c r="H18" s="118">
        <v>31.27</v>
      </c>
      <c r="I18" s="118">
        <v>34.450000000000003</v>
      </c>
      <c r="J18" s="119" t="s">
        <v>17</v>
      </c>
      <c r="K18" s="120"/>
      <c r="L18" s="119" t="s">
        <v>18</v>
      </c>
      <c r="M18" s="121"/>
      <c r="N18" s="121"/>
      <c r="O18" s="121">
        <f t="shared" si="5"/>
        <v>0</v>
      </c>
      <c r="P18" s="122">
        <f t="shared" si="6"/>
        <v>0</v>
      </c>
      <c r="Q18" s="122">
        <f t="shared" si="7"/>
        <v>0</v>
      </c>
      <c r="R18" s="122">
        <f t="shared" si="8"/>
        <v>0</v>
      </c>
      <c r="S18" s="133">
        <v>900</v>
      </c>
      <c r="T18" s="133">
        <v>1350</v>
      </c>
      <c r="U18" s="121">
        <f t="shared" si="9"/>
        <v>2250</v>
      </c>
      <c r="V18" s="122">
        <f t="shared" si="10"/>
        <v>28143</v>
      </c>
      <c r="W18" s="122">
        <f t="shared" si="11"/>
        <v>46507.500000000007</v>
      </c>
      <c r="X18" s="122">
        <f t="shared" si="12"/>
        <v>74650.5</v>
      </c>
      <c r="Y18" s="133">
        <v>300</v>
      </c>
      <c r="Z18" s="133">
        <v>450</v>
      </c>
      <c r="AA18" s="121">
        <f t="shared" si="13"/>
        <v>750</v>
      </c>
      <c r="AB18" s="122">
        <f t="shared" si="14"/>
        <v>9381</v>
      </c>
      <c r="AC18" s="122">
        <f t="shared" si="15"/>
        <v>15502.500000000002</v>
      </c>
      <c r="AD18" s="122">
        <f t="shared" si="16"/>
        <v>24883.5</v>
      </c>
      <c r="AE18" s="133">
        <v>500</v>
      </c>
      <c r="AF18" s="133">
        <v>750</v>
      </c>
      <c r="AG18" s="121">
        <f t="shared" si="17"/>
        <v>1250</v>
      </c>
      <c r="AH18" s="122">
        <f t="shared" si="18"/>
        <v>15635</v>
      </c>
      <c r="AI18" s="122">
        <f t="shared" si="19"/>
        <v>25837.500000000004</v>
      </c>
      <c r="AJ18" s="122">
        <f t="shared" si="20"/>
        <v>41472.5</v>
      </c>
      <c r="AK18" s="133">
        <v>300</v>
      </c>
      <c r="AL18" s="133">
        <v>450</v>
      </c>
      <c r="AM18" s="121">
        <f t="shared" si="21"/>
        <v>750</v>
      </c>
      <c r="AN18" s="122">
        <f t="shared" si="22"/>
        <v>9381</v>
      </c>
      <c r="AO18" s="122">
        <f t="shared" si="23"/>
        <v>15502.500000000002</v>
      </c>
      <c r="AP18" s="122">
        <f t="shared" si="24"/>
        <v>24883.5</v>
      </c>
      <c r="AQ18" s="124">
        <f t="shared" si="25"/>
        <v>2000</v>
      </c>
      <c r="AR18" s="125">
        <f t="shared" si="26"/>
        <v>3000</v>
      </c>
      <c r="AS18" s="126">
        <f t="shared" si="27"/>
        <v>5000</v>
      </c>
      <c r="AT18" s="127">
        <f t="shared" si="28"/>
        <v>62540</v>
      </c>
      <c r="AU18" s="128">
        <f t="shared" si="29"/>
        <v>103350.00000000001</v>
      </c>
      <c r="AV18" s="129">
        <f t="shared" si="30"/>
        <v>165890</v>
      </c>
      <c r="AX18" s="34">
        <f t="shared" si="31"/>
        <v>165890</v>
      </c>
    </row>
    <row r="19" spans="1:69" s="33" customFormat="1" ht="15" customHeight="1" x14ac:dyDescent="0.25">
      <c r="A19" s="113">
        <v>10</v>
      </c>
      <c r="B19" s="130" t="s">
        <v>14</v>
      </c>
      <c r="C19" s="131" t="s">
        <v>34</v>
      </c>
      <c r="D19" s="131" t="s">
        <v>34</v>
      </c>
      <c r="E19" s="116" t="s">
        <v>16</v>
      </c>
      <c r="F19" s="117">
        <v>100</v>
      </c>
      <c r="G19" s="117">
        <v>150</v>
      </c>
      <c r="H19" s="118">
        <v>23</v>
      </c>
      <c r="I19" s="118">
        <v>27</v>
      </c>
      <c r="J19" s="119" t="s">
        <v>23</v>
      </c>
      <c r="K19" s="119" t="s">
        <v>35</v>
      </c>
      <c r="L19" s="119" t="s">
        <v>25</v>
      </c>
      <c r="M19" s="121"/>
      <c r="N19" s="121"/>
      <c r="O19" s="121">
        <f t="shared" si="5"/>
        <v>0</v>
      </c>
      <c r="P19" s="122">
        <f t="shared" si="6"/>
        <v>0</v>
      </c>
      <c r="Q19" s="122">
        <f t="shared" si="7"/>
        <v>0</v>
      </c>
      <c r="R19" s="122">
        <f t="shared" si="8"/>
        <v>0</v>
      </c>
      <c r="S19" s="133">
        <v>900</v>
      </c>
      <c r="T19" s="133">
        <v>1350</v>
      </c>
      <c r="U19" s="121">
        <f t="shared" si="9"/>
        <v>2250</v>
      </c>
      <c r="V19" s="122">
        <f t="shared" si="10"/>
        <v>20700</v>
      </c>
      <c r="W19" s="122">
        <f t="shared" si="11"/>
        <v>36450</v>
      </c>
      <c r="X19" s="122">
        <f t="shared" si="12"/>
        <v>57150</v>
      </c>
      <c r="Y19" s="133">
        <v>300</v>
      </c>
      <c r="Z19" s="133">
        <v>450</v>
      </c>
      <c r="AA19" s="121">
        <f t="shared" si="13"/>
        <v>750</v>
      </c>
      <c r="AB19" s="122">
        <f t="shared" si="14"/>
        <v>6900</v>
      </c>
      <c r="AC19" s="122">
        <f t="shared" si="15"/>
        <v>12150</v>
      </c>
      <c r="AD19" s="122">
        <f t="shared" si="16"/>
        <v>19050</v>
      </c>
      <c r="AE19" s="133">
        <v>500</v>
      </c>
      <c r="AF19" s="133">
        <v>750</v>
      </c>
      <c r="AG19" s="121">
        <f t="shared" si="17"/>
        <v>1250</v>
      </c>
      <c r="AH19" s="122">
        <f t="shared" si="18"/>
        <v>11500</v>
      </c>
      <c r="AI19" s="122">
        <f t="shared" si="19"/>
        <v>20250</v>
      </c>
      <c r="AJ19" s="122">
        <f t="shared" si="20"/>
        <v>31750</v>
      </c>
      <c r="AK19" s="133">
        <v>300</v>
      </c>
      <c r="AL19" s="133">
        <v>450</v>
      </c>
      <c r="AM19" s="121">
        <f t="shared" si="21"/>
        <v>750</v>
      </c>
      <c r="AN19" s="122">
        <f t="shared" si="22"/>
        <v>6900</v>
      </c>
      <c r="AO19" s="122">
        <f t="shared" si="23"/>
        <v>12150</v>
      </c>
      <c r="AP19" s="122">
        <f t="shared" si="24"/>
        <v>19050</v>
      </c>
      <c r="AQ19" s="124">
        <f t="shared" si="25"/>
        <v>2000</v>
      </c>
      <c r="AR19" s="125">
        <f t="shared" si="26"/>
        <v>3000</v>
      </c>
      <c r="AS19" s="126">
        <f t="shared" si="27"/>
        <v>5000</v>
      </c>
      <c r="AT19" s="127">
        <f t="shared" si="28"/>
        <v>46000</v>
      </c>
      <c r="AU19" s="128">
        <f t="shared" si="29"/>
        <v>81000</v>
      </c>
      <c r="AV19" s="129">
        <f t="shared" si="30"/>
        <v>127000</v>
      </c>
      <c r="AX19" s="34">
        <f t="shared" si="31"/>
        <v>127000</v>
      </c>
    </row>
    <row r="20" spans="1:69" s="33" customFormat="1" ht="15" customHeight="1" x14ac:dyDescent="0.25">
      <c r="A20" s="113">
        <v>11</v>
      </c>
      <c r="B20" s="114" t="s">
        <v>14</v>
      </c>
      <c r="C20" s="142" t="s">
        <v>36</v>
      </c>
      <c r="D20" s="142" t="s">
        <v>36</v>
      </c>
      <c r="E20" s="116" t="s">
        <v>16</v>
      </c>
      <c r="F20" s="117">
        <v>75</v>
      </c>
      <c r="G20" s="117">
        <v>125</v>
      </c>
      <c r="H20" s="118">
        <v>31.27</v>
      </c>
      <c r="I20" s="118">
        <v>34.450000000000003</v>
      </c>
      <c r="J20" s="119" t="s">
        <v>17</v>
      </c>
      <c r="K20" s="120"/>
      <c r="L20" s="119" t="s">
        <v>18</v>
      </c>
      <c r="M20" s="121"/>
      <c r="N20" s="121"/>
      <c r="O20" s="121">
        <f t="shared" si="5"/>
        <v>0</v>
      </c>
      <c r="P20" s="122">
        <f t="shared" si="6"/>
        <v>0</v>
      </c>
      <c r="Q20" s="122">
        <f t="shared" si="7"/>
        <v>0</v>
      </c>
      <c r="R20" s="122">
        <f t="shared" si="8"/>
        <v>0</v>
      </c>
      <c r="S20" s="133">
        <v>675</v>
      </c>
      <c r="T20" s="139">
        <v>1125</v>
      </c>
      <c r="U20" s="121">
        <f t="shared" si="9"/>
        <v>1800</v>
      </c>
      <c r="V20" s="122">
        <f t="shared" si="10"/>
        <v>21107.25</v>
      </c>
      <c r="W20" s="122">
        <f t="shared" si="11"/>
        <v>38756.25</v>
      </c>
      <c r="X20" s="122">
        <f t="shared" si="12"/>
        <v>59863.5</v>
      </c>
      <c r="Y20" s="133">
        <v>225</v>
      </c>
      <c r="Z20" s="133">
        <v>375</v>
      </c>
      <c r="AA20" s="121">
        <f t="shared" si="13"/>
        <v>600</v>
      </c>
      <c r="AB20" s="122">
        <f t="shared" si="14"/>
        <v>7035.75</v>
      </c>
      <c r="AC20" s="122">
        <f t="shared" si="15"/>
        <v>12918.750000000002</v>
      </c>
      <c r="AD20" s="122">
        <f t="shared" si="16"/>
        <v>19954.5</v>
      </c>
      <c r="AE20" s="138">
        <v>225</v>
      </c>
      <c r="AF20" s="138">
        <v>250</v>
      </c>
      <c r="AG20" s="121">
        <f t="shared" si="17"/>
        <v>475</v>
      </c>
      <c r="AH20" s="122">
        <f t="shared" si="18"/>
        <v>7035.75</v>
      </c>
      <c r="AI20" s="122">
        <f t="shared" si="19"/>
        <v>8612.5</v>
      </c>
      <c r="AJ20" s="122">
        <f t="shared" si="20"/>
        <v>15648.25</v>
      </c>
      <c r="AK20" s="133">
        <v>225</v>
      </c>
      <c r="AL20" s="133">
        <v>375</v>
      </c>
      <c r="AM20" s="121">
        <f t="shared" si="21"/>
        <v>600</v>
      </c>
      <c r="AN20" s="122">
        <f t="shared" si="22"/>
        <v>7035.75</v>
      </c>
      <c r="AO20" s="122">
        <f t="shared" si="23"/>
        <v>12918.750000000002</v>
      </c>
      <c r="AP20" s="122">
        <f t="shared" si="24"/>
        <v>19954.5</v>
      </c>
      <c r="AQ20" s="124">
        <f t="shared" si="25"/>
        <v>1350</v>
      </c>
      <c r="AR20" s="125">
        <f t="shared" si="26"/>
        <v>2125</v>
      </c>
      <c r="AS20" s="126">
        <f t="shared" si="27"/>
        <v>3475</v>
      </c>
      <c r="AT20" s="127">
        <f t="shared" si="28"/>
        <v>42214.5</v>
      </c>
      <c r="AU20" s="128">
        <f t="shared" si="29"/>
        <v>73206.25</v>
      </c>
      <c r="AV20" s="129">
        <f t="shared" si="30"/>
        <v>115420.75</v>
      </c>
      <c r="AX20" s="34">
        <f t="shared" si="31"/>
        <v>115420.75</v>
      </c>
    </row>
    <row r="21" spans="1:69" s="33" customFormat="1" ht="15" customHeight="1" x14ac:dyDescent="0.25">
      <c r="A21" s="113">
        <v>12</v>
      </c>
      <c r="B21" s="114" t="s">
        <v>14</v>
      </c>
      <c r="C21" s="143" t="s">
        <v>37</v>
      </c>
      <c r="D21" s="143" t="s">
        <v>37</v>
      </c>
      <c r="E21" s="116" t="s">
        <v>16</v>
      </c>
      <c r="F21" s="117">
        <v>150</v>
      </c>
      <c r="G21" s="117">
        <v>250</v>
      </c>
      <c r="H21" s="118">
        <v>31.27</v>
      </c>
      <c r="I21" s="118">
        <v>34.450000000000003</v>
      </c>
      <c r="J21" s="119" t="s">
        <v>17</v>
      </c>
      <c r="K21" s="120"/>
      <c r="L21" s="119" t="s">
        <v>18</v>
      </c>
      <c r="M21" s="121"/>
      <c r="N21" s="121"/>
      <c r="O21" s="121">
        <f t="shared" si="5"/>
        <v>0</v>
      </c>
      <c r="P21" s="122">
        <f t="shared" si="6"/>
        <v>0</v>
      </c>
      <c r="Q21" s="122">
        <f t="shared" si="7"/>
        <v>0</v>
      </c>
      <c r="R21" s="122">
        <f t="shared" si="8"/>
        <v>0</v>
      </c>
      <c r="S21" s="138">
        <v>1302</v>
      </c>
      <c r="T21" s="139">
        <v>2250</v>
      </c>
      <c r="U21" s="121">
        <f t="shared" si="9"/>
        <v>3552</v>
      </c>
      <c r="V21" s="122">
        <f t="shared" si="10"/>
        <v>40713.54</v>
      </c>
      <c r="W21" s="122">
        <f t="shared" si="11"/>
        <v>77512.5</v>
      </c>
      <c r="X21" s="122">
        <f t="shared" si="12"/>
        <v>118226.04000000001</v>
      </c>
      <c r="Y21" s="138">
        <v>430</v>
      </c>
      <c r="Z21" s="138">
        <v>650</v>
      </c>
      <c r="AA21" s="121">
        <f t="shared" si="13"/>
        <v>1080</v>
      </c>
      <c r="AB21" s="122">
        <f t="shared" si="14"/>
        <v>13446.1</v>
      </c>
      <c r="AC21" s="122">
        <f t="shared" si="15"/>
        <v>22392.500000000004</v>
      </c>
      <c r="AD21" s="122">
        <f t="shared" si="16"/>
        <v>35838.600000000006</v>
      </c>
      <c r="AE21" s="138">
        <v>727</v>
      </c>
      <c r="AF21" s="138">
        <v>877</v>
      </c>
      <c r="AG21" s="121">
        <f t="shared" si="17"/>
        <v>1604</v>
      </c>
      <c r="AH21" s="122">
        <f t="shared" si="18"/>
        <v>22733.29</v>
      </c>
      <c r="AI21" s="122">
        <f t="shared" si="19"/>
        <v>30212.65</v>
      </c>
      <c r="AJ21" s="122">
        <f t="shared" si="20"/>
        <v>52945.94</v>
      </c>
      <c r="AK21" s="133">
        <v>450</v>
      </c>
      <c r="AL21" s="138">
        <v>716</v>
      </c>
      <c r="AM21" s="121">
        <f t="shared" si="21"/>
        <v>1166</v>
      </c>
      <c r="AN21" s="122">
        <f t="shared" si="22"/>
        <v>14071.5</v>
      </c>
      <c r="AO21" s="122">
        <f t="shared" si="23"/>
        <v>24666.2</v>
      </c>
      <c r="AP21" s="122">
        <f t="shared" si="24"/>
        <v>38737.699999999997</v>
      </c>
      <c r="AQ21" s="124">
        <f t="shared" si="25"/>
        <v>2909</v>
      </c>
      <c r="AR21" s="125">
        <f t="shared" si="26"/>
        <v>4493</v>
      </c>
      <c r="AS21" s="126">
        <f t="shared" si="27"/>
        <v>7402</v>
      </c>
      <c r="AT21" s="127">
        <f t="shared" si="28"/>
        <v>90964.43</v>
      </c>
      <c r="AU21" s="128">
        <f t="shared" si="29"/>
        <v>154783.85</v>
      </c>
      <c r="AV21" s="129">
        <f t="shared" si="30"/>
        <v>245748.28</v>
      </c>
      <c r="AX21" s="34">
        <f t="shared" si="31"/>
        <v>245748.28000000003</v>
      </c>
    </row>
    <row r="22" spans="1:69" s="33" customFormat="1" ht="15" customHeight="1" x14ac:dyDescent="0.25">
      <c r="A22" s="113">
        <v>13</v>
      </c>
      <c r="B22" s="114" t="s">
        <v>14</v>
      </c>
      <c r="C22" s="144" t="s">
        <v>38</v>
      </c>
      <c r="D22" s="144" t="s">
        <v>38</v>
      </c>
      <c r="E22" s="116" t="s">
        <v>16</v>
      </c>
      <c r="F22" s="117">
        <v>150</v>
      </c>
      <c r="G22" s="117">
        <v>200</v>
      </c>
      <c r="H22" s="118">
        <v>23</v>
      </c>
      <c r="I22" s="118">
        <v>27</v>
      </c>
      <c r="J22" s="119" t="s">
        <v>23</v>
      </c>
      <c r="K22" s="119" t="s">
        <v>39</v>
      </c>
      <c r="L22" s="119" t="s">
        <v>25</v>
      </c>
      <c r="M22" s="121"/>
      <c r="N22" s="121"/>
      <c r="O22" s="121">
        <f t="shared" si="5"/>
        <v>0</v>
      </c>
      <c r="P22" s="122">
        <f t="shared" si="6"/>
        <v>0</v>
      </c>
      <c r="Q22" s="122">
        <f t="shared" si="7"/>
        <v>0</v>
      </c>
      <c r="R22" s="122">
        <f t="shared" si="8"/>
        <v>0</v>
      </c>
      <c r="S22" s="133">
        <v>1350</v>
      </c>
      <c r="T22" s="138">
        <v>1785</v>
      </c>
      <c r="U22" s="121">
        <f t="shared" si="9"/>
        <v>3135</v>
      </c>
      <c r="V22" s="122">
        <f t="shared" si="10"/>
        <v>31050</v>
      </c>
      <c r="W22" s="122">
        <f t="shared" si="11"/>
        <v>48195</v>
      </c>
      <c r="X22" s="122">
        <f t="shared" si="12"/>
        <v>79245</v>
      </c>
      <c r="Y22" s="133">
        <v>450</v>
      </c>
      <c r="Z22" s="133">
        <v>600</v>
      </c>
      <c r="AA22" s="121">
        <f t="shared" si="13"/>
        <v>1050</v>
      </c>
      <c r="AB22" s="122">
        <f t="shared" si="14"/>
        <v>10350</v>
      </c>
      <c r="AC22" s="122">
        <f t="shared" si="15"/>
        <v>16200</v>
      </c>
      <c r="AD22" s="122">
        <f t="shared" si="16"/>
        <v>26550</v>
      </c>
      <c r="AE22" s="133">
        <v>750</v>
      </c>
      <c r="AF22" s="133">
        <v>1000</v>
      </c>
      <c r="AG22" s="121">
        <f t="shared" si="17"/>
        <v>1750</v>
      </c>
      <c r="AH22" s="122">
        <f t="shared" si="18"/>
        <v>17250</v>
      </c>
      <c r="AI22" s="122">
        <f t="shared" si="19"/>
        <v>27000</v>
      </c>
      <c r="AJ22" s="122">
        <f t="shared" si="20"/>
        <v>44250</v>
      </c>
      <c r="AK22" s="133">
        <v>450</v>
      </c>
      <c r="AL22" s="133">
        <v>600</v>
      </c>
      <c r="AM22" s="121">
        <f t="shared" si="21"/>
        <v>1050</v>
      </c>
      <c r="AN22" s="122">
        <f t="shared" si="22"/>
        <v>10350</v>
      </c>
      <c r="AO22" s="122">
        <f t="shared" si="23"/>
        <v>16200</v>
      </c>
      <c r="AP22" s="122">
        <f t="shared" si="24"/>
        <v>26550</v>
      </c>
      <c r="AQ22" s="124">
        <f t="shared" si="25"/>
        <v>3000</v>
      </c>
      <c r="AR22" s="125">
        <f t="shared" si="26"/>
        <v>3985</v>
      </c>
      <c r="AS22" s="126">
        <f t="shared" si="27"/>
        <v>6985</v>
      </c>
      <c r="AT22" s="127">
        <f t="shared" si="28"/>
        <v>69000</v>
      </c>
      <c r="AU22" s="128">
        <f t="shared" si="29"/>
        <v>107595</v>
      </c>
      <c r="AV22" s="129">
        <f t="shared" si="30"/>
        <v>176595</v>
      </c>
      <c r="AX22" s="34">
        <f t="shared" si="31"/>
        <v>176595</v>
      </c>
    </row>
    <row r="23" spans="1:69" s="33" customFormat="1" ht="15.75" customHeight="1" x14ac:dyDescent="0.25">
      <c r="A23" s="113">
        <v>14</v>
      </c>
      <c r="B23" s="114" t="s">
        <v>14</v>
      </c>
      <c r="C23" s="144" t="s">
        <v>40</v>
      </c>
      <c r="D23" s="144" t="s">
        <v>40</v>
      </c>
      <c r="E23" s="116" t="s">
        <v>41</v>
      </c>
      <c r="F23" s="117">
        <v>150</v>
      </c>
      <c r="G23" s="117">
        <v>200</v>
      </c>
      <c r="H23" s="118">
        <v>31.27</v>
      </c>
      <c r="I23" s="118">
        <v>34.450000000000003</v>
      </c>
      <c r="J23" s="119" t="s">
        <v>17</v>
      </c>
      <c r="K23" s="120"/>
      <c r="L23" s="119" t="s">
        <v>18</v>
      </c>
      <c r="M23" s="121"/>
      <c r="N23" s="121"/>
      <c r="O23" s="121">
        <f t="shared" si="5"/>
        <v>0</v>
      </c>
      <c r="P23" s="122">
        <f t="shared" si="6"/>
        <v>0</v>
      </c>
      <c r="Q23" s="122">
        <f t="shared" si="7"/>
        <v>0</v>
      </c>
      <c r="R23" s="122">
        <f t="shared" si="8"/>
        <v>0</v>
      </c>
      <c r="S23" s="138">
        <v>1311</v>
      </c>
      <c r="T23" s="138">
        <v>1737</v>
      </c>
      <c r="U23" s="121">
        <f t="shared" si="9"/>
        <v>3048</v>
      </c>
      <c r="V23" s="122">
        <f t="shared" si="10"/>
        <v>40994.97</v>
      </c>
      <c r="W23" s="122">
        <f t="shared" si="11"/>
        <v>59839.65</v>
      </c>
      <c r="X23" s="122">
        <f t="shared" si="12"/>
        <v>100834.62</v>
      </c>
      <c r="Y23" s="133">
        <v>450</v>
      </c>
      <c r="Z23" s="138">
        <v>541</v>
      </c>
      <c r="AA23" s="121">
        <f t="shared" si="13"/>
        <v>991</v>
      </c>
      <c r="AB23" s="122">
        <f t="shared" si="14"/>
        <v>14071.5</v>
      </c>
      <c r="AC23" s="122">
        <f t="shared" si="15"/>
        <v>18637.45</v>
      </c>
      <c r="AD23" s="122">
        <f t="shared" si="16"/>
        <v>32708.95</v>
      </c>
      <c r="AE23" s="133">
        <v>750</v>
      </c>
      <c r="AF23" s="133">
        <v>1000</v>
      </c>
      <c r="AG23" s="121">
        <f t="shared" si="17"/>
        <v>1750</v>
      </c>
      <c r="AH23" s="122">
        <f t="shared" si="18"/>
        <v>23452.5</v>
      </c>
      <c r="AI23" s="122">
        <f t="shared" si="19"/>
        <v>34450</v>
      </c>
      <c r="AJ23" s="122">
        <f t="shared" si="20"/>
        <v>57902.5</v>
      </c>
      <c r="AK23" s="133">
        <v>450</v>
      </c>
      <c r="AL23" s="133">
        <v>600</v>
      </c>
      <c r="AM23" s="121">
        <f t="shared" si="21"/>
        <v>1050</v>
      </c>
      <c r="AN23" s="122">
        <f t="shared" si="22"/>
        <v>14071.5</v>
      </c>
      <c r="AO23" s="122">
        <f t="shared" si="23"/>
        <v>20670</v>
      </c>
      <c r="AP23" s="122">
        <f t="shared" si="24"/>
        <v>34741.5</v>
      </c>
      <c r="AQ23" s="124">
        <f t="shared" si="25"/>
        <v>2961</v>
      </c>
      <c r="AR23" s="125">
        <f t="shared" si="26"/>
        <v>3878</v>
      </c>
      <c r="AS23" s="126">
        <f t="shared" si="27"/>
        <v>6839</v>
      </c>
      <c r="AT23" s="127">
        <f t="shared" si="28"/>
        <v>92590.47</v>
      </c>
      <c r="AU23" s="128">
        <f t="shared" si="29"/>
        <v>133597.1</v>
      </c>
      <c r="AV23" s="129">
        <f t="shared" si="30"/>
        <v>226187.57</v>
      </c>
      <c r="AX23" s="34">
        <f t="shared" si="31"/>
        <v>226187.57</v>
      </c>
    </row>
    <row r="24" spans="1:69" s="33" customFormat="1" ht="15" customHeight="1" x14ac:dyDescent="0.25">
      <c r="A24" s="113">
        <v>15</v>
      </c>
      <c r="B24" s="114" t="s">
        <v>42</v>
      </c>
      <c r="C24" s="144" t="s">
        <v>43</v>
      </c>
      <c r="D24" s="144" t="s">
        <v>43</v>
      </c>
      <c r="E24" s="116" t="s">
        <v>16</v>
      </c>
      <c r="F24" s="117">
        <v>100</v>
      </c>
      <c r="G24" s="117">
        <v>150</v>
      </c>
      <c r="H24" s="118">
        <v>31.27</v>
      </c>
      <c r="I24" s="118">
        <v>34.450000000000003</v>
      </c>
      <c r="J24" s="119" t="s">
        <v>17</v>
      </c>
      <c r="K24" s="120"/>
      <c r="L24" s="119" t="s">
        <v>18</v>
      </c>
      <c r="M24" s="121"/>
      <c r="N24" s="121"/>
      <c r="O24" s="121">
        <f t="shared" si="5"/>
        <v>0</v>
      </c>
      <c r="P24" s="122">
        <f t="shared" si="6"/>
        <v>0</v>
      </c>
      <c r="Q24" s="122">
        <f t="shared" si="7"/>
        <v>0</v>
      </c>
      <c r="R24" s="122">
        <f t="shared" si="8"/>
        <v>0</v>
      </c>
      <c r="S24" s="138">
        <v>542</v>
      </c>
      <c r="T24" s="138">
        <v>600</v>
      </c>
      <c r="U24" s="121">
        <f t="shared" si="9"/>
        <v>1142</v>
      </c>
      <c r="V24" s="122">
        <f t="shared" si="10"/>
        <v>16948.34</v>
      </c>
      <c r="W24" s="122">
        <f t="shared" si="11"/>
        <v>20670</v>
      </c>
      <c r="X24" s="122">
        <f t="shared" si="12"/>
        <v>37618.339999999997</v>
      </c>
      <c r="Y24" s="139">
        <v>300</v>
      </c>
      <c r="Z24" s="139">
        <v>450</v>
      </c>
      <c r="AA24" s="121">
        <f t="shared" si="13"/>
        <v>750</v>
      </c>
      <c r="AB24" s="122">
        <f t="shared" si="14"/>
        <v>9381</v>
      </c>
      <c r="AC24" s="122">
        <f t="shared" si="15"/>
        <v>15502.500000000002</v>
      </c>
      <c r="AD24" s="122">
        <f t="shared" si="16"/>
        <v>24883.5</v>
      </c>
      <c r="AE24" s="138">
        <v>374</v>
      </c>
      <c r="AF24" s="133">
        <v>750</v>
      </c>
      <c r="AG24" s="121">
        <f t="shared" si="17"/>
        <v>1124</v>
      </c>
      <c r="AH24" s="122">
        <f t="shared" si="18"/>
        <v>11694.98</v>
      </c>
      <c r="AI24" s="122">
        <f t="shared" si="19"/>
        <v>25837.500000000004</v>
      </c>
      <c r="AJ24" s="122">
        <f t="shared" si="20"/>
        <v>37532.480000000003</v>
      </c>
      <c r="AK24" s="139">
        <v>300</v>
      </c>
      <c r="AL24" s="133">
        <v>450</v>
      </c>
      <c r="AM24" s="121">
        <f t="shared" si="21"/>
        <v>750</v>
      </c>
      <c r="AN24" s="122">
        <f t="shared" si="22"/>
        <v>9381</v>
      </c>
      <c r="AO24" s="122">
        <f t="shared" si="23"/>
        <v>15502.500000000002</v>
      </c>
      <c r="AP24" s="122">
        <f t="shared" si="24"/>
        <v>24883.5</v>
      </c>
      <c r="AQ24" s="124">
        <f t="shared" si="25"/>
        <v>1516</v>
      </c>
      <c r="AR24" s="125">
        <f t="shared" si="26"/>
        <v>2250</v>
      </c>
      <c r="AS24" s="126">
        <f t="shared" si="27"/>
        <v>3766</v>
      </c>
      <c r="AT24" s="127">
        <f t="shared" si="28"/>
        <v>47405.32</v>
      </c>
      <c r="AU24" s="128">
        <f t="shared" si="29"/>
        <v>77512.5</v>
      </c>
      <c r="AV24" s="129">
        <f t="shared" si="30"/>
        <v>124917.82</v>
      </c>
      <c r="AX24" s="34">
        <f t="shared" si="31"/>
        <v>124917.82</v>
      </c>
    </row>
    <row r="25" spans="1:69" s="33" customFormat="1" ht="15" customHeight="1" x14ac:dyDescent="0.25">
      <c r="A25" s="113">
        <v>16</v>
      </c>
      <c r="B25" s="114" t="s">
        <v>42</v>
      </c>
      <c r="C25" s="144" t="s">
        <v>43</v>
      </c>
      <c r="D25" s="144" t="s">
        <v>252</v>
      </c>
      <c r="E25" s="116" t="s">
        <v>41</v>
      </c>
      <c r="F25" s="117">
        <v>150</v>
      </c>
      <c r="G25" s="117">
        <v>200</v>
      </c>
      <c r="H25" s="118">
        <v>31.27</v>
      </c>
      <c r="I25" s="118">
        <v>34.450000000000003</v>
      </c>
      <c r="J25" s="119" t="s">
        <v>17</v>
      </c>
      <c r="K25" s="120"/>
      <c r="L25" s="119" t="s">
        <v>18</v>
      </c>
      <c r="M25" s="121"/>
      <c r="N25" s="121"/>
      <c r="O25" s="121">
        <f t="shared" si="5"/>
        <v>0</v>
      </c>
      <c r="P25" s="122">
        <f t="shared" si="6"/>
        <v>0</v>
      </c>
      <c r="Q25" s="122">
        <f t="shared" si="7"/>
        <v>0</v>
      </c>
      <c r="R25" s="122">
        <f t="shared" si="8"/>
        <v>0</v>
      </c>
      <c r="S25" s="138">
        <v>745</v>
      </c>
      <c r="T25" s="138">
        <v>800</v>
      </c>
      <c r="U25" s="121">
        <f t="shared" si="9"/>
        <v>1545</v>
      </c>
      <c r="V25" s="122">
        <f t="shared" si="10"/>
        <v>23296.15</v>
      </c>
      <c r="W25" s="122">
        <f t="shared" si="11"/>
        <v>27560.000000000004</v>
      </c>
      <c r="X25" s="122">
        <f t="shared" si="12"/>
        <v>50856.150000000009</v>
      </c>
      <c r="Y25" s="133">
        <v>450</v>
      </c>
      <c r="Z25" s="138">
        <v>285</v>
      </c>
      <c r="AA25" s="121">
        <f t="shared" si="13"/>
        <v>735</v>
      </c>
      <c r="AB25" s="122">
        <f t="shared" si="14"/>
        <v>14071.5</v>
      </c>
      <c r="AC25" s="122">
        <f t="shared" si="15"/>
        <v>9818.25</v>
      </c>
      <c r="AD25" s="122">
        <f t="shared" si="16"/>
        <v>23889.75</v>
      </c>
      <c r="AE25" s="138">
        <v>150</v>
      </c>
      <c r="AF25" s="138">
        <v>760</v>
      </c>
      <c r="AG25" s="121">
        <f t="shared" si="17"/>
        <v>910</v>
      </c>
      <c r="AH25" s="122">
        <f t="shared" si="18"/>
        <v>4690.5</v>
      </c>
      <c r="AI25" s="122">
        <f t="shared" si="19"/>
        <v>26182.000000000004</v>
      </c>
      <c r="AJ25" s="122">
        <f t="shared" si="20"/>
        <v>30872.500000000004</v>
      </c>
      <c r="AK25" s="138">
        <v>0</v>
      </c>
      <c r="AL25" s="138">
        <v>400</v>
      </c>
      <c r="AM25" s="121">
        <f t="shared" si="21"/>
        <v>400</v>
      </c>
      <c r="AN25" s="122">
        <f t="shared" si="22"/>
        <v>0</v>
      </c>
      <c r="AO25" s="122">
        <f t="shared" si="23"/>
        <v>13780.000000000002</v>
      </c>
      <c r="AP25" s="122">
        <f t="shared" si="24"/>
        <v>13780.000000000002</v>
      </c>
      <c r="AQ25" s="124">
        <f t="shared" si="25"/>
        <v>1345</v>
      </c>
      <c r="AR25" s="125">
        <f t="shared" si="26"/>
        <v>2245</v>
      </c>
      <c r="AS25" s="126">
        <f t="shared" si="27"/>
        <v>3590</v>
      </c>
      <c r="AT25" s="127">
        <f t="shared" si="28"/>
        <v>42058.15</v>
      </c>
      <c r="AU25" s="128">
        <f t="shared" si="29"/>
        <v>77340.25</v>
      </c>
      <c r="AV25" s="129">
        <f t="shared" si="30"/>
        <v>119398.39999999999</v>
      </c>
      <c r="AX25" s="34">
        <f t="shared" si="31"/>
        <v>119398.40000000001</v>
      </c>
    </row>
    <row r="26" spans="1:69" s="33" customFormat="1" ht="13.5" customHeight="1" x14ac:dyDescent="0.25">
      <c r="A26" s="113">
        <v>17</v>
      </c>
      <c r="B26" s="114" t="s">
        <v>42</v>
      </c>
      <c r="C26" s="144" t="s">
        <v>44</v>
      </c>
      <c r="D26" s="144" t="s">
        <v>44</v>
      </c>
      <c r="E26" s="116" t="s">
        <v>16</v>
      </c>
      <c r="F26" s="117">
        <v>100</v>
      </c>
      <c r="G26" s="117">
        <v>175</v>
      </c>
      <c r="H26" s="118">
        <v>31.27</v>
      </c>
      <c r="I26" s="118">
        <v>34.450000000000003</v>
      </c>
      <c r="J26" s="119" t="s">
        <v>17</v>
      </c>
      <c r="K26" s="120"/>
      <c r="L26" s="119" t="s">
        <v>18</v>
      </c>
      <c r="M26" s="121"/>
      <c r="N26" s="121"/>
      <c r="O26" s="121">
        <f t="shared" si="5"/>
        <v>0</v>
      </c>
      <c r="P26" s="122">
        <f t="shared" si="6"/>
        <v>0</v>
      </c>
      <c r="Q26" s="122">
        <f t="shared" si="7"/>
        <v>0</v>
      </c>
      <c r="R26" s="122">
        <f t="shared" si="8"/>
        <v>0</v>
      </c>
      <c r="S26" s="133">
        <v>900</v>
      </c>
      <c r="T26" s="133">
        <v>1575</v>
      </c>
      <c r="U26" s="121">
        <f t="shared" si="9"/>
        <v>2475</v>
      </c>
      <c r="V26" s="122">
        <f t="shared" si="10"/>
        <v>28143</v>
      </c>
      <c r="W26" s="122">
        <f t="shared" si="11"/>
        <v>54258.750000000007</v>
      </c>
      <c r="X26" s="122">
        <f t="shared" si="12"/>
        <v>82401.75</v>
      </c>
      <c r="Y26" s="133">
        <v>300</v>
      </c>
      <c r="Z26" s="138">
        <v>567</v>
      </c>
      <c r="AA26" s="121">
        <f t="shared" si="13"/>
        <v>867</v>
      </c>
      <c r="AB26" s="122">
        <f t="shared" si="14"/>
        <v>9381</v>
      </c>
      <c r="AC26" s="122">
        <f t="shared" si="15"/>
        <v>19533.150000000001</v>
      </c>
      <c r="AD26" s="122">
        <f t="shared" si="16"/>
        <v>28914.15</v>
      </c>
      <c r="AE26" s="133">
        <v>500</v>
      </c>
      <c r="AF26" s="138">
        <v>794</v>
      </c>
      <c r="AG26" s="121">
        <f t="shared" si="17"/>
        <v>1294</v>
      </c>
      <c r="AH26" s="122">
        <f t="shared" si="18"/>
        <v>15635</v>
      </c>
      <c r="AI26" s="122">
        <f t="shared" si="19"/>
        <v>27353.300000000003</v>
      </c>
      <c r="AJ26" s="122">
        <f t="shared" si="20"/>
        <v>42988.3</v>
      </c>
      <c r="AK26" s="139">
        <v>300</v>
      </c>
      <c r="AL26" s="139">
        <v>600</v>
      </c>
      <c r="AM26" s="121">
        <f t="shared" si="21"/>
        <v>900</v>
      </c>
      <c r="AN26" s="122">
        <f t="shared" si="22"/>
        <v>9381</v>
      </c>
      <c r="AO26" s="122">
        <f t="shared" si="23"/>
        <v>20670</v>
      </c>
      <c r="AP26" s="122">
        <f t="shared" si="24"/>
        <v>30051</v>
      </c>
      <c r="AQ26" s="124">
        <f t="shared" si="25"/>
        <v>2000</v>
      </c>
      <c r="AR26" s="125">
        <f t="shared" si="26"/>
        <v>3536</v>
      </c>
      <c r="AS26" s="126">
        <f t="shared" si="27"/>
        <v>5536</v>
      </c>
      <c r="AT26" s="127">
        <f t="shared" si="28"/>
        <v>62540</v>
      </c>
      <c r="AU26" s="128">
        <f t="shared" si="29"/>
        <v>121815.20000000001</v>
      </c>
      <c r="AV26" s="129">
        <f t="shared" si="30"/>
        <v>184355.20000000001</v>
      </c>
      <c r="AX26" s="34">
        <f t="shared" si="31"/>
        <v>184355.20000000001</v>
      </c>
    </row>
    <row r="27" spans="1:69" s="33" customFormat="1" ht="15" customHeight="1" x14ac:dyDescent="0.25">
      <c r="A27" s="113">
        <v>18</v>
      </c>
      <c r="B27" s="114" t="s">
        <v>42</v>
      </c>
      <c r="C27" s="144" t="s">
        <v>44</v>
      </c>
      <c r="D27" s="144" t="s">
        <v>44</v>
      </c>
      <c r="E27" s="116" t="s">
        <v>32</v>
      </c>
      <c r="F27" s="117">
        <v>150</v>
      </c>
      <c r="G27" s="117">
        <v>250</v>
      </c>
      <c r="H27" s="118">
        <v>23</v>
      </c>
      <c r="I27" s="118">
        <v>27</v>
      </c>
      <c r="J27" s="119" t="s">
        <v>23</v>
      </c>
      <c r="K27" s="119" t="s">
        <v>45</v>
      </c>
      <c r="L27" s="119" t="s">
        <v>25</v>
      </c>
      <c r="M27" s="121"/>
      <c r="N27" s="121"/>
      <c r="O27" s="121">
        <f t="shared" si="5"/>
        <v>0</v>
      </c>
      <c r="P27" s="122">
        <f t="shared" si="6"/>
        <v>0</v>
      </c>
      <c r="Q27" s="122">
        <f t="shared" si="7"/>
        <v>0</v>
      </c>
      <c r="R27" s="122">
        <f t="shared" si="8"/>
        <v>0</v>
      </c>
      <c r="S27" s="138">
        <v>1324</v>
      </c>
      <c r="T27" s="133">
        <v>1999</v>
      </c>
      <c r="U27" s="121">
        <f t="shared" si="9"/>
        <v>3323</v>
      </c>
      <c r="V27" s="122">
        <f t="shared" si="10"/>
        <v>30452</v>
      </c>
      <c r="W27" s="122">
        <f t="shared" si="11"/>
        <v>53973</v>
      </c>
      <c r="X27" s="122">
        <f t="shared" si="12"/>
        <v>84425</v>
      </c>
      <c r="Y27" s="139">
        <v>450</v>
      </c>
      <c r="Z27" s="139">
        <v>750</v>
      </c>
      <c r="AA27" s="121">
        <f t="shared" si="13"/>
        <v>1200</v>
      </c>
      <c r="AB27" s="122">
        <f t="shared" si="14"/>
        <v>10350</v>
      </c>
      <c r="AC27" s="122">
        <f t="shared" si="15"/>
        <v>20250</v>
      </c>
      <c r="AD27" s="122">
        <f t="shared" si="16"/>
        <v>30600</v>
      </c>
      <c r="AE27" s="138">
        <v>654</v>
      </c>
      <c r="AF27" s="138">
        <v>865</v>
      </c>
      <c r="AG27" s="121">
        <f t="shared" si="17"/>
        <v>1519</v>
      </c>
      <c r="AH27" s="122">
        <f t="shared" si="18"/>
        <v>15042</v>
      </c>
      <c r="AI27" s="122">
        <f t="shared" si="19"/>
        <v>23355</v>
      </c>
      <c r="AJ27" s="122">
        <f t="shared" si="20"/>
        <v>38397</v>
      </c>
      <c r="AK27" s="139">
        <v>450</v>
      </c>
      <c r="AL27" s="138">
        <v>712</v>
      </c>
      <c r="AM27" s="121">
        <f t="shared" si="21"/>
        <v>1162</v>
      </c>
      <c r="AN27" s="122">
        <f t="shared" si="22"/>
        <v>10350</v>
      </c>
      <c r="AO27" s="122">
        <f t="shared" si="23"/>
        <v>19224</v>
      </c>
      <c r="AP27" s="122">
        <f t="shared" si="24"/>
        <v>29574</v>
      </c>
      <c r="AQ27" s="124">
        <f t="shared" si="25"/>
        <v>2878</v>
      </c>
      <c r="AR27" s="125">
        <f t="shared" si="26"/>
        <v>4326</v>
      </c>
      <c r="AS27" s="126">
        <f t="shared" si="27"/>
        <v>7204</v>
      </c>
      <c r="AT27" s="127">
        <f t="shared" si="28"/>
        <v>66194</v>
      </c>
      <c r="AU27" s="128">
        <f t="shared" si="29"/>
        <v>116802</v>
      </c>
      <c r="AV27" s="129">
        <f t="shared" si="30"/>
        <v>182996</v>
      </c>
      <c r="AX27" s="34">
        <f t="shared" si="31"/>
        <v>182996</v>
      </c>
    </row>
    <row r="28" spans="1:69" s="78" customFormat="1" ht="15" customHeight="1" x14ac:dyDescent="0.25">
      <c r="A28" s="113">
        <v>19</v>
      </c>
      <c r="B28" s="145" t="s">
        <v>42</v>
      </c>
      <c r="C28" s="146" t="s">
        <v>46</v>
      </c>
      <c r="D28" s="146" t="s">
        <v>249</v>
      </c>
      <c r="E28" s="116" t="s">
        <v>41</v>
      </c>
      <c r="F28" s="117">
        <v>175</v>
      </c>
      <c r="G28" s="117">
        <v>225</v>
      </c>
      <c r="H28" s="118">
        <v>28.5</v>
      </c>
      <c r="I28" s="118">
        <v>29.5</v>
      </c>
      <c r="J28" s="119" t="s">
        <v>47</v>
      </c>
      <c r="K28" s="119"/>
      <c r="L28" s="119" t="s">
        <v>48</v>
      </c>
      <c r="M28" s="121"/>
      <c r="N28" s="121"/>
      <c r="O28" s="121">
        <f t="shared" si="5"/>
        <v>0</v>
      </c>
      <c r="P28" s="122">
        <f t="shared" si="6"/>
        <v>0</v>
      </c>
      <c r="Q28" s="122">
        <f t="shared" si="7"/>
        <v>0</v>
      </c>
      <c r="R28" s="122">
        <f t="shared" si="8"/>
        <v>0</v>
      </c>
      <c r="S28" s="133">
        <v>1575</v>
      </c>
      <c r="T28" s="133">
        <v>2025</v>
      </c>
      <c r="U28" s="121">
        <f t="shared" si="9"/>
        <v>3600</v>
      </c>
      <c r="V28" s="122">
        <f t="shared" si="10"/>
        <v>44887.5</v>
      </c>
      <c r="W28" s="122">
        <f t="shared" si="11"/>
        <v>59737.5</v>
      </c>
      <c r="X28" s="122">
        <f t="shared" si="12"/>
        <v>104625</v>
      </c>
      <c r="Y28" s="138">
        <v>525</v>
      </c>
      <c r="Z28" s="138">
        <v>675</v>
      </c>
      <c r="AA28" s="121">
        <f t="shared" si="13"/>
        <v>1200</v>
      </c>
      <c r="AB28" s="122">
        <f t="shared" si="14"/>
        <v>14962.5</v>
      </c>
      <c r="AC28" s="122">
        <f t="shared" si="15"/>
        <v>19912.5</v>
      </c>
      <c r="AD28" s="122">
        <f t="shared" si="16"/>
        <v>34875</v>
      </c>
      <c r="AE28" s="138">
        <v>0</v>
      </c>
      <c r="AF28" s="138">
        <v>0</v>
      </c>
      <c r="AG28" s="121">
        <f t="shared" si="17"/>
        <v>0</v>
      </c>
      <c r="AH28" s="122">
        <f t="shared" si="18"/>
        <v>0</v>
      </c>
      <c r="AI28" s="122">
        <f t="shared" si="19"/>
        <v>0</v>
      </c>
      <c r="AJ28" s="122">
        <f t="shared" si="20"/>
        <v>0</v>
      </c>
      <c r="AK28" s="133">
        <v>0</v>
      </c>
      <c r="AL28" s="139">
        <v>0</v>
      </c>
      <c r="AM28" s="121">
        <f t="shared" si="21"/>
        <v>0</v>
      </c>
      <c r="AN28" s="122">
        <f t="shared" si="22"/>
        <v>0</v>
      </c>
      <c r="AO28" s="122">
        <f t="shared" si="23"/>
        <v>0</v>
      </c>
      <c r="AP28" s="122">
        <f t="shared" si="24"/>
        <v>0</v>
      </c>
      <c r="AQ28" s="124">
        <f t="shared" si="25"/>
        <v>2100</v>
      </c>
      <c r="AR28" s="125">
        <f t="shared" si="26"/>
        <v>2700</v>
      </c>
      <c r="AS28" s="126">
        <f t="shared" si="27"/>
        <v>4800</v>
      </c>
      <c r="AT28" s="127">
        <f t="shared" si="28"/>
        <v>59850</v>
      </c>
      <c r="AU28" s="128">
        <f t="shared" si="29"/>
        <v>79650</v>
      </c>
      <c r="AV28" s="129">
        <f t="shared" si="30"/>
        <v>139500</v>
      </c>
      <c r="AW28" s="33"/>
      <c r="AX28" s="34">
        <f t="shared" si="31"/>
        <v>139500</v>
      </c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</row>
    <row r="29" spans="1:69" s="78" customFormat="1" ht="15" customHeight="1" x14ac:dyDescent="0.25">
      <c r="A29" s="113">
        <v>20</v>
      </c>
      <c r="B29" s="147" t="s">
        <v>42</v>
      </c>
      <c r="C29" s="148" t="s">
        <v>268</v>
      </c>
      <c r="D29" s="148" t="s">
        <v>49</v>
      </c>
      <c r="E29" s="116" t="s">
        <v>41</v>
      </c>
      <c r="F29" s="117">
        <v>200</v>
      </c>
      <c r="G29" s="117">
        <v>300</v>
      </c>
      <c r="H29" s="118">
        <v>28.5</v>
      </c>
      <c r="I29" s="118">
        <v>29.5</v>
      </c>
      <c r="J29" s="119" t="s">
        <v>47</v>
      </c>
      <c r="K29" s="119"/>
      <c r="L29" s="119" t="s">
        <v>48</v>
      </c>
      <c r="M29" s="121"/>
      <c r="N29" s="121"/>
      <c r="O29" s="121">
        <f t="shared" si="5"/>
        <v>0</v>
      </c>
      <c r="P29" s="122">
        <f t="shared" si="6"/>
        <v>0</v>
      </c>
      <c r="Q29" s="122">
        <f t="shared" si="7"/>
        <v>0</v>
      </c>
      <c r="R29" s="122">
        <f t="shared" si="8"/>
        <v>0</v>
      </c>
      <c r="S29" s="133">
        <v>1800</v>
      </c>
      <c r="T29" s="133">
        <v>2700</v>
      </c>
      <c r="U29" s="121">
        <f t="shared" si="9"/>
        <v>4500</v>
      </c>
      <c r="V29" s="122">
        <f t="shared" si="10"/>
        <v>51300</v>
      </c>
      <c r="W29" s="122">
        <f t="shared" si="11"/>
        <v>79650</v>
      </c>
      <c r="X29" s="122">
        <f t="shared" si="12"/>
        <v>130950</v>
      </c>
      <c r="Y29" s="133">
        <v>600</v>
      </c>
      <c r="Z29" s="133">
        <v>900</v>
      </c>
      <c r="AA29" s="121">
        <f t="shared" si="13"/>
        <v>1500</v>
      </c>
      <c r="AB29" s="122">
        <f t="shared" si="14"/>
        <v>17100</v>
      </c>
      <c r="AC29" s="122">
        <f t="shared" si="15"/>
        <v>26550</v>
      </c>
      <c r="AD29" s="122">
        <f t="shared" si="16"/>
        <v>43650</v>
      </c>
      <c r="AE29" s="133">
        <v>1000</v>
      </c>
      <c r="AF29" s="133">
        <v>1500</v>
      </c>
      <c r="AG29" s="121">
        <f t="shared" si="17"/>
        <v>2500</v>
      </c>
      <c r="AH29" s="122">
        <f t="shared" si="18"/>
        <v>28500</v>
      </c>
      <c r="AI29" s="122">
        <f t="shared" si="19"/>
        <v>44250</v>
      </c>
      <c r="AJ29" s="122">
        <f t="shared" si="20"/>
        <v>72750</v>
      </c>
      <c r="AK29" s="133">
        <v>200</v>
      </c>
      <c r="AL29" s="133">
        <v>300</v>
      </c>
      <c r="AM29" s="121">
        <f t="shared" si="21"/>
        <v>500</v>
      </c>
      <c r="AN29" s="122">
        <f t="shared" si="22"/>
        <v>5700</v>
      </c>
      <c r="AO29" s="122">
        <f t="shared" si="23"/>
        <v>8850</v>
      </c>
      <c r="AP29" s="122">
        <f t="shared" si="24"/>
        <v>14550</v>
      </c>
      <c r="AQ29" s="124">
        <f t="shared" si="25"/>
        <v>3600</v>
      </c>
      <c r="AR29" s="125">
        <f t="shared" si="26"/>
        <v>5400</v>
      </c>
      <c r="AS29" s="126">
        <f t="shared" si="27"/>
        <v>9000</v>
      </c>
      <c r="AT29" s="127">
        <f t="shared" si="28"/>
        <v>102600</v>
      </c>
      <c r="AU29" s="128">
        <f t="shared" si="29"/>
        <v>159300</v>
      </c>
      <c r="AV29" s="129">
        <f t="shared" si="30"/>
        <v>261900</v>
      </c>
      <c r="AW29" s="33"/>
      <c r="AX29" s="34">
        <f t="shared" si="31"/>
        <v>261900</v>
      </c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</row>
    <row r="30" spans="1:69" s="33" customFormat="1" ht="15" customHeight="1" x14ac:dyDescent="0.25">
      <c r="A30" s="113">
        <v>21</v>
      </c>
      <c r="B30" s="130" t="s">
        <v>42</v>
      </c>
      <c r="C30" s="131" t="s">
        <v>50</v>
      </c>
      <c r="D30" s="131" t="s">
        <v>50</v>
      </c>
      <c r="E30" s="116" t="s">
        <v>16</v>
      </c>
      <c r="F30" s="117">
        <v>100</v>
      </c>
      <c r="G30" s="117">
        <v>200</v>
      </c>
      <c r="H30" s="118">
        <v>23</v>
      </c>
      <c r="I30" s="118">
        <v>27</v>
      </c>
      <c r="J30" s="119" t="s">
        <v>23</v>
      </c>
      <c r="K30" s="119" t="s">
        <v>51</v>
      </c>
      <c r="L30" s="119" t="s">
        <v>25</v>
      </c>
      <c r="M30" s="121"/>
      <c r="N30" s="121"/>
      <c r="O30" s="121">
        <f t="shared" si="5"/>
        <v>0</v>
      </c>
      <c r="P30" s="122">
        <f t="shared" si="6"/>
        <v>0</v>
      </c>
      <c r="Q30" s="122">
        <f t="shared" si="7"/>
        <v>0</v>
      </c>
      <c r="R30" s="122">
        <f t="shared" si="8"/>
        <v>0</v>
      </c>
      <c r="S30" s="133">
        <v>900</v>
      </c>
      <c r="T30" s="139">
        <v>1800</v>
      </c>
      <c r="U30" s="121">
        <f t="shared" si="9"/>
        <v>2700</v>
      </c>
      <c r="V30" s="122">
        <f t="shared" si="10"/>
        <v>20700</v>
      </c>
      <c r="W30" s="122">
        <f t="shared" si="11"/>
        <v>48600</v>
      </c>
      <c r="X30" s="122">
        <f t="shared" si="12"/>
        <v>69300</v>
      </c>
      <c r="Y30" s="133">
        <v>300</v>
      </c>
      <c r="Z30" s="133">
        <v>600</v>
      </c>
      <c r="AA30" s="121">
        <f t="shared" si="13"/>
        <v>900</v>
      </c>
      <c r="AB30" s="122">
        <f t="shared" si="14"/>
        <v>6900</v>
      </c>
      <c r="AC30" s="122">
        <f t="shared" si="15"/>
        <v>16200</v>
      </c>
      <c r="AD30" s="122">
        <f t="shared" si="16"/>
        <v>23100</v>
      </c>
      <c r="AE30" s="133">
        <v>500</v>
      </c>
      <c r="AF30" s="133">
        <v>1000</v>
      </c>
      <c r="AG30" s="121">
        <f t="shared" si="17"/>
        <v>1500</v>
      </c>
      <c r="AH30" s="122">
        <f t="shared" si="18"/>
        <v>11500</v>
      </c>
      <c r="AI30" s="122">
        <f t="shared" si="19"/>
        <v>27000</v>
      </c>
      <c r="AJ30" s="122">
        <f t="shared" si="20"/>
        <v>38500</v>
      </c>
      <c r="AK30" s="133">
        <v>0</v>
      </c>
      <c r="AL30" s="133">
        <v>0</v>
      </c>
      <c r="AM30" s="121">
        <f t="shared" si="21"/>
        <v>0</v>
      </c>
      <c r="AN30" s="122">
        <f t="shared" si="22"/>
        <v>0</v>
      </c>
      <c r="AO30" s="122">
        <f t="shared" si="23"/>
        <v>0</v>
      </c>
      <c r="AP30" s="122">
        <f t="shared" si="24"/>
        <v>0</v>
      </c>
      <c r="AQ30" s="124">
        <f t="shared" si="25"/>
        <v>1700</v>
      </c>
      <c r="AR30" s="125">
        <f t="shared" si="26"/>
        <v>3400</v>
      </c>
      <c r="AS30" s="126">
        <f t="shared" si="27"/>
        <v>5100</v>
      </c>
      <c r="AT30" s="127">
        <f t="shared" si="28"/>
        <v>39100</v>
      </c>
      <c r="AU30" s="128">
        <f t="shared" si="29"/>
        <v>91800</v>
      </c>
      <c r="AV30" s="129">
        <f t="shared" si="30"/>
        <v>130900</v>
      </c>
      <c r="AX30" s="34">
        <f t="shared" si="31"/>
        <v>130900</v>
      </c>
    </row>
    <row r="31" spans="1:69" s="33" customFormat="1" ht="15" customHeight="1" x14ac:dyDescent="0.25">
      <c r="A31" s="113">
        <v>22</v>
      </c>
      <c r="B31" s="114" t="s">
        <v>42</v>
      </c>
      <c r="C31" s="115" t="s">
        <v>52</v>
      </c>
      <c r="D31" s="115" t="s">
        <v>52</v>
      </c>
      <c r="E31" s="116" t="s">
        <v>32</v>
      </c>
      <c r="F31" s="117">
        <v>150</v>
      </c>
      <c r="G31" s="117">
        <v>250</v>
      </c>
      <c r="H31" s="118">
        <v>31.27</v>
      </c>
      <c r="I31" s="118">
        <v>34.450000000000003</v>
      </c>
      <c r="J31" s="119" t="s">
        <v>17</v>
      </c>
      <c r="K31" s="120"/>
      <c r="L31" s="119" t="s">
        <v>18</v>
      </c>
      <c r="M31" s="121"/>
      <c r="N31" s="121"/>
      <c r="O31" s="121">
        <f t="shared" si="5"/>
        <v>0</v>
      </c>
      <c r="P31" s="122">
        <f t="shared" si="6"/>
        <v>0</v>
      </c>
      <c r="Q31" s="122">
        <f t="shared" si="7"/>
        <v>0</v>
      </c>
      <c r="R31" s="122">
        <f t="shared" si="8"/>
        <v>0</v>
      </c>
      <c r="S31" s="138">
        <v>900</v>
      </c>
      <c r="T31" s="138">
        <v>1250</v>
      </c>
      <c r="U31" s="121">
        <f t="shared" si="9"/>
        <v>2150</v>
      </c>
      <c r="V31" s="122">
        <f t="shared" si="10"/>
        <v>28143</v>
      </c>
      <c r="W31" s="122">
        <f t="shared" si="11"/>
        <v>43062.5</v>
      </c>
      <c r="X31" s="122">
        <f t="shared" si="12"/>
        <v>71205.5</v>
      </c>
      <c r="Y31" s="133">
        <v>450</v>
      </c>
      <c r="Z31" s="133">
        <v>750</v>
      </c>
      <c r="AA31" s="121">
        <f t="shared" si="13"/>
        <v>1200</v>
      </c>
      <c r="AB31" s="122">
        <f t="shared" si="14"/>
        <v>14071.5</v>
      </c>
      <c r="AC31" s="122">
        <f t="shared" si="15"/>
        <v>25837.500000000004</v>
      </c>
      <c r="AD31" s="122">
        <f t="shared" si="16"/>
        <v>39909</v>
      </c>
      <c r="AE31" s="133">
        <v>750</v>
      </c>
      <c r="AF31" s="139">
        <v>1250</v>
      </c>
      <c r="AG31" s="121">
        <f t="shared" si="17"/>
        <v>2000</v>
      </c>
      <c r="AH31" s="122">
        <f t="shared" si="18"/>
        <v>23452.5</v>
      </c>
      <c r="AI31" s="122">
        <f t="shared" si="19"/>
        <v>43062.5</v>
      </c>
      <c r="AJ31" s="122">
        <f t="shared" si="20"/>
        <v>66515</v>
      </c>
      <c r="AK31" s="138">
        <v>300</v>
      </c>
      <c r="AL31" s="138">
        <v>500</v>
      </c>
      <c r="AM31" s="121">
        <f t="shared" si="21"/>
        <v>800</v>
      </c>
      <c r="AN31" s="122">
        <f t="shared" si="22"/>
        <v>9381</v>
      </c>
      <c r="AO31" s="122">
        <f t="shared" si="23"/>
        <v>17225</v>
      </c>
      <c r="AP31" s="122">
        <f t="shared" si="24"/>
        <v>26606</v>
      </c>
      <c r="AQ31" s="124">
        <f t="shared" si="25"/>
        <v>2400</v>
      </c>
      <c r="AR31" s="125">
        <f t="shared" si="26"/>
        <v>3750</v>
      </c>
      <c r="AS31" s="126">
        <f t="shared" si="27"/>
        <v>6150</v>
      </c>
      <c r="AT31" s="127">
        <f t="shared" si="28"/>
        <v>75048</v>
      </c>
      <c r="AU31" s="128">
        <f t="shared" si="29"/>
        <v>129187.5</v>
      </c>
      <c r="AV31" s="129">
        <f t="shared" si="30"/>
        <v>204235.5</v>
      </c>
      <c r="AX31" s="34">
        <f t="shared" si="31"/>
        <v>204235.5</v>
      </c>
    </row>
    <row r="32" spans="1:69" s="33" customFormat="1" ht="15" customHeight="1" x14ac:dyDescent="0.25">
      <c r="A32" s="113">
        <v>23</v>
      </c>
      <c r="B32" s="149" t="s">
        <v>53</v>
      </c>
      <c r="C32" s="150" t="s">
        <v>54</v>
      </c>
      <c r="D32" s="150" t="s">
        <v>54</v>
      </c>
      <c r="E32" s="116" t="s">
        <v>16</v>
      </c>
      <c r="F32" s="117">
        <v>150</v>
      </c>
      <c r="G32" s="117">
        <v>200</v>
      </c>
      <c r="H32" s="118">
        <v>30.09</v>
      </c>
      <c r="I32" s="118">
        <v>33.15</v>
      </c>
      <c r="J32" s="119" t="s">
        <v>17</v>
      </c>
      <c r="K32" s="120" t="s">
        <v>55</v>
      </c>
      <c r="L32" s="119" t="s">
        <v>18</v>
      </c>
      <c r="M32" s="121"/>
      <c r="N32" s="121"/>
      <c r="O32" s="121">
        <f t="shared" si="5"/>
        <v>0</v>
      </c>
      <c r="P32" s="122">
        <f t="shared" si="6"/>
        <v>0</v>
      </c>
      <c r="Q32" s="122">
        <f t="shared" si="7"/>
        <v>0</v>
      </c>
      <c r="R32" s="122">
        <f t="shared" si="8"/>
        <v>0</v>
      </c>
      <c r="S32" s="133">
        <v>1350</v>
      </c>
      <c r="T32" s="133">
        <v>1800</v>
      </c>
      <c r="U32" s="121">
        <f t="shared" si="9"/>
        <v>3150</v>
      </c>
      <c r="V32" s="122">
        <f t="shared" si="10"/>
        <v>40621.5</v>
      </c>
      <c r="W32" s="122">
        <f t="shared" si="11"/>
        <v>59670</v>
      </c>
      <c r="X32" s="122">
        <f t="shared" si="12"/>
        <v>100291.5</v>
      </c>
      <c r="Y32" s="133">
        <v>450</v>
      </c>
      <c r="Z32" s="133">
        <v>600</v>
      </c>
      <c r="AA32" s="121">
        <f t="shared" si="13"/>
        <v>1050</v>
      </c>
      <c r="AB32" s="122">
        <f t="shared" si="14"/>
        <v>13540.5</v>
      </c>
      <c r="AC32" s="122">
        <f t="shared" si="15"/>
        <v>19890</v>
      </c>
      <c r="AD32" s="122">
        <f t="shared" si="16"/>
        <v>33430.5</v>
      </c>
      <c r="AE32" s="133">
        <v>750</v>
      </c>
      <c r="AF32" s="133">
        <v>1000</v>
      </c>
      <c r="AG32" s="121">
        <f t="shared" si="17"/>
        <v>1750</v>
      </c>
      <c r="AH32" s="122">
        <f t="shared" si="18"/>
        <v>22567.5</v>
      </c>
      <c r="AI32" s="122">
        <f t="shared" si="19"/>
        <v>33150</v>
      </c>
      <c r="AJ32" s="122">
        <f t="shared" si="20"/>
        <v>55717.5</v>
      </c>
      <c r="AK32" s="133">
        <v>450</v>
      </c>
      <c r="AL32" s="133">
        <v>600</v>
      </c>
      <c r="AM32" s="121">
        <f t="shared" si="21"/>
        <v>1050</v>
      </c>
      <c r="AN32" s="122">
        <f t="shared" si="22"/>
        <v>13540.5</v>
      </c>
      <c r="AO32" s="122">
        <f t="shared" si="23"/>
        <v>19890</v>
      </c>
      <c r="AP32" s="122">
        <f t="shared" si="24"/>
        <v>33430.5</v>
      </c>
      <c r="AQ32" s="124">
        <f t="shared" si="25"/>
        <v>3000</v>
      </c>
      <c r="AR32" s="125">
        <f t="shared" si="26"/>
        <v>4000</v>
      </c>
      <c r="AS32" s="126">
        <f t="shared" si="27"/>
        <v>7000</v>
      </c>
      <c r="AT32" s="127">
        <f t="shared" si="28"/>
        <v>90270</v>
      </c>
      <c r="AU32" s="128">
        <f t="shared" si="29"/>
        <v>132600</v>
      </c>
      <c r="AV32" s="129">
        <f t="shared" si="30"/>
        <v>222870</v>
      </c>
      <c r="AX32" s="34">
        <f t="shared" si="31"/>
        <v>222870</v>
      </c>
    </row>
    <row r="33" spans="1:50" s="33" customFormat="1" ht="15" customHeight="1" x14ac:dyDescent="0.25">
      <c r="A33" s="113">
        <v>24</v>
      </c>
      <c r="B33" s="151" t="s">
        <v>53</v>
      </c>
      <c r="C33" s="152" t="s">
        <v>56</v>
      </c>
      <c r="D33" s="152" t="s">
        <v>56</v>
      </c>
      <c r="E33" s="116" t="s">
        <v>16</v>
      </c>
      <c r="F33" s="117">
        <v>150</v>
      </c>
      <c r="G33" s="117">
        <v>200</v>
      </c>
      <c r="H33" s="118">
        <v>30.09</v>
      </c>
      <c r="I33" s="118">
        <v>33.15</v>
      </c>
      <c r="J33" s="119" t="s">
        <v>17</v>
      </c>
      <c r="K33" s="120" t="s">
        <v>55</v>
      </c>
      <c r="L33" s="119" t="s">
        <v>18</v>
      </c>
      <c r="M33" s="121"/>
      <c r="N33" s="121"/>
      <c r="O33" s="121">
        <f t="shared" si="5"/>
        <v>0</v>
      </c>
      <c r="P33" s="122">
        <f t="shared" si="6"/>
        <v>0</v>
      </c>
      <c r="Q33" s="122">
        <f t="shared" si="7"/>
        <v>0</v>
      </c>
      <c r="R33" s="122">
        <f t="shared" si="8"/>
        <v>0</v>
      </c>
      <c r="S33" s="133">
        <v>1350</v>
      </c>
      <c r="T33" s="138">
        <v>1795</v>
      </c>
      <c r="U33" s="121">
        <f t="shared" si="9"/>
        <v>3145</v>
      </c>
      <c r="V33" s="122">
        <f t="shared" si="10"/>
        <v>40621.5</v>
      </c>
      <c r="W33" s="122">
        <f t="shared" si="11"/>
        <v>59504.25</v>
      </c>
      <c r="X33" s="122">
        <f t="shared" si="12"/>
        <v>100125.75</v>
      </c>
      <c r="Y33" s="133">
        <v>450</v>
      </c>
      <c r="Z33" s="133">
        <v>600</v>
      </c>
      <c r="AA33" s="121">
        <f t="shared" si="13"/>
        <v>1050</v>
      </c>
      <c r="AB33" s="122">
        <f t="shared" si="14"/>
        <v>13540.5</v>
      </c>
      <c r="AC33" s="122">
        <f t="shared" si="15"/>
        <v>19890</v>
      </c>
      <c r="AD33" s="122">
        <f t="shared" si="16"/>
        <v>33430.5</v>
      </c>
      <c r="AE33" s="133">
        <v>750</v>
      </c>
      <c r="AF33" s="133">
        <v>1000</v>
      </c>
      <c r="AG33" s="121">
        <f t="shared" si="17"/>
        <v>1750</v>
      </c>
      <c r="AH33" s="122">
        <f t="shared" si="18"/>
        <v>22567.5</v>
      </c>
      <c r="AI33" s="122">
        <f t="shared" si="19"/>
        <v>33150</v>
      </c>
      <c r="AJ33" s="122">
        <f t="shared" si="20"/>
        <v>55717.5</v>
      </c>
      <c r="AK33" s="133">
        <v>450</v>
      </c>
      <c r="AL33" s="133">
        <v>600</v>
      </c>
      <c r="AM33" s="121">
        <f t="shared" si="21"/>
        <v>1050</v>
      </c>
      <c r="AN33" s="122">
        <f t="shared" si="22"/>
        <v>13540.5</v>
      </c>
      <c r="AO33" s="122">
        <f t="shared" si="23"/>
        <v>19890</v>
      </c>
      <c r="AP33" s="122">
        <f t="shared" si="24"/>
        <v>33430.5</v>
      </c>
      <c r="AQ33" s="124">
        <f t="shared" si="25"/>
        <v>3000</v>
      </c>
      <c r="AR33" s="125">
        <f t="shared" si="26"/>
        <v>3995</v>
      </c>
      <c r="AS33" s="126">
        <f t="shared" si="27"/>
        <v>6995</v>
      </c>
      <c r="AT33" s="127">
        <f t="shared" si="28"/>
        <v>90270</v>
      </c>
      <c r="AU33" s="128">
        <f t="shared" si="29"/>
        <v>132434.25</v>
      </c>
      <c r="AV33" s="129">
        <f t="shared" si="30"/>
        <v>222704.25</v>
      </c>
      <c r="AX33" s="34">
        <f t="shared" si="31"/>
        <v>222704.25</v>
      </c>
    </row>
    <row r="34" spans="1:50" s="33" customFormat="1" ht="12.75" customHeight="1" x14ac:dyDescent="0.25">
      <c r="A34" s="113">
        <v>25</v>
      </c>
      <c r="B34" s="149" t="s">
        <v>53</v>
      </c>
      <c r="C34" s="153" t="s">
        <v>57</v>
      </c>
      <c r="D34" s="153" t="s">
        <v>57</v>
      </c>
      <c r="E34" s="116" t="s">
        <v>16</v>
      </c>
      <c r="F34" s="117">
        <v>100</v>
      </c>
      <c r="G34" s="117">
        <v>175</v>
      </c>
      <c r="H34" s="118">
        <v>26</v>
      </c>
      <c r="I34" s="118">
        <v>27.5</v>
      </c>
      <c r="J34" s="119" t="s">
        <v>23</v>
      </c>
      <c r="K34" s="119" t="s">
        <v>58</v>
      </c>
      <c r="L34" s="119" t="s">
        <v>48</v>
      </c>
      <c r="M34" s="121"/>
      <c r="N34" s="121"/>
      <c r="O34" s="121">
        <f t="shared" si="5"/>
        <v>0</v>
      </c>
      <c r="P34" s="122">
        <f t="shared" si="6"/>
        <v>0</v>
      </c>
      <c r="Q34" s="122">
        <f t="shared" si="7"/>
        <v>0</v>
      </c>
      <c r="R34" s="122">
        <f t="shared" si="8"/>
        <v>0</v>
      </c>
      <c r="S34" s="133">
        <v>900</v>
      </c>
      <c r="T34" s="133">
        <v>1575</v>
      </c>
      <c r="U34" s="121">
        <f t="shared" si="9"/>
        <v>2475</v>
      </c>
      <c r="V34" s="122">
        <f t="shared" si="10"/>
        <v>23400</v>
      </c>
      <c r="W34" s="122">
        <f t="shared" si="11"/>
        <v>43312.5</v>
      </c>
      <c r="X34" s="122">
        <f t="shared" si="12"/>
        <v>66712.5</v>
      </c>
      <c r="Y34" s="133">
        <v>300</v>
      </c>
      <c r="Z34" s="133">
        <v>525</v>
      </c>
      <c r="AA34" s="121">
        <f t="shared" si="13"/>
        <v>825</v>
      </c>
      <c r="AB34" s="122">
        <f t="shared" si="14"/>
        <v>7800</v>
      </c>
      <c r="AC34" s="122">
        <f t="shared" si="15"/>
        <v>14437.5</v>
      </c>
      <c r="AD34" s="122">
        <f t="shared" si="16"/>
        <v>22237.5</v>
      </c>
      <c r="AE34" s="133">
        <v>500</v>
      </c>
      <c r="AF34" s="133">
        <v>875</v>
      </c>
      <c r="AG34" s="121">
        <f t="shared" si="17"/>
        <v>1375</v>
      </c>
      <c r="AH34" s="122">
        <f t="shared" si="18"/>
        <v>13000</v>
      </c>
      <c r="AI34" s="122">
        <f t="shared" si="19"/>
        <v>24062.5</v>
      </c>
      <c r="AJ34" s="122">
        <f t="shared" si="20"/>
        <v>37062.5</v>
      </c>
      <c r="AK34" s="133">
        <v>300</v>
      </c>
      <c r="AL34" s="133">
        <v>525</v>
      </c>
      <c r="AM34" s="121">
        <f t="shared" si="21"/>
        <v>825</v>
      </c>
      <c r="AN34" s="122">
        <f t="shared" si="22"/>
        <v>7800</v>
      </c>
      <c r="AO34" s="122">
        <f t="shared" si="23"/>
        <v>14437.5</v>
      </c>
      <c r="AP34" s="122">
        <f t="shared" si="24"/>
        <v>22237.5</v>
      </c>
      <c r="AQ34" s="124">
        <f t="shared" si="25"/>
        <v>2000</v>
      </c>
      <c r="AR34" s="125">
        <f t="shared" si="26"/>
        <v>3500</v>
      </c>
      <c r="AS34" s="126">
        <f t="shared" si="27"/>
        <v>5500</v>
      </c>
      <c r="AT34" s="127">
        <f t="shared" si="28"/>
        <v>52000</v>
      </c>
      <c r="AU34" s="128">
        <f t="shared" si="29"/>
        <v>96250</v>
      </c>
      <c r="AV34" s="129">
        <f t="shared" si="30"/>
        <v>148250</v>
      </c>
      <c r="AX34" s="34">
        <f t="shared" si="31"/>
        <v>148250</v>
      </c>
    </row>
    <row r="35" spans="1:50" s="33" customFormat="1" ht="15" customHeight="1" x14ac:dyDescent="0.25">
      <c r="A35" s="113">
        <v>26</v>
      </c>
      <c r="B35" s="149" t="s">
        <v>53</v>
      </c>
      <c r="C35" s="153" t="s">
        <v>59</v>
      </c>
      <c r="D35" s="153" t="s">
        <v>59</v>
      </c>
      <c r="E35" s="116" t="s">
        <v>16</v>
      </c>
      <c r="F35" s="117">
        <v>100</v>
      </c>
      <c r="G35" s="117">
        <v>200</v>
      </c>
      <c r="H35" s="118">
        <v>26</v>
      </c>
      <c r="I35" s="118">
        <v>27.5</v>
      </c>
      <c r="J35" s="119" t="s">
        <v>23</v>
      </c>
      <c r="K35" s="119" t="s">
        <v>58</v>
      </c>
      <c r="L35" s="119" t="s">
        <v>48</v>
      </c>
      <c r="M35" s="121"/>
      <c r="N35" s="121"/>
      <c r="O35" s="121">
        <f t="shared" si="5"/>
        <v>0</v>
      </c>
      <c r="P35" s="122">
        <f t="shared" si="6"/>
        <v>0</v>
      </c>
      <c r="Q35" s="122">
        <f t="shared" si="7"/>
        <v>0</v>
      </c>
      <c r="R35" s="122">
        <f t="shared" si="8"/>
        <v>0</v>
      </c>
      <c r="S35" s="133">
        <v>900</v>
      </c>
      <c r="T35" s="133">
        <v>1800</v>
      </c>
      <c r="U35" s="121">
        <f t="shared" si="9"/>
        <v>2700</v>
      </c>
      <c r="V35" s="122">
        <f t="shared" si="10"/>
        <v>23400</v>
      </c>
      <c r="W35" s="122">
        <f t="shared" si="11"/>
        <v>49500</v>
      </c>
      <c r="X35" s="122">
        <f t="shared" si="12"/>
        <v>72900</v>
      </c>
      <c r="Y35" s="133">
        <v>300</v>
      </c>
      <c r="Z35" s="133">
        <v>600</v>
      </c>
      <c r="AA35" s="121">
        <f t="shared" si="13"/>
        <v>900</v>
      </c>
      <c r="AB35" s="122">
        <f t="shared" si="14"/>
        <v>7800</v>
      </c>
      <c r="AC35" s="122">
        <f t="shared" si="15"/>
        <v>16500</v>
      </c>
      <c r="AD35" s="122">
        <f t="shared" si="16"/>
        <v>24300</v>
      </c>
      <c r="AE35" s="133">
        <v>500</v>
      </c>
      <c r="AF35" s="133">
        <v>1000</v>
      </c>
      <c r="AG35" s="121">
        <f t="shared" si="17"/>
        <v>1500</v>
      </c>
      <c r="AH35" s="122">
        <f t="shared" si="18"/>
        <v>13000</v>
      </c>
      <c r="AI35" s="122">
        <f t="shared" si="19"/>
        <v>27500</v>
      </c>
      <c r="AJ35" s="122">
        <f t="shared" si="20"/>
        <v>40500</v>
      </c>
      <c r="AK35" s="133">
        <v>0</v>
      </c>
      <c r="AL35" s="133">
        <v>0</v>
      </c>
      <c r="AM35" s="121">
        <f t="shared" si="21"/>
        <v>0</v>
      </c>
      <c r="AN35" s="122">
        <f t="shared" si="22"/>
        <v>0</v>
      </c>
      <c r="AO35" s="122">
        <f t="shared" si="23"/>
        <v>0</v>
      </c>
      <c r="AP35" s="122">
        <f t="shared" si="24"/>
        <v>0</v>
      </c>
      <c r="AQ35" s="124">
        <f t="shared" si="25"/>
        <v>1700</v>
      </c>
      <c r="AR35" s="125">
        <f t="shared" si="26"/>
        <v>3400</v>
      </c>
      <c r="AS35" s="126">
        <f t="shared" si="27"/>
        <v>5100</v>
      </c>
      <c r="AT35" s="127">
        <f t="shared" si="28"/>
        <v>44200</v>
      </c>
      <c r="AU35" s="128">
        <f t="shared" si="29"/>
        <v>93500</v>
      </c>
      <c r="AV35" s="129">
        <f t="shared" si="30"/>
        <v>137700</v>
      </c>
      <c r="AX35" s="34">
        <f t="shared" si="31"/>
        <v>137700</v>
      </c>
    </row>
    <row r="36" spans="1:50" s="33" customFormat="1" ht="15" customHeight="1" x14ac:dyDescent="0.25">
      <c r="A36" s="113">
        <v>27</v>
      </c>
      <c r="B36" s="130" t="s">
        <v>53</v>
      </c>
      <c r="C36" s="131" t="s">
        <v>60</v>
      </c>
      <c r="D36" s="131" t="s">
        <v>60</v>
      </c>
      <c r="E36" s="116" t="s">
        <v>32</v>
      </c>
      <c r="F36" s="117">
        <v>150</v>
      </c>
      <c r="G36" s="117">
        <v>200</v>
      </c>
      <c r="H36" s="118">
        <v>26</v>
      </c>
      <c r="I36" s="118">
        <v>27.5</v>
      </c>
      <c r="J36" s="119" t="s">
        <v>23</v>
      </c>
      <c r="K36" s="119" t="s">
        <v>58</v>
      </c>
      <c r="L36" s="119" t="s">
        <v>48</v>
      </c>
      <c r="M36" s="121"/>
      <c r="N36" s="121"/>
      <c r="O36" s="121">
        <f t="shared" si="5"/>
        <v>0</v>
      </c>
      <c r="P36" s="122">
        <f t="shared" si="6"/>
        <v>0</v>
      </c>
      <c r="Q36" s="122">
        <f t="shared" si="7"/>
        <v>0</v>
      </c>
      <c r="R36" s="122">
        <f t="shared" si="8"/>
        <v>0</v>
      </c>
      <c r="S36" s="133">
        <v>1350</v>
      </c>
      <c r="T36" s="133">
        <v>1800</v>
      </c>
      <c r="U36" s="121">
        <f t="shared" si="9"/>
        <v>3150</v>
      </c>
      <c r="V36" s="122">
        <f t="shared" si="10"/>
        <v>35100</v>
      </c>
      <c r="W36" s="122">
        <f t="shared" si="11"/>
        <v>49500</v>
      </c>
      <c r="X36" s="122">
        <f t="shared" si="12"/>
        <v>84600</v>
      </c>
      <c r="Y36" s="133">
        <v>450</v>
      </c>
      <c r="Z36" s="133">
        <v>600</v>
      </c>
      <c r="AA36" s="121">
        <f t="shared" si="13"/>
        <v>1050</v>
      </c>
      <c r="AB36" s="122">
        <f t="shared" si="14"/>
        <v>11700</v>
      </c>
      <c r="AC36" s="122">
        <f t="shared" si="15"/>
        <v>16500</v>
      </c>
      <c r="AD36" s="122">
        <f t="shared" si="16"/>
        <v>28200</v>
      </c>
      <c r="AE36" s="133">
        <v>750</v>
      </c>
      <c r="AF36" s="133">
        <v>1000</v>
      </c>
      <c r="AG36" s="121">
        <f t="shared" si="17"/>
        <v>1750</v>
      </c>
      <c r="AH36" s="122">
        <f t="shared" si="18"/>
        <v>19500</v>
      </c>
      <c r="AI36" s="122">
        <f t="shared" si="19"/>
        <v>27500</v>
      </c>
      <c r="AJ36" s="122">
        <f t="shared" si="20"/>
        <v>47000</v>
      </c>
      <c r="AK36" s="133">
        <v>450</v>
      </c>
      <c r="AL36" s="133">
        <v>600</v>
      </c>
      <c r="AM36" s="121">
        <f t="shared" si="21"/>
        <v>1050</v>
      </c>
      <c r="AN36" s="122">
        <f t="shared" si="22"/>
        <v>11700</v>
      </c>
      <c r="AO36" s="122">
        <f t="shared" si="23"/>
        <v>16500</v>
      </c>
      <c r="AP36" s="122">
        <f t="shared" si="24"/>
        <v>28200</v>
      </c>
      <c r="AQ36" s="124">
        <f t="shared" si="25"/>
        <v>3000</v>
      </c>
      <c r="AR36" s="125">
        <f t="shared" si="26"/>
        <v>4000</v>
      </c>
      <c r="AS36" s="126">
        <f t="shared" si="27"/>
        <v>7000</v>
      </c>
      <c r="AT36" s="127">
        <f t="shared" si="28"/>
        <v>78000</v>
      </c>
      <c r="AU36" s="128">
        <f t="shared" si="29"/>
        <v>110000</v>
      </c>
      <c r="AV36" s="129">
        <f t="shared" si="30"/>
        <v>188000</v>
      </c>
      <c r="AX36" s="34">
        <f t="shared" si="31"/>
        <v>188000</v>
      </c>
    </row>
    <row r="37" spans="1:50" s="33" customFormat="1" ht="15" customHeight="1" x14ac:dyDescent="0.25">
      <c r="A37" s="113">
        <v>28</v>
      </c>
      <c r="B37" s="114" t="s">
        <v>61</v>
      </c>
      <c r="C37" s="114" t="s">
        <v>61</v>
      </c>
      <c r="D37" s="114" t="s">
        <v>61</v>
      </c>
      <c r="E37" s="116" t="s">
        <v>41</v>
      </c>
      <c r="F37" s="117">
        <v>150</v>
      </c>
      <c r="G37" s="117">
        <v>200</v>
      </c>
      <c r="H37" s="118">
        <v>31.27</v>
      </c>
      <c r="I37" s="118">
        <v>34.450000000000003</v>
      </c>
      <c r="J37" s="119" t="s">
        <v>17</v>
      </c>
      <c r="K37" s="120" t="s">
        <v>62</v>
      </c>
      <c r="L37" s="119" t="s">
        <v>18</v>
      </c>
      <c r="M37" s="121"/>
      <c r="N37" s="121"/>
      <c r="O37" s="121">
        <f t="shared" si="5"/>
        <v>0</v>
      </c>
      <c r="P37" s="122">
        <f t="shared" si="6"/>
        <v>0</v>
      </c>
      <c r="Q37" s="122">
        <f t="shared" si="7"/>
        <v>0</v>
      </c>
      <c r="R37" s="122">
        <f t="shared" si="8"/>
        <v>0</v>
      </c>
      <c r="S37" s="133">
        <v>900</v>
      </c>
      <c r="T37" s="133">
        <v>1000</v>
      </c>
      <c r="U37" s="121">
        <f t="shared" si="9"/>
        <v>1900</v>
      </c>
      <c r="V37" s="122">
        <f t="shared" si="10"/>
        <v>28143</v>
      </c>
      <c r="W37" s="122">
        <f t="shared" si="11"/>
        <v>34450</v>
      </c>
      <c r="X37" s="122">
        <f t="shared" si="12"/>
        <v>62593</v>
      </c>
      <c r="Y37" s="133">
        <v>450</v>
      </c>
      <c r="Z37" s="138">
        <v>400</v>
      </c>
      <c r="AA37" s="121">
        <f t="shared" si="13"/>
        <v>850</v>
      </c>
      <c r="AB37" s="122">
        <f t="shared" si="14"/>
        <v>14071.5</v>
      </c>
      <c r="AC37" s="122">
        <f t="shared" si="15"/>
        <v>13780.000000000002</v>
      </c>
      <c r="AD37" s="122">
        <f t="shared" si="16"/>
        <v>27851.5</v>
      </c>
      <c r="AE37" s="138">
        <v>600</v>
      </c>
      <c r="AF37" s="133">
        <v>1000</v>
      </c>
      <c r="AG37" s="121">
        <f t="shared" si="17"/>
        <v>1600</v>
      </c>
      <c r="AH37" s="122">
        <f t="shared" si="18"/>
        <v>18762</v>
      </c>
      <c r="AI37" s="122">
        <f t="shared" si="19"/>
        <v>34450</v>
      </c>
      <c r="AJ37" s="122">
        <f t="shared" si="20"/>
        <v>53212</v>
      </c>
      <c r="AK37" s="133">
        <v>450</v>
      </c>
      <c r="AL37" s="133">
        <v>600</v>
      </c>
      <c r="AM37" s="121">
        <f t="shared" si="21"/>
        <v>1050</v>
      </c>
      <c r="AN37" s="122">
        <f t="shared" si="22"/>
        <v>14071.5</v>
      </c>
      <c r="AO37" s="122">
        <f t="shared" si="23"/>
        <v>20670</v>
      </c>
      <c r="AP37" s="122">
        <f t="shared" si="24"/>
        <v>34741.5</v>
      </c>
      <c r="AQ37" s="124">
        <f t="shared" si="25"/>
        <v>2400</v>
      </c>
      <c r="AR37" s="125">
        <f t="shared" si="26"/>
        <v>3000</v>
      </c>
      <c r="AS37" s="126">
        <f t="shared" si="27"/>
        <v>5400</v>
      </c>
      <c r="AT37" s="127">
        <f t="shared" si="28"/>
        <v>75048</v>
      </c>
      <c r="AU37" s="128">
        <f t="shared" si="29"/>
        <v>103350</v>
      </c>
      <c r="AV37" s="129">
        <f t="shared" si="30"/>
        <v>178398</v>
      </c>
      <c r="AX37" s="34">
        <f t="shared" si="31"/>
        <v>178398</v>
      </c>
    </row>
    <row r="38" spans="1:50" s="33" customFormat="1" ht="15" customHeight="1" x14ac:dyDescent="0.25">
      <c r="A38" s="113">
        <v>29</v>
      </c>
      <c r="B38" s="151" t="s">
        <v>61</v>
      </c>
      <c r="C38" s="154" t="s">
        <v>63</v>
      </c>
      <c r="D38" s="154" t="s">
        <v>63</v>
      </c>
      <c r="E38" s="116" t="s">
        <v>16</v>
      </c>
      <c r="F38" s="117">
        <v>100</v>
      </c>
      <c r="G38" s="117">
        <v>150</v>
      </c>
      <c r="H38" s="118">
        <v>25</v>
      </c>
      <c r="I38" s="118">
        <v>28</v>
      </c>
      <c r="J38" s="119" t="s">
        <v>23</v>
      </c>
      <c r="K38" s="119" t="s">
        <v>64</v>
      </c>
      <c r="L38" s="119" t="s">
        <v>25</v>
      </c>
      <c r="M38" s="121"/>
      <c r="N38" s="121"/>
      <c r="O38" s="121">
        <f t="shared" si="5"/>
        <v>0</v>
      </c>
      <c r="P38" s="122">
        <f t="shared" si="6"/>
        <v>0</v>
      </c>
      <c r="Q38" s="122">
        <f t="shared" si="7"/>
        <v>0</v>
      </c>
      <c r="R38" s="122">
        <f t="shared" si="8"/>
        <v>0</v>
      </c>
      <c r="S38" s="133">
        <v>900</v>
      </c>
      <c r="T38" s="139">
        <v>1350</v>
      </c>
      <c r="U38" s="121">
        <f t="shared" si="9"/>
        <v>2250</v>
      </c>
      <c r="V38" s="122">
        <f t="shared" si="10"/>
        <v>22500</v>
      </c>
      <c r="W38" s="122">
        <f t="shared" si="11"/>
        <v>37800</v>
      </c>
      <c r="X38" s="122">
        <f t="shared" si="12"/>
        <v>60300</v>
      </c>
      <c r="Y38" s="133">
        <v>300</v>
      </c>
      <c r="Z38" s="138">
        <v>448</v>
      </c>
      <c r="AA38" s="121">
        <f t="shared" si="13"/>
        <v>748</v>
      </c>
      <c r="AB38" s="122">
        <f t="shared" si="14"/>
        <v>7500</v>
      </c>
      <c r="AC38" s="122">
        <f t="shared" si="15"/>
        <v>12544</v>
      </c>
      <c r="AD38" s="122">
        <f t="shared" si="16"/>
        <v>20044</v>
      </c>
      <c r="AE38" s="133">
        <v>500</v>
      </c>
      <c r="AF38" s="133">
        <v>750</v>
      </c>
      <c r="AG38" s="121">
        <f t="shared" si="17"/>
        <v>1250</v>
      </c>
      <c r="AH38" s="122">
        <f t="shared" si="18"/>
        <v>12500</v>
      </c>
      <c r="AI38" s="122">
        <f t="shared" si="19"/>
        <v>21000</v>
      </c>
      <c r="AJ38" s="122">
        <f t="shared" si="20"/>
        <v>33500</v>
      </c>
      <c r="AK38" s="133">
        <v>300</v>
      </c>
      <c r="AL38" s="133">
        <v>450</v>
      </c>
      <c r="AM38" s="121">
        <f t="shared" si="21"/>
        <v>750</v>
      </c>
      <c r="AN38" s="122">
        <f t="shared" si="22"/>
        <v>7500</v>
      </c>
      <c r="AO38" s="122">
        <f t="shared" si="23"/>
        <v>12600</v>
      </c>
      <c r="AP38" s="122">
        <f t="shared" si="24"/>
        <v>20100</v>
      </c>
      <c r="AQ38" s="124">
        <f t="shared" si="25"/>
        <v>2000</v>
      </c>
      <c r="AR38" s="125">
        <f t="shared" si="26"/>
        <v>2998</v>
      </c>
      <c r="AS38" s="126">
        <f t="shared" si="27"/>
        <v>4998</v>
      </c>
      <c r="AT38" s="127">
        <f t="shared" si="28"/>
        <v>50000</v>
      </c>
      <c r="AU38" s="128">
        <f t="shared" si="29"/>
        <v>83944</v>
      </c>
      <c r="AV38" s="129">
        <f t="shared" si="30"/>
        <v>133944</v>
      </c>
      <c r="AX38" s="34">
        <f t="shared" si="31"/>
        <v>133944</v>
      </c>
    </row>
    <row r="39" spans="1:50" s="33" customFormat="1" ht="15" customHeight="1" x14ac:dyDescent="0.25">
      <c r="A39" s="113">
        <v>30</v>
      </c>
      <c r="B39" s="149" t="s">
        <v>61</v>
      </c>
      <c r="C39" s="153" t="s">
        <v>65</v>
      </c>
      <c r="D39" s="153" t="s">
        <v>65</v>
      </c>
      <c r="E39" s="116" t="s">
        <v>16</v>
      </c>
      <c r="F39" s="117">
        <v>100</v>
      </c>
      <c r="G39" s="117">
        <v>150</v>
      </c>
      <c r="H39" s="118">
        <v>31.27</v>
      </c>
      <c r="I39" s="118">
        <v>34.450000000000003</v>
      </c>
      <c r="J39" s="119" t="s">
        <v>17</v>
      </c>
      <c r="K39" s="120" t="s">
        <v>62</v>
      </c>
      <c r="L39" s="119" t="s">
        <v>18</v>
      </c>
      <c r="M39" s="121"/>
      <c r="N39" s="121"/>
      <c r="O39" s="121">
        <f t="shared" si="5"/>
        <v>0</v>
      </c>
      <c r="P39" s="122">
        <f t="shared" si="6"/>
        <v>0</v>
      </c>
      <c r="Q39" s="122">
        <f t="shared" si="7"/>
        <v>0</v>
      </c>
      <c r="R39" s="122">
        <f t="shared" si="8"/>
        <v>0</v>
      </c>
      <c r="S39" s="133">
        <v>900</v>
      </c>
      <c r="T39" s="138">
        <v>1342</v>
      </c>
      <c r="U39" s="121">
        <f t="shared" si="9"/>
        <v>2242</v>
      </c>
      <c r="V39" s="122">
        <f t="shared" si="10"/>
        <v>28143</v>
      </c>
      <c r="W39" s="122">
        <f t="shared" si="11"/>
        <v>46231.9</v>
      </c>
      <c r="X39" s="122">
        <f t="shared" si="12"/>
        <v>74374.899999999994</v>
      </c>
      <c r="Y39" s="133">
        <v>300</v>
      </c>
      <c r="Z39" s="133">
        <v>450</v>
      </c>
      <c r="AA39" s="121">
        <f t="shared" si="13"/>
        <v>750</v>
      </c>
      <c r="AB39" s="122">
        <f t="shared" si="14"/>
        <v>9381</v>
      </c>
      <c r="AC39" s="122">
        <f t="shared" si="15"/>
        <v>15502.500000000002</v>
      </c>
      <c r="AD39" s="122">
        <f t="shared" si="16"/>
        <v>24883.5</v>
      </c>
      <c r="AE39" s="133">
        <v>500</v>
      </c>
      <c r="AF39" s="133">
        <v>750</v>
      </c>
      <c r="AG39" s="121">
        <f t="shared" si="17"/>
        <v>1250</v>
      </c>
      <c r="AH39" s="122">
        <f t="shared" si="18"/>
        <v>15635</v>
      </c>
      <c r="AI39" s="122">
        <f t="shared" si="19"/>
        <v>25837.500000000004</v>
      </c>
      <c r="AJ39" s="122">
        <f t="shared" si="20"/>
        <v>41472.5</v>
      </c>
      <c r="AK39" s="133">
        <v>300</v>
      </c>
      <c r="AL39" s="133">
        <v>450</v>
      </c>
      <c r="AM39" s="121">
        <f t="shared" si="21"/>
        <v>750</v>
      </c>
      <c r="AN39" s="122">
        <f t="shared" si="22"/>
        <v>9381</v>
      </c>
      <c r="AO39" s="122">
        <f t="shared" si="23"/>
        <v>15502.500000000002</v>
      </c>
      <c r="AP39" s="122">
        <f t="shared" si="24"/>
        <v>24883.5</v>
      </c>
      <c r="AQ39" s="124">
        <f t="shared" si="25"/>
        <v>2000</v>
      </c>
      <c r="AR39" s="125">
        <f t="shared" si="26"/>
        <v>2992</v>
      </c>
      <c r="AS39" s="126">
        <f t="shared" si="27"/>
        <v>4992</v>
      </c>
      <c r="AT39" s="127">
        <f t="shared" si="28"/>
        <v>62540</v>
      </c>
      <c r="AU39" s="128">
        <f t="shared" si="29"/>
        <v>103074.40000000001</v>
      </c>
      <c r="AV39" s="129">
        <f t="shared" si="30"/>
        <v>165614.40000000002</v>
      </c>
      <c r="AX39" s="34">
        <f t="shared" si="31"/>
        <v>165614.39999999999</v>
      </c>
    </row>
    <row r="40" spans="1:50" s="33" customFormat="1" ht="12.75" customHeight="1" x14ac:dyDescent="0.25">
      <c r="A40" s="113">
        <v>31</v>
      </c>
      <c r="B40" s="149" t="s">
        <v>61</v>
      </c>
      <c r="C40" s="153" t="s">
        <v>66</v>
      </c>
      <c r="D40" s="153" t="s">
        <v>66</v>
      </c>
      <c r="E40" s="116" t="s">
        <v>16</v>
      </c>
      <c r="F40" s="117">
        <v>125</v>
      </c>
      <c r="G40" s="117">
        <v>200</v>
      </c>
      <c r="H40" s="118">
        <v>25</v>
      </c>
      <c r="I40" s="118">
        <v>28</v>
      </c>
      <c r="J40" s="119" t="s">
        <v>23</v>
      </c>
      <c r="K40" s="119" t="s">
        <v>64</v>
      </c>
      <c r="L40" s="119" t="s">
        <v>25</v>
      </c>
      <c r="M40" s="121"/>
      <c r="N40" s="121"/>
      <c r="O40" s="121">
        <f t="shared" si="5"/>
        <v>0</v>
      </c>
      <c r="P40" s="122">
        <f t="shared" si="6"/>
        <v>0</v>
      </c>
      <c r="Q40" s="122">
        <f t="shared" si="7"/>
        <v>0</v>
      </c>
      <c r="R40" s="122">
        <f t="shared" si="8"/>
        <v>0</v>
      </c>
      <c r="S40" s="133">
        <v>1125</v>
      </c>
      <c r="T40" s="138">
        <v>1790</v>
      </c>
      <c r="U40" s="121">
        <f t="shared" si="9"/>
        <v>2915</v>
      </c>
      <c r="V40" s="122">
        <f t="shared" si="10"/>
        <v>28125</v>
      </c>
      <c r="W40" s="122">
        <f t="shared" si="11"/>
        <v>50120</v>
      </c>
      <c r="X40" s="122">
        <f t="shared" si="12"/>
        <v>78245</v>
      </c>
      <c r="Y40" s="133">
        <v>375</v>
      </c>
      <c r="Z40" s="139">
        <v>600</v>
      </c>
      <c r="AA40" s="121">
        <f t="shared" si="13"/>
        <v>975</v>
      </c>
      <c r="AB40" s="122">
        <f t="shared" si="14"/>
        <v>9375</v>
      </c>
      <c r="AC40" s="122">
        <f t="shared" si="15"/>
        <v>16800</v>
      </c>
      <c r="AD40" s="122">
        <f t="shared" si="16"/>
        <v>26175</v>
      </c>
      <c r="AE40" s="133">
        <v>625</v>
      </c>
      <c r="AF40" s="138">
        <v>995</v>
      </c>
      <c r="AG40" s="121">
        <f t="shared" si="17"/>
        <v>1620</v>
      </c>
      <c r="AH40" s="122">
        <f t="shared" si="18"/>
        <v>15625</v>
      </c>
      <c r="AI40" s="122">
        <f t="shared" si="19"/>
        <v>27860</v>
      </c>
      <c r="AJ40" s="122">
        <f t="shared" si="20"/>
        <v>43485</v>
      </c>
      <c r="AK40" s="133">
        <v>375</v>
      </c>
      <c r="AL40" s="138">
        <v>596</v>
      </c>
      <c r="AM40" s="121">
        <f t="shared" si="21"/>
        <v>971</v>
      </c>
      <c r="AN40" s="122">
        <f t="shared" si="22"/>
        <v>9375</v>
      </c>
      <c r="AO40" s="122">
        <f t="shared" si="23"/>
        <v>16688</v>
      </c>
      <c r="AP40" s="122">
        <f t="shared" si="24"/>
        <v>26063</v>
      </c>
      <c r="AQ40" s="124">
        <f t="shared" si="25"/>
        <v>2500</v>
      </c>
      <c r="AR40" s="125">
        <f t="shared" si="26"/>
        <v>3981</v>
      </c>
      <c r="AS40" s="126">
        <f t="shared" si="27"/>
        <v>6481</v>
      </c>
      <c r="AT40" s="127">
        <f t="shared" si="28"/>
        <v>62500</v>
      </c>
      <c r="AU40" s="128">
        <f t="shared" si="29"/>
        <v>111468</v>
      </c>
      <c r="AV40" s="129">
        <f t="shared" si="30"/>
        <v>173968</v>
      </c>
      <c r="AX40" s="34">
        <f t="shared" si="31"/>
        <v>173968</v>
      </c>
    </row>
    <row r="41" spans="1:50" s="33" customFormat="1" ht="15" customHeight="1" x14ac:dyDescent="0.25">
      <c r="A41" s="113">
        <v>32</v>
      </c>
      <c r="B41" s="155" t="s">
        <v>61</v>
      </c>
      <c r="C41" s="155" t="s">
        <v>67</v>
      </c>
      <c r="D41" s="155" t="s">
        <v>67</v>
      </c>
      <c r="E41" s="116" t="s">
        <v>16</v>
      </c>
      <c r="F41" s="117">
        <v>75</v>
      </c>
      <c r="G41" s="117">
        <v>125</v>
      </c>
      <c r="H41" s="118">
        <v>25</v>
      </c>
      <c r="I41" s="118">
        <v>28</v>
      </c>
      <c r="J41" s="119" t="s">
        <v>23</v>
      </c>
      <c r="K41" s="119" t="s">
        <v>64</v>
      </c>
      <c r="L41" s="119" t="s">
        <v>25</v>
      </c>
      <c r="M41" s="121"/>
      <c r="N41" s="121"/>
      <c r="O41" s="121">
        <f t="shared" si="5"/>
        <v>0</v>
      </c>
      <c r="P41" s="122">
        <f t="shared" si="6"/>
        <v>0</v>
      </c>
      <c r="Q41" s="122">
        <f t="shared" si="7"/>
        <v>0</v>
      </c>
      <c r="R41" s="122">
        <f t="shared" si="8"/>
        <v>0</v>
      </c>
      <c r="S41" s="133">
        <v>675</v>
      </c>
      <c r="T41" s="138">
        <v>1103</v>
      </c>
      <c r="U41" s="121">
        <f t="shared" si="9"/>
        <v>1778</v>
      </c>
      <c r="V41" s="122">
        <f t="shared" si="10"/>
        <v>16875</v>
      </c>
      <c r="W41" s="122">
        <f t="shared" si="11"/>
        <v>30884</v>
      </c>
      <c r="X41" s="122">
        <f t="shared" si="12"/>
        <v>47759</v>
      </c>
      <c r="Y41" s="139">
        <v>225</v>
      </c>
      <c r="Z41" s="138">
        <v>355</v>
      </c>
      <c r="AA41" s="121">
        <f t="shared" si="13"/>
        <v>580</v>
      </c>
      <c r="AB41" s="122">
        <f t="shared" si="14"/>
        <v>5625</v>
      </c>
      <c r="AC41" s="122">
        <f t="shared" si="15"/>
        <v>9940</v>
      </c>
      <c r="AD41" s="122">
        <f t="shared" si="16"/>
        <v>15565</v>
      </c>
      <c r="AE41" s="139">
        <v>375</v>
      </c>
      <c r="AF41" s="138">
        <v>584</v>
      </c>
      <c r="AG41" s="121">
        <f t="shared" si="17"/>
        <v>959</v>
      </c>
      <c r="AH41" s="122">
        <f t="shared" si="18"/>
        <v>9375</v>
      </c>
      <c r="AI41" s="122">
        <f t="shared" si="19"/>
        <v>16352</v>
      </c>
      <c r="AJ41" s="122">
        <f t="shared" si="20"/>
        <v>25727</v>
      </c>
      <c r="AK41" s="139">
        <v>225</v>
      </c>
      <c r="AL41" s="138">
        <v>343</v>
      </c>
      <c r="AM41" s="121">
        <f t="shared" si="21"/>
        <v>568</v>
      </c>
      <c r="AN41" s="122">
        <f t="shared" si="22"/>
        <v>5625</v>
      </c>
      <c r="AO41" s="122">
        <f t="shared" si="23"/>
        <v>9604</v>
      </c>
      <c r="AP41" s="122">
        <f t="shared" si="24"/>
        <v>15229</v>
      </c>
      <c r="AQ41" s="124">
        <f t="shared" si="25"/>
        <v>1500</v>
      </c>
      <c r="AR41" s="125">
        <f t="shared" si="26"/>
        <v>2385</v>
      </c>
      <c r="AS41" s="126">
        <f t="shared" si="27"/>
        <v>3885</v>
      </c>
      <c r="AT41" s="127">
        <f t="shared" si="28"/>
        <v>37500</v>
      </c>
      <c r="AU41" s="128">
        <f t="shared" si="29"/>
        <v>66780</v>
      </c>
      <c r="AV41" s="129">
        <f t="shared" si="30"/>
        <v>104280</v>
      </c>
      <c r="AX41" s="34">
        <f t="shared" si="31"/>
        <v>104280</v>
      </c>
    </row>
    <row r="42" spans="1:50" s="33" customFormat="1" ht="15" customHeight="1" x14ac:dyDescent="0.25">
      <c r="A42" s="113">
        <v>33</v>
      </c>
      <c r="B42" s="155" t="s">
        <v>61</v>
      </c>
      <c r="C42" s="155" t="s">
        <v>68</v>
      </c>
      <c r="D42" s="155" t="s">
        <v>68</v>
      </c>
      <c r="E42" s="116" t="s">
        <v>41</v>
      </c>
      <c r="F42" s="117">
        <v>150</v>
      </c>
      <c r="G42" s="117">
        <v>200</v>
      </c>
      <c r="H42" s="118">
        <v>31.27</v>
      </c>
      <c r="I42" s="118">
        <v>34.450000000000003</v>
      </c>
      <c r="J42" s="119" t="s">
        <v>17</v>
      </c>
      <c r="K42" s="120" t="s">
        <v>62</v>
      </c>
      <c r="L42" s="119" t="s">
        <v>18</v>
      </c>
      <c r="M42" s="121"/>
      <c r="N42" s="121"/>
      <c r="O42" s="121">
        <f t="shared" si="5"/>
        <v>0</v>
      </c>
      <c r="P42" s="122">
        <f t="shared" si="6"/>
        <v>0</v>
      </c>
      <c r="Q42" s="122">
        <f t="shared" si="7"/>
        <v>0</v>
      </c>
      <c r="R42" s="122">
        <f t="shared" si="8"/>
        <v>0</v>
      </c>
      <c r="S42" s="138">
        <v>900</v>
      </c>
      <c r="T42" s="138">
        <v>912</v>
      </c>
      <c r="U42" s="121">
        <f t="shared" si="9"/>
        <v>1812</v>
      </c>
      <c r="V42" s="122">
        <f t="shared" si="10"/>
        <v>28143</v>
      </c>
      <c r="W42" s="122">
        <f t="shared" si="11"/>
        <v>31418.400000000001</v>
      </c>
      <c r="X42" s="122">
        <f t="shared" si="12"/>
        <v>59561.4</v>
      </c>
      <c r="Y42" s="138">
        <v>438</v>
      </c>
      <c r="Z42" s="138">
        <v>375</v>
      </c>
      <c r="AA42" s="121">
        <f t="shared" si="13"/>
        <v>813</v>
      </c>
      <c r="AB42" s="122">
        <f t="shared" si="14"/>
        <v>13696.26</v>
      </c>
      <c r="AC42" s="122">
        <f t="shared" si="15"/>
        <v>12918.750000000002</v>
      </c>
      <c r="AD42" s="122">
        <f t="shared" si="16"/>
        <v>26615.010000000002</v>
      </c>
      <c r="AE42" s="138">
        <v>588</v>
      </c>
      <c r="AF42" s="138">
        <v>953</v>
      </c>
      <c r="AG42" s="121">
        <f t="shared" si="17"/>
        <v>1541</v>
      </c>
      <c r="AH42" s="122">
        <f t="shared" si="18"/>
        <v>18386.759999999998</v>
      </c>
      <c r="AI42" s="122">
        <f t="shared" si="19"/>
        <v>32830.850000000006</v>
      </c>
      <c r="AJ42" s="122">
        <f t="shared" si="20"/>
        <v>51217.61</v>
      </c>
      <c r="AK42" s="133">
        <v>450</v>
      </c>
      <c r="AL42" s="138">
        <v>575</v>
      </c>
      <c r="AM42" s="121">
        <f t="shared" si="21"/>
        <v>1025</v>
      </c>
      <c r="AN42" s="122">
        <f t="shared" si="22"/>
        <v>14071.5</v>
      </c>
      <c r="AO42" s="122">
        <f t="shared" si="23"/>
        <v>19808.75</v>
      </c>
      <c r="AP42" s="122">
        <f t="shared" si="24"/>
        <v>33880.25</v>
      </c>
      <c r="AQ42" s="124">
        <f t="shared" si="25"/>
        <v>2376</v>
      </c>
      <c r="AR42" s="125">
        <f t="shared" si="26"/>
        <v>2815</v>
      </c>
      <c r="AS42" s="126">
        <f t="shared" si="27"/>
        <v>5191</v>
      </c>
      <c r="AT42" s="127">
        <f t="shared" si="28"/>
        <v>74297.52</v>
      </c>
      <c r="AU42" s="128">
        <f t="shared" si="29"/>
        <v>96976.75</v>
      </c>
      <c r="AV42" s="129">
        <f t="shared" si="30"/>
        <v>171274.27000000002</v>
      </c>
      <c r="AX42" s="34">
        <f t="shared" si="31"/>
        <v>171274.27000000002</v>
      </c>
    </row>
    <row r="43" spans="1:50" s="33" customFormat="1" ht="15" customHeight="1" x14ac:dyDescent="0.25">
      <c r="A43" s="113">
        <v>34</v>
      </c>
      <c r="B43" s="149" t="s">
        <v>69</v>
      </c>
      <c r="C43" s="153" t="s">
        <v>70</v>
      </c>
      <c r="D43" s="153" t="s">
        <v>70</v>
      </c>
      <c r="E43" s="116" t="s">
        <v>16</v>
      </c>
      <c r="F43" s="117">
        <v>100</v>
      </c>
      <c r="G43" s="117">
        <v>200</v>
      </c>
      <c r="H43" s="118">
        <v>26</v>
      </c>
      <c r="I43" s="118">
        <v>27.5</v>
      </c>
      <c r="J43" s="119" t="s">
        <v>23</v>
      </c>
      <c r="K43" s="119" t="s">
        <v>71</v>
      </c>
      <c r="L43" s="119" t="s">
        <v>48</v>
      </c>
      <c r="M43" s="121"/>
      <c r="N43" s="121"/>
      <c r="O43" s="121">
        <f t="shared" si="5"/>
        <v>0</v>
      </c>
      <c r="P43" s="122">
        <f t="shared" si="6"/>
        <v>0</v>
      </c>
      <c r="Q43" s="122">
        <f t="shared" si="7"/>
        <v>0</v>
      </c>
      <c r="R43" s="122">
        <f t="shared" si="8"/>
        <v>0</v>
      </c>
      <c r="S43" s="133">
        <v>900</v>
      </c>
      <c r="T43" s="133">
        <v>1800</v>
      </c>
      <c r="U43" s="121">
        <f t="shared" si="9"/>
        <v>2700</v>
      </c>
      <c r="V43" s="122">
        <f t="shared" si="10"/>
        <v>23400</v>
      </c>
      <c r="W43" s="122">
        <f t="shared" si="11"/>
        <v>49500</v>
      </c>
      <c r="X43" s="122">
        <f t="shared" si="12"/>
        <v>72900</v>
      </c>
      <c r="Y43" s="133">
        <v>300</v>
      </c>
      <c r="Z43" s="133">
        <v>600</v>
      </c>
      <c r="AA43" s="121">
        <f t="shared" si="13"/>
        <v>900</v>
      </c>
      <c r="AB43" s="122">
        <f t="shared" si="14"/>
        <v>7800</v>
      </c>
      <c r="AC43" s="122">
        <f t="shared" si="15"/>
        <v>16500</v>
      </c>
      <c r="AD43" s="122">
        <f t="shared" si="16"/>
        <v>24300</v>
      </c>
      <c r="AE43" s="133">
        <v>500</v>
      </c>
      <c r="AF43" s="133">
        <v>1000</v>
      </c>
      <c r="AG43" s="121">
        <f t="shared" si="17"/>
        <v>1500</v>
      </c>
      <c r="AH43" s="122">
        <f t="shared" si="18"/>
        <v>13000</v>
      </c>
      <c r="AI43" s="122">
        <f t="shared" si="19"/>
        <v>27500</v>
      </c>
      <c r="AJ43" s="122">
        <f t="shared" si="20"/>
        <v>40500</v>
      </c>
      <c r="AK43" s="133">
        <v>300</v>
      </c>
      <c r="AL43" s="133">
        <v>600</v>
      </c>
      <c r="AM43" s="121">
        <f t="shared" si="21"/>
        <v>900</v>
      </c>
      <c r="AN43" s="122">
        <f t="shared" si="22"/>
        <v>7800</v>
      </c>
      <c r="AO43" s="122">
        <f t="shared" si="23"/>
        <v>16500</v>
      </c>
      <c r="AP43" s="122">
        <f t="shared" si="24"/>
        <v>24300</v>
      </c>
      <c r="AQ43" s="124">
        <f t="shared" si="25"/>
        <v>2000</v>
      </c>
      <c r="AR43" s="125">
        <f t="shared" si="26"/>
        <v>4000</v>
      </c>
      <c r="AS43" s="126">
        <f t="shared" si="27"/>
        <v>6000</v>
      </c>
      <c r="AT43" s="127">
        <f t="shared" si="28"/>
        <v>52000</v>
      </c>
      <c r="AU43" s="128">
        <f t="shared" si="29"/>
        <v>110000</v>
      </c>
      <c r="AV43" s="129">
        <f t="shared" si="30"/>
        <v>162000</v>
      </c>
      <c r="AX43" s="34">
        <f t="shared" si="31"/>
        <v>162000</v>
      </c>
    </row>
    <row r="44" spans="1:50" s="33" customFormat="1" ht="15" customHeight="1" x14ac:dyDescent="0.25">
      <c r="A44" s="113">
        <v>35</v>
      </c>
      <c r="B44" s="130" t="s">
        <v>69</v>
      </c>
      <c r="C44" s="131" t="s">
        <v>72</v>
      </c>
      <c r="D44" s="131" t="s">
        <v>72</v>
      </c>
      <c r="E44" s="116" t="s">
        <v>16</v>
      </c>
      <c r="F44" s="117">
        <v>150</v>
      </c>
      <c r="G44" s="117">
        <v>200</v>
      </c>
      <c r="H44" s="118">
        <v>26</v>
      </c>
      <c r="I44" s="118">
        <v>27.5</v>
      </c>
      <c r="J44" s="119" t="s">
        <v>23</v>
      </c>
      <c r="K44" s="119" t="s">
        <v>71</v>
      </c>
      <c r="L44" s="119" t="s">
        <v>48</v>
      </c>
      <c r="M44" s="121"/>
      <c r="N44" s="121"/>
      <c r="O44" s="121">
        <f t="shared" si="5"/>
        <v>0</v>
      </c>
      <c r="P44" s="122">
        <f t="shared" si="6"/>
        <v>0</v>
      </c>
      <c r="Q44" s="122">
        <f t="shared" si="7"/>
        <v>0</v>
      </c>
      <c r="R44" s="122">
        <f t="shared" si="8"/>
        <v>0</v>
      </c>
      <c r="S44" s="133">
        <v>1350</v>
      </c>
      <c r="T44" s="133">
        <v>1800</v>
      </c>
      <c r="U44" s="121">
        <f t="shared" si="9"/>
        <v>3150</v>
      </c>
      <c r="V44" s="122">
        <f t="shared" si="10"/>
        <v>35100</v>
      </c>
      <c r="W44" s="122">
        <f t="shared" si="11"/>
        <v>49500</v>
      </c>
      <c r="X44" s="122">
        <f t="shared" si="12"/>
        <v>84600</v>
      </c>
      <c r="Y44" s="133">
        <v>450</v>
      </c>
      <c r="Z44" s="133">
        <v>600</v>
      </c>
      <c r="AA44" s="121">
        <f t="shared" si="13"/>
        <v>1050</v>
      </c>
      <c r="AB44" s="122">
        <f t="shared" si="14"/>
        <v>11700</v>
      </c>
      <c r="AC44" s="122">
        <f t="shared" si="15"/>
        <v>16500</v>
      </c>
      <c r="AD44" s="122">
        <f t="shared" si="16"/>
        <v>28200</v>
      </c>
      <c r="AE44" s="133">
        <v>750</v>
      </c>
      <c r="AF44" s="133">
        <v>1000</v>
      </c>
      <c r="AG44" s="121">
        <f t="shared" si="17"/>
        <v>1750</v>
      </c>
      <c r="AH44" s="122">
        <f t="shared" si="18"/>
        <v>19500</v>
      </c>
      <c r="AI44" s="122">
        <f t="shared" si="19"/>
        <v>27500</v>
      </c>
      <c r="AJ44" s="122">
        <f t="shared" si="20"/>
        <v>47000</v>
      </c>
      <c r="AK44" s="133">
        <v>450</v>
      </c>
      <c r="AL44" s="133">
        <v>600</v>
      </c>
      <c r="AM44" s="121">
        <f t="shared" si="21"/>
        <v>1050</v>
      </c>
      <c r="AN44" s="122">
        <f t="shared" si="22"/>
        <v>11700</v>
      </c>
      <c r="AO44" s="122">
        <f t="shared" si="23"/>
        <v>16500</v>
      </c>
      <c r="AP44" s="122">
        <f t="shared" si="24"/>
        <v>28200</v>
      </c>
      <c r="AQ44" s="124">
        <f t="shared" si="25"/>
        <v>3000</v>
      </c>
      <c r="AR44" s="125">
        <f t="shared" si="26"/>
        <v>4000</v>
      </c>
      <c r="AS44" s="126">
        <f t="shared" si="27"/>
        <v>7000</v>
      </c>
      <c r="AT44" s="127">
        <f t="shared" si="28"/>
        <v>78000</v>
      </c>
      <c r="AU44" s="128">
        <f t="shared" si="29"/>
        <v>110000</v>
      </c>
      <c r="AV44" s="129">
        <f t="shared" si="30"/>
        <v>188000</v>
      </c>
      <c r="AX44" s="34">
        <f t="shared" si="31"/>
        <v>188000</v>
      </c>
    </row>
    <row r="45" spans="1:50" s="33" customFormat="1" ht="15" customHeight="1" x14ac:dyDescent="0.25">
      <c r="A45" s="113">
        <v>36</v>
      </c>
      <c r="B45" s="114" t="s">
        <v>69</v>
      </c>
      <c r="C45" s="115" t="s">
        <v>73</v>
      </c>
      <c r="D45" s="115" t="s">
        <v>73</v>
      </c>
      <c r="E45" s="116" t="s">
        <v>16</v>
      </c>
      <c r="F45" s="117">
        <v>100</v>
      </c>
      <c r="G45" s="117">
        <v>150</v>
      </c>
      <c r="H45" s="118">
        <v>31.27</v>
      </c>
      <c r="I45" s="118">
        <v>34.450000000000003</v>
      </c>
      <c r="J45" s="119" t="s">
        <v>17</v>
      </c>
      <c r="K45" s="120" t="s">
        <v>62</v>
      </c>
      <c r="L45" s="119" t="s">
        <v>18</v>
      </c>
      <c r="M45" s="121"/>
      <c r="N45" s="121"/>
      <c r="O45" s="121">
        <f t="shared" si="5"/>
        <v>0</v>
      </c>
      <c r="P45" s="122">
        <f t="shared" si="6"/>
        <v>0</v>
      </c>
      <c r="Q45" s="122">
        <f t="shared" si="7"/>
        <v>0</v>
      </c>
      <c r="R45" s="122">
        <f t="shared" si="8"/>
        <v>0</v>
      </c>
      <c r="S45" s="138">
        <v>700</v>
      </c>
      <c r="T45" s="138">
        <v>900</v>
      </c>
      <c r="U45" s="121">
        <f t="shared" si="9"/>
        <v>1600</v>
      </c>
      <c r="V45" s="122">
        <f t="shared" si="10"/>
        <v>21889</v>
      </c>
      <c r="W45" s="122">
        <f t="shared" si="11"/>
        <v>31005.000000000004</v>
      </c>
      <c r="X45" s="122">
        <f t="shared" si="12"/>
        <v>52894</v>
      </c>
      <c r="Y45" s="133">
        <v>300</v>
      </c>
      <c r="Z45" s="139">
        <v>450</v>
      </c>
      <c r="AA45" s="121">
        <f t="shared" si="13"/>
        <v>750</v>
      </c>
      <c r="AB45" s="122">
        <f t="shared" si="14"/>
        <v>9381</v>
      </c>
      <c r="AC45" s="122">
        <f t="shared" si="15"/>
        <v>15502.500000000002</v>
      </c>
      <c r="AD45" s="122">
        <f t="shared" si="16"/>
        <v>24883.5</v>
      </c>
      <c r="AE45" s="133">
        <v>500</v>
      </c>
      <c r="AF45" s="133">
        <v>750</v>
      </c>
      <c r="AG45" s="121">
        <f t="shared" si="17"/>
        <v>1250</v>
      </c>
      <c r="AH45" s="122">
        <f t="shared" si="18"/>
        <v>15635</v>
      </c>
      <c r="AI45" s="122">
        <f t="shared" si="19"/>
        <v>25837.500000000004</v>
      </c>
      <c r="AJ45" s="122">
        <f t="shared" si="20"/>
        <v>41472.5</v>
      </c>
      <c r="AK45" s="139">
        <v>300</v>
      </c>
      <c r="AL45" s="133">
        <v>450</v>
      </c>
      <c r="AM45" s="121">
        <f t="shared" si="21"/>
        <v>750</v>
      </c>
      <c r="AN45" s="122">
        <f t="shared" si="22"/>
        <v>9381</v>
      </c>
      <c r="AO45" s="122">
        <f t="shared" si="23"/>
        <v>15502.500000000002</v>
      </c>
      <c r="AP45" s="122">
        <f t="shared" si="24"/>
        <v>24883.5</v>
      </c>
      <c r="AQ45" s="124">
        <f t="shared" si="25"/>
        <v>1800</v>
      </c>
      <c r="AR45" s="125">
        <f t="shared" si="26"/>
        <v>2550</v>
      </c>
      <c r="AS45" s="126">
        <f t="shared" si="27"/>
        <v>4350</v>
      </c>
      <c r="AT45" s="127">
        <f t="shared" si="28"/>
        <v>56286</v>
      </c>
      <c r="AU45" s="128">
        <f t="shared" si="29"/>
        <v>87847.500000000015</v>
      </c>
      <c r="AV45" s="129">
        <f t="shared" si="30"/>
        <v>144133.5</v>
      </c>
      <c r="AX45" s="34">
        <f t="shared" si="31"/>
        <v>144133.5</v>
      </c>
    </row>
    <row r="46" spans="1:50" s="33" customFormat="1" ht="15" customHeight="1" x14ac:dyDescent="0.25">
      <c r="A46" s="113">
        <v>37</v>
      </c>
      <c r="B46" s="114" t="s">
        <v>69</v>
      </c>
      <c r="C46" s="115" t="s">
        <v>73</v>
      </c>
      <c r="D46" s="115" t="s">
        <v>258</v>
      </c>
      <c r="E46" s="116" t="s">
        <v>41</v>
      </c>
      <c r="F46" s="117">
        <v>100</v>
      </c>
      <c r="G46" s="117">
        <v>150</v>
      </c>
      <c r="H46" s="118">
        <v>31.27</v>
      </c>
      <c r="I46" s="118">
        <v>34.450000000000003</v>
      </c>
      <c r="J46" s="119" t="s">
        <v>17</v>
      </c>
      <c r="K46" s="120" t="s">
        <v>62</v>
      </c>
      <c r="L46" s="119" t="s">
        <v>18</v>
      </c>
      <c r="M46" s="121"/>
      <c r="N46" s="121"/>
      <c r="O46" s="121">
        <f t="shared" si="5"/>
        <v>0</v>
      </c>
      <c r="P46" s="122">
        <f t="shared" si="6"/>
        <v>0</v>
      </c>
      <c r="Q46" s="122">
        <f t="shared" si="7"/>
        <v>0</v>
      </c>
      <c r="R46" s="122">
        <f t="shared" si="8"/>
        <v>0</v>
      </c>
      <c r="S46" s="138">
        <v>700</v>
      </c>
      <c r="T46" s="138">
        <v>900</v>
      </c>
      <c r="U46" s="121">
        <f t="shared" si="9"/>
        <v>1600</v>
      </c>
      <c r="V46" s="122">
        <f t="shared" si="10"/>
        <v>21889</v>
      </c>
      <c r="W46" s="122">
        <f t="shared" si="11"/>
        <v>31005.000000000004</v>
      </c>
      <c r="X46" s="122">
        <f t="shared" si="12"/>
        <v>52894</v>
      </c>
      <c r="Y46" s="133">
        <v>300</v>
      </c>
      <c r="Z46" s="139">
        <v>450</v>
      </c>
      <c r="AA46" s="121">
        <f t="shared" si="13"/>
        <v>750</v>
      </c>
      <c r="AB46" s="122">
        <f t="shared" si="14"/>
        <v>9381</v>
      </c>
      <c r="AC46" s="122">
        <f t="shared" si="15"/>
        <v>15502.500000000002</v>
      </c>
      <c r="AD46" s="122">
        <f t="shared" si="16"/>
        <v>24883.5</v>
      </c>
      <c r="AE46" s="133">
        <v>500</v>
      </c>
      <c r="AF46" s="139">
        <v>750</v>
      </c>
      <c r="AG46" s="121">
        <f t="shared" si="17"/>
        <v>1250</v>
      </c>
      <c r="AH46" s="122">
        <f t="shared" si="18"/>
        <v>15635</v>
      </c>
      <c r="AI46" s="122">
        <f t="shared" si="19"/>
        <v>25837.500000000004</v>
      </c>
      <c r="AJ46" s="122">
        <f t="shared" si="20"/>
        <v>41472.5</v>
      </c>
      <c r="AK46" s="139">
        <v>300</v>
      </c>
      <c r="AL46" s="133">
        <v>450</v>
      </c>
      <c r="AM46" s="121">
        <f t="shared" si="21"/>
        <v>750</v>
      </c>
      <c r="AN46" s="122">
        <f t="shared" si="22"/>
        <v>9381</v>
      </c>
      <c r="AO46" s="122">
        <f t="shared" si="23"/>
        <v>15502.500000000002</v>
      </c>
      <c r="AP46" s="122">
        <f t="shared" si="24"/>
        <v>24883.5</v>
      </c>
      <c r="AQ46" s="124">
        <f t="shared" si="25"/>
        <v>1800</v>
      </c>
      <c r="AR46" s="125">
        <f t="shared" si="26"/>
        <v>2550</v>
      </c>
      <c r="AS46" s="126">
        <f t="shared" si="27"/>
        <v>4350</v>
      </c>
      <c r="AT46" s="127">
        <f t="shared" si="28"/>
        <v>56286</v>
      </c>
      <c r="AU46" s="128">
        <f t="shared" si="29"/>
        <v>87847.500000000015</v>
      </c>
      <c r="AV46" s="129">
        <f t="shared" si="30"/>
        <v>144133.5</v>
      </c>
      <c r="AX46" s="34">
        <f t="shared" si="31"/>
        <v>144133.5</v>
      </c>
    </row>
    <row r="47" spans="1:50" s="33" customFormat="1" ht="15" customHeight="1" x14ac:dyDescent="0.25">
      <c r="A47" s="113">
        <v>38</v>
      </c>
      <c r="B47" s="130" t="s">
        <v>69</v>
      </c>
      <c r="C47" s="131" t="s">
        <v>74</v>
      </c>
      <c r="D47" s="131" t="s">
        <v>74</v>
      </c>
      <c r="E47" s="116" t="s">
        <v>16</v>
      </c>
      <c r="F47" s="117">
        <v>100</v>
      </c>
      <c r="G47" s="117">
        <v>200</v>
      </c>
      <c r="H47" s="118">
        <v>26</v>
      </c>
      <c r="I47" s="118">
        <v>27.5</v>
      </c>
      <c r="J47" s="119" t="s">
        <v>23</v>
      </c>
      <c r="K47" s="119" t="s">
        <v>71</v>
      </c>
      <c r="L47" s="119" t="s">
        <v>48</v>
      </c>
      <c r="M47" s="121"/>
      <c r="N47" s="121"/>
      <c r="O47" s="121">
        <f t="shared" si="5"/>
        <v>0</v>
      </c>
      <c r="P47" s="122">
        <f t="shared" si="6"/>
        <v>0</v>
      </c>
      <c r="Q47" s="122">
        <f t="shared" si="7"/>
        <v>0</v>
      </c>
      <c r="R47" s="122">
        <f t="shared" si="8"/>
        <v>0</v>
      </c>
      <c r="S47" s="133">
        <v>900</v>
      </c>
      <c r="T47" s="133">
        <v>1800</v>
      </c>
      <c r="U47" s="121">
        <f t="shared" si="9"/>
        <v>2700</v>
      </c>
      <c r="V47" s="122">
        <f t="shared" si="10"/>
        <v>23400</v>
      </c>
      <c r="W47" s="122">
        <f t="shared" si="11"/>
        <v>49500</v>
      </c>
      <c r="X47" s="122">
        <f t="shared" si="12"/>
        <v>72900</v>
      </c>
      <c r="Y47" s="133">
        <v>300</v>
      </c>
      <c r="Z47" s="133">
        <v>600</v>
      </c>
      <c r="AA47" s="121">
        <f t="shared" si="13"/>
        <v>900</v>
      </c>
      <c r="AB47" s="122">
        <f t="shared" si="14"/>
        <v>7800</v>
      </c>
      <c r="AC47" s="122">
        <f t="shared" si="15"/>
        <v>16500</v>
      </c>
      <c r="AD47" s="122">
        <f t="shared" si="16"/>
        <v>24300</v>
      </c>
      <c r="AE47" s="133">
        <v>500</v>
      </c>
      <c r="AF47" s="133">
        <v>1000</v>
      </c>
      <c r="AG47" s="121">
        <f t="shared" si="17"/>
        <v>1500</v>
      </c>
      <c r="AH47" s="122">
        <f t="shared" si="18"/>
        <v>13000</v>
      </c>
      <c r="AI47" s="122">
        <f t="shared" si="19"/>
        <v>27500</v>
      </c>
      <c r="AJ47" s="122">
        <f t="shared" si="20"/>
        <v>40500</v>
      </c>
      <c r="AK47" s="133">
        <v>300</v>
      </c>
      <c r="AL47" s="133">
        <v>600</v>
      </c>
      <c r="AM47" s="121">
        <f t="shared" si="21"/>
        <v>900</v>
      </c>
      <c r="AN47" s="122">
        <f t="shared" si="22"/>
        <v>7800</v>
      </c>
      <c r="AO47" s="122">
        <f t="shared" si="23"/>
        <v>16500</v>
      </c>
      <c r="AP47" s="122">
        <f t="shared" si="24"/>
        <v>24300</v>
      </c>
      <c r="AQ47" s="124">
        <f t="shared" si="25"/>
        <v>2000</v>
      </c>
      <c r="AR47" s="125">
        <f t="shared" si="26"/>
        <v>4000</v>
      </c>
      <c r="AS47" s="126">
        <f t="shared" si="27"/>
        <v>6000</v>
      </c>
      <c r="AT47" s="127">
        <f t="shared" si="28"/>
        <v>52000</v>
      </c>
      <c r="AU47" s="128">
        <f t="shared" si="29"/>
        <v>110000</v>
      </c>
      <c r="AV47" s="129">
        <f t="shared" si="30"/>
        <v>162000</v>
      </c>
      <c r="AX47" s="34">
        <f t="shared" si="31"/>
        <v>162000</v>
      </c>
    </row>
    <row r="48" spans="1:50" s="33" customFormat="1" ht="15" customHeight="1" x14ac:dyDescent="0.25">
      <c r="A48" s="113">
        <v>39</v>
      </c>
      <c r="B48" s="130" t="s">
        <v>69</v>
      </c>
      <c r="C48" s="131" t="s">
        <v>75</v>
      </c>
      <c r="D48" s="131" t="s">
        <v>75</v>
      </c>
      <c r="E48" s="116" t="s">
        <v>16</v>
      </c>
      <c r="F48" s="117">
        <v>100</v>
      </c>
      <c r="G48" s="117">
        <v>150</v>
      </c>
      <c r="H48" s="118">
        <v>31.27</v>
      </c>
      <c r="I48" s="118">
        <v>34.450000000000003</v>
      </c>
      <c r="J48" s="119" t="s">
        <v>17</v>
      </c>
      <c r="K48" s="120" t="s">
        <v>62</v>
      </c>
      <c r="L48" s="119" t="s">
        <v>18</v>
      </c>
      <c r="M48" s="121"/>
      <c r="N48" s="121"/>
      <c r="O48" s="121">
        <f t="shared" si="5"/>
        <v>0</v>
      </c>
      <c r="P48" s="122">
        <f t="shared" si="6"/>
        <v>0</v>
      </c>
      <c r="Q48" s="122">
        <f t="shared" si="7"/>
        <v>0</v>
      </c>
      <c r="R48" s="122">
        <f t="shared" si="8"/>
        <v>0</v>
      </c>
      <c r="S48" s="139">
        <v>900</v>
      </c>
      <c r="T48" s="133">
        <v>1350</v>
      </c>
      <c r="U48" s="121">
        <f t="shared" si="9"/>
        <v>2250</v>
      </c>
      <c r="V48" s="122">
        <f t="shared" si="10"/>
        <v>28143</v>
      </c>
      <c r="W48" s="122">
        <f t="shared" si="11"/>
        <v>46507.500000000007</v>
      </c>
      <c r="X48" s="122">
        <f t="shared" si="12"/>
        <v>74650.5</v>
      </c>
      <c r="Y48" s="133">
        <v>300</v>
      </c>
      <c r="Z48" s="133">
        <v>450</v>
      </c>
      <c r="AA48" s="121">
        <f t="shared" si="13"/>
        <v>750</v>
      </c>
      <c r="AB48" s="122">
        <f t="shared" si="14"/>
        <v>9381</v>
      </c>
      <c r="AC48" s="122">
        <f t="shared" si="15"/>
        <v>15502.500000000002</v>
      </c>
      <c r="AD48" s="122">
        <f t="shared" si="16"/>
        <v>24883.5</v>
      </c>
      <c r="AE48" s="133">
        <v>500</v>
      </c>
      <c r="AF48" s="133">
        <v>750</v>
      </c>
      <c r="AG48" s="121">
        <f t="shared" si="17"/>
        <v>1250</v>
      </c>
      <c r="AH48" s="122">
        <f t="shared" si="18"/>
        <v>15635</v>
      </c>
      <c r="AI48" s="122">
        <f t="shared" si="19"/>
        <v>25837.500000000004</v>
      </c>
      <c r="AJ48" s="122">
        <f t="shared" si="20"/>
        <v>41472.5</v>
      </c>
      <c r="AK48" s="133">
        <v>300</v>
      </c>
      <c r="AL48" s="133">
        <v>450</v>
      </c>
      <c r="AM48" s="121">
        <f t="shared" si="21"/>
        <v>750</v>
      </c>
      <c r="AN48" s="122">
        <f t="shared" si="22"/>
        <v>9381</v>
      </c>
      <c r="AO48" s="122">
        <f t="shared" si="23"/>
        <v>15502.500000000002</v>
      </c>
      <c r="AP48" s="122">
        <f t="shared" si="24"/>
        <v>24883.5</v>
      </c>
      <c r="AQ48" s="124">
        <f t="shared" si="25"/>
        <v>2000</v>
      </c>
      <c r="AR48" s="125">
        <f t="shared" si="26"/>
        <v>3000</v>
      </c>
      <c r="AS48" s="126">
        <f t="shared" si="27"/>
        <v>5000</v>
      </c>
      <c r="AT48" s="127">
        <f t="shared" si="28"/>
        <v>62540</v>
      </c>
      <c r="AU48" s="128">
        <f t="shared" si="29"/>
        <v>103350.00000000001</v>
      </c>
      <c r="AV48" s="129">
        <f t="shared" si="30"/>
        <v>165890</v>
      </c>
      <c r="AX48" s="34">
        <f t="shared" si="31"/>
        <v>165890</v>
      </c>
    </row>
    <row r="49" spans="1:69" s="36" customFormat="1" ht="15" customHeight="1" x14ac:dyDescent="0.25">
      <c r="A49" s="113">
        <v>40</v>
      </c>
      <c r="B49" s="156" t="s">
        <v>69</v>
      </c>
      <c r="C49" s="157" t="s">
        <v>257</v>
      </c>
      <c r="D49" s="157" t="s">
        <v>257</v>
      </c>
      <c r="E49" s="116" t="s">
        <v>16</v>
      </c>
      <c r="F49" s="117">
        <v>100</v>
      </c>
      <c r="G49" s="117">
        <v>150</v>
      </c>
      <c r="H49" s="118">
        <v>31.27</v>
      </c>
      <c r="I49" s="118">
        <v>34.450000000000003</v>
      </c>
      <c r="J49" s="119" t="s">
        <v>17</v>
      </c>
      <c r="K49" s="120" t="s">
        <v>62</v>
      </c>
      <c r="L49" s="119" t="s">
        <v>18</v>
      </c>
      <c r="M49" s="121"/>
      <c r="N49" s="121"/>
      <c r="O49" s="121">
        <f t="shared" si="5"/>
        <v>0</v>
      </c>
      <c r="P49" s="122">
        <f t="shared" si="6"/>
        <v>0</v>
      </c>
      <c r="Q49" s="122">
        <f t="shared" si="7"/>
        <v>0</v>
      </c>
      <c r="R49" s="122">
        <f t="shared" si="8"/>
        <v>0</v>
      </c>
      <c r="S49" s="139">
        <v>0</v>
      </c>
      <c r="T49" s="133">
        <v>0</v>
      </c>
      <c r="U49" s="121">
        <f t="shared" si="9"/>
        <v>0</v>
      </c>
      <c r="V49" s="122">
        <f t="shared" si="10"/>
        <v>0</v>
      </c>
      <c r="W49" s="122">
        <f t="shared" si="11"/>
        <v>0</v>
      </c>
      <c r="X49" s="122">
        <f t="shared" si="12"/>
        <v>0</v>
      </c>
      <c r="Y49" s="138">
        <v>298</v>
      </c>
      <c r="Z49" s="138">
        <v>439</v>
      </c>
      <c r="AA49" s="121">
        <f t="shared" si="13"/>
        <v>737</v>
      </c>
      <c r="AB49" s="122">
        <f t="shared" si="14"/>
        <v>9318.4599999999991</v>
      </c>
      <c r="AC49" s="122">
        <f t="shared" si="15"/>
        <v>15123.550000000001</v>
      </c>
      <c r="AD49" s="122">
        <f t="shared" si="16"/>
        <v>24442.010000000002</v>
      </c>
      <c r="AE49" s="133">
        <v>500</v>
      </c>
      <c r="AF49" s="133">
        <v>750</v>
      </c>
      <c r="AG49" s="121">
        <f t="shared" si="17"/>
        <v>1250</v>
      </c>
      <c r="AH49" s="122">
        <f t="shared" si="18"/>
        <v>15635</v>
      </c>
      <c r="AI49" s="122">
        <f t="shared" si="19"/>
        <v>25837.500000000004</v>
      </c>
      <c r="AJ49" s="122">
        <f t="shared" si="20"/>
        <v>41472.5</v>
      </c>
      <c r="AK49" s="133">
        <v>300</v>
      </c>
      <c r="AL49" s="133">
        <v>450</v>
      </c>
      <c r="AM49" s="121">
        <f t="shared" si="21"/>
        <v>750</v>
      </c>
      <c r="AN49" s="122">
        <f t="shared" si="22"/>
        <v>9381</v>
      </c>
      <c r="AO49" s="122">
        <f t="shared" si="23"/>
        <v>15502.500000000002</v>
      </c>
      <c r="AP49" s="122">
        <f t="shared" si="24"/>
        <v>24883.5</v>
      </c>
      <c r="AQ49" s="124">
        <f t="shared" si="25"/>
        <v>1098</v>
      </c>
      <c r="AR49" s="125">
        <f t="shared" si="26"/>
        <v>1639</v>
      </c>
      <c r="AS49" s="126">
        <f t="shared" si="27"/>
        <v>2737</v>
      </c>
      <c r="AT49" s="127">
        <f t="shared" si="28"/>
        <v>34334.46</v>
      </c>
      <c r="AU49" s="128">
        <f t="shared" si="29"/>
        <v>56463.55</v>
      </c>
      <c r="AV49" s="129">
        <f t="shared" si="30"/>
        <v>90798.010000000009</v>
      </c>
      <c r="AW49" s="33"/>
      <c r="AX49" s="34">
        <f t="shared" si="31"/>
        <v>90798.010000000009</v>
      </c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</row>
    <row r="50" spans="1:69" s="33" customFormat="1" ht="15" customHeight="1" x14ac:dyDescent="0.25">
      <c r="A50" s="113">
        <v>41</v>
      </c>
      <c r="B50" s="114" t="s">
        <v>76</v>
      </c>
      <c r="C50" s="115" t="s">
        <v>77</v>
      </c>
      <c r="D50" s="115" t="s">
        <v>77</v>
      </c>
      <c r="E50" s="116" t="s">
        <v>16</v>
      </c>
      <c r="F50" s="117">
        <v>100</v>
      </c>
      <c r="G50" s="117">
        <v>150</v>
      </c>
      <c r="H50" s="118">
        <v>30.09</v>
      </c>
      <c r="I50" s="118">
        <v>33.15</v>
      </c>
      <c r="J50" s="119" t="s">
        <v>17</v>
      </c>
      <c r="K50" s="120" t="s">
        <v>55</v>
      </c>
      <c r="L50" s="119" t="s">
        <v>18</v>
      </c>
      <c r="M50" s="121"/>
      <c r="N50" s="121"/>
      <c r="O50" s="121">
        <f t="shared" si="5"/>
        <v>0</v>
      </c>
      <c r="P50" s="122">
        <f t="shared" si="6"/>
        <v>0</v>
      </c>
      <c r="Q50" s="122">
        <f t="shared" si="7"/>
        <v>0</v>
      </c>
      <c r="R50" s="122">
        <f t="shared" si="8"/>
        <v>0</v>
      </c>
      <c r="S50" s="138">
        <v>700</v>
      </c>
      <c r="T50" s="139">
        <v>1350</v>
      </c>
      <c r="U50" s="121">
        <f t="shared" si="9"/>
        <v>2050</v>
      </c>
      <c r="V50" s="122">
        <f t="shared" si="10"/>
        <v>21063</v>
      </c>
      <c r="W50" s="122">
        <f t="shared" si="11"/>
        <v>44752.5</v>
      </c>
      <c r="X50" s="122">
        <f t="shared" si="12"/>
        <v>65815.5</v>
      </c>
      <c r="Y50" s="133">
        <v>300</v>
      </c>
      <c r="Z50" s="133">
        <v>450</v>
      </c>
      <c r="AA50" s="121">
        <f t="shared" si="13"/>
        <v>750</v>
      </c>
      <c r="AB50" s="122">
        <f t="shared" si="14"/>
        <v>9027</v>
      </c>
      <c r="AC50" s="122">
        <f t="shared" si="15"/>
        <v>14917.5</v>
      </c>
      <c r="AD50" s="122">
        <f t="shared" si="16"/>
        <v>23944.5</v>
      </c>
      <c r="AE50" s="139">
        <v>500</v>
      </c>
      <c r="AF50" s="133">
        <v>750</v>
      </c>
      <c r="AG50" s="121">
        <f t="shared" si="17"/>
        <v>1250</v>
      </c>
      <c r="AH50" s="122">
        <f t="shared" si="18"/>
        <v>15045</v>
      </c>
      <c r="AI50" s="122">
        <f t="shared" si="19"/>
        <v>24862.5</v>
      </c>
      <c r="AJ50" s="122">
        <f t="shared" si="20"/>
        <v>39907.5</v>
      </c>
      <c r="AK50" s="133">
        <v>300</v>
      </c>
      <c r="AL50" s="133">
        <v>450</v>
      </c>
      <c r="AM50" s="121">
        <f t="shared" si="21"/>
        <v>750</v>
      </c>
      <c r="AN50" s="122">
        <f t="shared" si="22"/>
        <v>9027</v>
      </c>
      <c r="AO50" s="122">
        <f t="shared" si="23"/>
        <v>14917.5</v>
      </c>
      <c r="AP50" s="122">
        <f t="shared" si="24"/>
        <v>23944.5</v>
      </c>
      <c r="AQ50" s="124">
        <f t="shared" si="25"/>
        <v>1800</v>
      </c>
      <c r="AR50" s="125">
        <f t="shared" si="26"/>
        <v>3000</v>
      </c>
      <c r="AS50" s="126">
        <f t="shared" si="27"/>
        <v>4800</v>
      </c>
      <c r="AT50" s="127">
        <f t="shared" si="28"/>
        <v>54162</v>
      </c>
      <c r="AU50" s="128">
        <f t="shared" si="29"/>
        <v>99450</v>
      </c>
      <c r="AV50" s="129">
        <f t="shared" si="30"/>
        <v>153612</v>
      </c>
      <c r="AX50" s="34">
        <f t="shared" si="31"/>
        <v>153612</v>
      </c>
    </row>
    <row r="51" spans="1:69" s="33" customFormat="1" ht="15" customHeight="1" x14ac:dyDescent="0.25">
      <c r="A51" s="113">
        <v>42</v>
      </c>
      <c r="B51" s="114" t="s">
        <v>76</v>
      </c>
      <c r="C51" s="115" t="s">
        <v>78</v>
      </c>
      <c r="D51" s="115" t="s">
        <v>78</v>
      </c>
      <c r="E51" s="116" t="s">
        <v>16</v>
      </c>
      <c r="F51" s="117">
        <v>100</v>
      </c>
      <c r="G51" s="117">
        <v>150</v>
      </c>
      <c r="H51" s="118">
        <v>30.09</v>
      </c>
      <c r="I51" s="118">
        <v>33.15</v>
      </c>
      <c r="J51" s="119" t="s">
        <v>17</v>
      </c>
      <c r="K51" s="120" t="s">
        <v>55</v>
      </c>
      <c r="L51" s="119" t="s">
        <v>18</v>
      </c>
      <c r="M51" s="121"/>
      <c r="N51" s="121"/>
      <c r="O51" s="121">
        <f t="shared" si="5"/>
        <v>0</v>
      </c>
      <c r="P51" s="122">
        <f t="shared" si="6"/>
        <v>0</v>
      </c>
      <c r="Q51" s="122">
        <f t="shared" si="7"/>
        <v>0</v>
      </c>
      <c r="R51" s="122">
        <f t="shared" si="8"/>
        <v>0</v>
      </c>
      <c r="S51" s="138">
        <v>882</v>
      </c>
      <c r="T51" s="133">
        <v>1350</v>
      </c>
      <c r="U51" s="121">
        <f t="shared" si="9"/>
        <v>2232</v>
      </c>
      <c r="V51" s="122">
        <f t="shared" si="10"/>
        <v>26539.38</v>
      </c>
      <c r="W51" s="122">
        <f t="shared" si="11"/>
        <v>44752.5</v>
      </c>
      <c r="X51" s="122">
        <f t="shared" si="12"/>
        <v>71291.88</v>
      </c>
      <c r="Y51" s="133">
        <v>300</v>
      </c>
      <c r="Z51" s="133">
        <v>450</v>
      </c>
      <c r="AA51" s="121">
        <f t="shared" si="13"/>
        <v>750</v>
      </c>
      <c r="AB51" s="122">
        <f t="shared" si="14"/>
        <v>9027</v>
      </c>
      <c r="AC51" s="122">
        <f t="shared" si="15"/>
        <v>14917.5</v>
      </c>
      <c r="AD51" s="122">
        <f t="shared" si="16"/>
        <v>23944.5</v>
      </c>
      <c r="AE51" s="133">
        <v>500</v>
      </c>
      <c r="AF51" s="138">
        <v>732</v>
      </c>
      <c r="AG51" s="121">
        <f t="shared" si="17"/>
        <v>1232</v>
      </c>
      <c r="AH51" s="122">
        <f t="shared" si="18"/>
        <v>15045</v>
      </c>
      <c r="AI51" s="122">
        <f t="shared" si="19"/>
        <v>24265.8</v>
      </c>
      <c r="AJ51" s="122">
        <f t="shared" si="20"/>
        <v>39310.800000000003</v>
      </c>
      <c r="AK51" s="133">
        <v>300</v>
      </c>
      <c r="AL51" s="133">
        <v>450</v>
      </c>
      <c r="AM51" s="121">
        <f t="shared" si="21"/>
        <v>750</v>
      </c>
      <c r="AN51" s="122">
        <f t="shared" si="22"/>
        <v>9027</v>
      </c>
      <c r="AO51" s="122">
        <f t="shared" si="23"/>
        <v>14917.5</v>
      </c>
      <c r="AP51" s="122">
        <f t="shared" si="24"/>
        <v>23944.5</v>
      </c>
      <c r="AQ51" s="124">
        <f t="shared" si="25"/>
        <v>1982</v>
      </c>
      <c r="AR51" s="125">
        <f t="shared" si="26"/>
        <v>2982</v>
      </c>
      <c r="AS51" s="126">
        <f t="shared" si="27"/>
        <v>4964</v>
      </c>
      <c r="AT51" s="127">
        <f t="shared" si="28"/>
        <v>59638.380000000005</v>
      </c>
      <c r="AU51" s="128">
        <f t="shared" si="29"/>
        <v>98853.3</v>
      </c>
      <c r="AV51" s="129">
        <f t="shared" si="30"/>
        <v>158491.68</v>
      </c>
      <c r="AX51" s="34">
        <f t="shared" si="31"/>
        <v>158491.68</v>
      </c>
    </row>
    <row r="52" spans="1:69" s="33" customFormat="1" ht="15" customHeight="1" x14ac:dyDescent="0.25">
      <c r="A52" s="113">
        <v>43</v>
      </c>
      <c r="B52" s="130" t="s">
        <v>76</v>
      </c>
      <c r="C52" s="131" t="s">
        <v>79</v>
      </c>
      <c r="D52" s="131" t="s">
        <v>79</v>
      </c>
      <c r="E52" s="116" t="s">
        <v>16</v>
      </c>
      <c r="F52" s="117">
        <v>100</v>
      </c>
      <c r="G52" s="117">
        <v>150</v>
      </c>
      <c r="H52" s="118">
        <v>30.09</v>
      </c>
      <c r="I52" s="118">
        <v>33.15</v>
      </c>
      <c r="J52" s="119" t="s">
        <v>17</v>
      </c>
      <c r="K52" s="120" t="s">
        <v>55</v>
      </c>
      <c r="L52" s="119" t="s">
        <v>18</v>
      </c>
      <c r="M52" s="121"/>
      <c r="N52" s="121"/>
      <c r="O52" s="121">
        <f t="shared" si="5"/>
        <v>0</v>
      </c>
      <c r="P52" s="122">
        <f t="shared" si="6"/>
        <v>0</v>
      </c>
      <c r="Q52" s="122">
        <f t="shared" si="7"/>
        <v>0</v>
      </c>
      <c r="R52" s="122">
        <f t="shared" si="8"/>
        <v>0</v>
      </c>
      <c r="S52" s="133">
        <v>900</v>
      </c>
      <c r="T52" s="133">
        <v>1350</v>
      </c>
      <c r="U52" s="121">
        <f t="shared" si="9"/>
        <v>2250</v>
      </c>
      <c r="V52" s="122">
        <f t="shared" si="10"/>
        <v>27081</v>
      </c>
      <c r="W52" s="122">
        <f t="shared" si="11"/>
        <v>44752.5</v>
      </c>
      <c r="X52" s="122">
        <f t="shared" si="12"/>
        <v>71833.5</v>
      </c>
      <c r="Y52" s="133">
        <v>300</v>
      </c>
      <c r="Z52" s="133">
        <v>450</v>
      </c>
      <c r="AA52" s="121">
        <f t="shared" si="13"/>
        <v>750</v>
      </c>
      <c r="AB52" s="122">
        <f t="shared" si="14"/>
        <v>9027</v>
      </c>
      <c r="AC52" s="122">
        <f t="shared" si="15"/>
        <v>14917.5</v>
      </c>
      <c r="AD52" s="122">
        <f t="shared" si="16"/>
        <v>23944.5</v>
      </c>
      <c r="AE52" s="133">
        <v>500</v>
      </c>
      <c r="AF52" s="133">
        <v>750</v>
      </c>
      <c r="AG52" s="121">
        <f t="shared" si="17"/>
        <v>1250</v>
      </c>
      <c r="AH52" s="122">
        <f t="shared" si="18"/>
        <v>15045</v>
      </c>
      <c r="AI52" s="122">
        <f t="shared" si="19"/>
        <v>24862.5</v>
      </c>
      <c r="AJ52" s="122">
        <f t="shared" si="20"/>
        <v>39907.5</v>
      </c>
      <c r="AK52" s="133">
        <v>300</v>
      </c>
      <c r="AL52" s="133">
        <v>450</v>
      </c>
      <c r="AM52" s="121">
        <f t="shared" si="21"/>
        <v>750</v>
      </c>
      <c r="AN52" s="122">
        <f t="shared" si="22"/>
        <v>9027</v>
      </c>
      <c r="AO52" s="122">
        <f t="shared" si="23"/>
        <v>14917.5</v>
      </c>
      <c r="AP52" s="122">
        <f t="shared" si="24"/>
        <v>23944.5</v>
      </c>
      <c r="AQ52" s="124">
        <f t="shared" si="25"/>
        <v>2000</v>
      </c>
      <c r="AR52" s="125">
        <f t="shared" si="26"/>
        <v>3000</v>
      </c>
      <c r="AS52" s="126">
        <f t="shared" si="27"/>
        <v>5000</v>
      </c>
      <c r="AT52" s="127">
        <f t="shared" si="28"/>
        <v>60180</v>
      </c>
      <c r="AU52" s="128">
        <f t="shared" si="29"/>
        <v>99450</v>
      </c>
      <c r="AV52" s="129">
        <f t="shared" si="30"/>
        <v>159630</v>
      </c>
      <c r="AX52" s="34">
        <f t="shared" si="31"/>
        <v>159630</v>
      </c>
    </row>
    <row r="53" spans="1:69" s="33" customFormat="1" ht="15" customHeight="1" x14ac:dyDescent="0.25">
      <c r="A53" s="113">
        <v>44</v>
      </c>
      <c r="B53" s="130" t="s">
        <v>76</v>
      </c>
      <c r="C53" s="131" t="s">
        <v>80</v>
      </c>
      <c r="D53" s="131" t="s">
        <v>80</v>
      </c>
      <c r="E53" s="116" t="s">
        <v>16</v>
      </c>
      <c r="F53" s="117">
        <v>150</v>
      </c>
      <c r="G53" s="117">
        <v>250</v>
      </c>
      <c r="H53" s="118">
        <v>30.09</v>
      </c>
      <c r="I53" s="118">
        <v>33.15</v>
      </c>
      <c r="J53" s="119" t="s">
        <v>17</v>
      </c>
      <c r="K53" s="120" t="s">
        <v>55</v>
      </c>
      <c r="L53" s="119" t="s">
        <v>18</v>
      </c>
      <c r="M53" s="121"/>
      <c r="N53" s="121"/>
      <c r="O53" s="121">
        <f t="shared" si="5"/>
        <v>0</v>
      </c>
      <c r="P53" s="122">
        <f t="shared" si="6"/>
        <v>0</v>
      </c>
      <c r="Q53" s="122">
        <f t="shared" si="7"/>
        <v>0</v>
      </c>
      <c r="R53" s="122">
        <f t="shared" si="8"/>
        <v>0</v>
      </c>
      <c r="S53" s="138">
        <v>1200</v>
      </c>
      <c r="T53" s="138">
        <v>2000</v>
      </c>
      <c r="U53" s="121">
        <f t="shared" si="9"/>
        <v>3200</v>
      </c>
      <c r="V53" s="122">
        <f t="shared" si="10"/>
        <v>36108</v>
      </c>
      <c r="W53" s="122">
        <f t="shared" si="11"/>
        <v>66300</v>
      </c>
      <c r="X53" s="122">
        <f t="shared" si="12"/>
        <v>102408</v>
      </c>
      <c r="Y53" s="133">
        <v>450</v>
      </c>
      <c r="Z53" s="133">
        <v>750</v>
      </c>
      <c r="AA53" s="121">
        <f t="shared" si="13"/>
        <v>1200</v>
      </c>
      <c r="AB53" s="122">
        <f t="shared" si="14"/>
        <v>13540.5</v>
      </c>
      <c r="AC53" s="122">
        <f t="shared" si="15"/>
        <v>24862.5</v>
      </c>
      <c r="AD53" s="122">
        <f t="shared" si="16"/>
        <v>38403</v>
      </c>
      <c r="AE53" s="133">
        <v>750</v>
      </c>
      <c r="AF53" s="133">
        <v>1250</v>
      </c>
      <c r="AG53" s="121">
        <f t="shared" si="17"/>
        <v>2000</v>
      </c>
      <c r="AH53" s="122">
        <f t="shared" si="18"/>
        <v>22567.5</v>
      </c>
      <c r="AI53" s="122">
        <f t="shared" si="19"/>
        <v>41437.5</v>
      </c>
      <c r="AJ53" s="122">
        <f t="shared" si="20"/>
        <v>64005</v>
      </c>
      <c r="AK53" s="133">
        <v>450</v>
      </c>
      <c r="AL53" s="133">
        <v>750</v>
      </c>
      <c r="AM53" s="121">
        <f t="shared" si="21"/>
        <v>1200</v>
      </c>
      <c r="AN53" s="122">
        <f t="shared" si="22"/>
        <v>13540.5</v>
      </c>
      <c r="AO53" s="122">
        <f t="shared" si="23"/>
        <v>24862.5</v>
      </c>
      <c r="AP53" s="122">
        <f t="shared" si="24"/>
        <v>38403</v>
      </c>
      <c r="AQ53" s="124">
        <f t="shared" si="25"/>
        <v>2850</v>
      </c>
      <c r="AR53" s="125">
        <f t="shared" si="26"/>
        <v>4750</v>
      </c>
      <c r="AS53" s="126">
        <f t="shared" si="27"/>
        <v>7600</v>
      </c>
      <c r="AT53" s="127">
        <f t="shared" si="28"/>
        <v>85756.5</v>
      </c>
      <c r="AU53" s="128">
        <f t="shared" si="29"/>
        <v>157462.5</v>
      </c>
      <c r="AV53" s="129">
        <f t="shared" si="30"/>
        <v>243219</v>
      </c>
      <c r="AX53" s="34">
        <f t="shared" si="31"/>
        <v>243219</v>
      </c>
    </row>
    <row r="54" spans="1:69" s="33" customFormat="1" ht="15" customHeight="1" x14ac:dyDescent="0.25">
      <c r="A54" s="113">
        <v>45</v>
      </c>
      <c r="B54" s="130" t="s">
        <v>76</v>
      </c>
      <c r="C54" s="131" t="s">
        <v>81</v>
      </c>
      <c r="D54" s="131" t="s">
        <v>81</v>
      </c>
      <c r="E54" s="116" t="s">
        <v>16</v>
      </c>
      <c r="F54" s="117">
        <v>150</v>
      </c>
      <c r="G54" s="117">
        <v>250</v>
      </c>
      <c r="H54" s="118">
        <v>30.09</v>
      </c>
      <c r="I54" s="118">
        <v>33.15</v>
      </c>
      <c r="J54" s="119" t="s">
        <v>17</v>
      </c>
      <c r="K54" s="120" t="s">
        <v>55</v>
      </c>
      <c r="L54" s="119" t="s">
        <v>18</v>
      </c>
      <c r="M54" s="121"/>
      <c r="N54" s="121"/>
      <c r="O54" s="121">
        <f t="shared" si="5"/>
        <v>0</v>
      </c>
      <c r="P54" s="122">
        <f t="shared" si="6"/>
        <v>0</v>
      </c>
      <c r="Q54" s="122">
        <f t="shared" si="7"/>
        <v>0</v>
      </c>
      <c r="R54" s="122">
        <f t="shared" si="8"/>
        <v>0</v>
      </c>
      <c r="S54" s="139">
        <v>1350</v>
      </c>
      <c r="T54" s="139">
        <v>2250</v>
      </c>
      <c r="U54" s="121">
        <f t="shared" si="9"/>
        <v>3600</v>
      </c>
      <c r="V54" s="122">
        <f t="shared" si="10"/>
        <v>40621.5</v>
      </c>
      <c r="W54" s="122">
        <f t="shared" si="11"/>
        <v>74587.5</v>
      </c>
      <c r="X54" s="122">
        <f t="shared" si="12"/>
        <v>115209</v>
      </c>
      <c r="Y54" s="133">
        <v>450</v>
      </c>
      <c r="Z54" s="133">
        <v>750</v>
      </c>
      <c r="AA54" s="121">
        <f t="shared" si="13"/>
        <v>1200</v>
      </c>
      <c r="AB54" s="122">
        <f t="shared" si="14"/>
        <v>13540.5</v>
      </c>
      <c r="AC54" s="122">
        <f t="shared" si="15"/>
        <v>24862.5</v>
      </c>
      <c r="AD54" s="122">
        <f t="shared" si="16"/>
        <v>38403</v>
      </c>
      <c r="AE54" s="133">
        <v>750</v>
      </c>
      <c r="AF54" s="133">
        <v>1250</v>
      </c>
      <c r="AG54" s="121">
        <f t="shared" si="17"/>
        <v>2000</v>
      </c>
      <c r="AH54" s="122">
        <f t="shared" si="18"/>
        <v>22567.5</v>
      </c>
      <c r="AI54" s="122">
        <f t="shared" si="19"/>
        <v>41437.5</v>
      </c>
      <c r="AJ54" s="122">
        <f t="shared" si="20"/>
        <v>64005</v>
      </c>
      <c r="AK54" s="133">
        <v>450</v>
      </c>
      <c r="AL54" s="133">
        <v>750</v>
      </c>
      <c r="AM54" s="121">
        <f t="shared" si="21"/>
        <v>1200</v>
      </c>
      <c r="AN54" s="122">
        <f t="shared" si="22"/>
        <v>13540.5</v>
      </c>
      <c r="AO54" s="122">
        <f t="shared" si="23"/>
        <v>24862.5</v>
      </c>
      <c r="AP54" s="122">
        <f t="shared" si="24"/>
        <v>38403</v>
      </c>
      <c r="AQ54" s="124">
        <f t="shared" si="25"/>
        <v>3000</v>
      </c>
      <c r="AR54" s="125">
        <f t="shared" si="26"/>
        <v>5000</v>
      </c>
      <c r="AS54" s="126">
        <f t="shared" si="27"/>
        <v>8000</v>
      </c>
      <c r="AT54" s="127">
        <f t="shared" si="28"/>
        <v>90270</v>
      </c>
      <c r="AU54" s="128">
        <f t="shared" si="29"/>
        <v>165750</v>
      </c>
      <c r="AV54" s="129">
        <f t="shared" si="30"/>
        <v>256020</v>
      </c>
      <c r="AX54" s="34">
        <f t="shared" si="31"/>
        <v>256020</v>
      </c>
    </row>
    <row r="55" spans="1:69" s="33" customFormat="1" ht="14.25" customHeight="1" x14ac:dyDescent="0.25">
      <c r="A55" s="113">
        <v>46</v>
      </c>
      <c r="B55" s="114" t="s">
        <v>76</v>
      </c>
      <c r="C55" s="115" t="s">
        <v>82</v>
      </c>
      <c r="D55" s="115" t="s">
        <v>82</v>
      </c>
      <c r="E55" s="134" t="s">
        <v>16</v>
      </c>
      <c r="F55" s="135">
        <v>100</v>
      </c>
      <c r="G55" s="135">
        <v>200</v>
      </c>
      <c r="H55" s="136">
        <v>30.09</v>
      </c>
      <c r="I55" s="136">
        <v>33.15</v>
      </c>
      <c r="J55" s="137" t="s">
        <v>17</v>
      </c>
      <c r="K55" s="158" t="s">
        <v>55</v>
      </c>
      <c r="L55" s="137" t="s">
        <v>18</v>
      </c>
      <c r="M55" s="123"/>
      <c r="N55" s="123"/>
      <c r="O55" s="121">
        <f t="shared" si="5"/>
        <v>0</v>
      </c>
      <c r="P55" s="122">
        <f t="shared" si="6"/>
        <v>0</v>
      </c>
      <c r="Q55" s="122">
        <f t="shared" si="7"/>
        <v>0</v>
      </c>
      <c r="R55" s="122">
        <f t="shared" si="8"/>
        <v>0</v>
      </c>
      <c r="S55" s="138">
        <v>800</v>
      </c>
      <c r="T55" s="138">
        <v>1600</v>
      </c>
      <c r="U55" s="121">
        <f t="shared" si="9"/>
        <v>2400</v>
      </c>
      <c r="V55" s="122">
        <f t="shared" si="10"/>
        <v>24072</v>
      </c>
      <c r="W55" s="122">
        <f t="shared" si="11"/>
        <v>53040</v>
      </c>
      <c r="X55" s="122">
        <f t="shared" si="12"/>
        <v>77112</v>
      </c>
      <c r="Y55" s="133">
        <v>300</v>
      </c>
      <c r="Z55" s="133">
        <v>600</v>
      </c>
      <c r="AA55" s="121">
        <f t="shared" si="13"/>
        <v>900</v>
      </c>
      <c r="AB55" s="122">
        <f t="shared" si="14"/>
        <v>9027</v>
      </c>
      <c r="AC55" s="122">
        <f t="shared" si="15"/>
        <v>19890</v>
      </c>
      <c r="AD55" s="122">
        <f t="shared" si="16"/>
        <v>28917</v>
      </c>
      <c r="AE55" s="133">
        <v>500</v>
      </c>
      <c r="AF55" s="133">
        <v>1000</v>
      </c>
      <c r="AG55" s="121">
        <f t="shared" si="17"/>
        <v>1500</v>
      </c>
      <c r="AH55" s="122">
        <f t="shared" si="18"/>
        <v>15045</v>
      </c>
      <c r="AI55" s="122">
        <f t="shared" si="19"/>
        <v>33150</v>
      </c>
      <c r="AJ55" s="122">
        <f t="shared" si="20"/>
        <v>48195</v>
      </c>
      <c r="AK55" s="133">
        <v>300</v>
      </c>
      <c r="AL55" s="133">
        <v>600</v>
      </c>
      <c r="AM55" s="121">
        <f t="shared" si="21"/>
        <v>900</v>
      </c>
      <c r="AN55" s="122">
        <f t="shared" si="22"/>
        <v>9027</v>
      </c>
      <c r="AO55" s="122">
        <f t="shared" si="23"/>
        <v>19890</v>
      </c>
      <c r="AP55" s="122">
        <f t="shared" si="24"/>
        <v>28917</v>
      </c>
      <c r="AQ55" s="124">
        <f t="shared" si="25"/>
        <v>1900</v>
      </c>
      <c r="AR55" s="125">
        <f t="shared" si="26"/>
        <v>3800</v>
      </c>
      <c r="AS55" s="126">
        <f t="shared" si="27"/>
        <v>5700</v>
      </c>
      <c r="AT55" s="127">
        <f t="shared" si="28"/>
        <v>57171</v>
      </c>
      <c r="AU55" s="128">
        <f t="shared" si="29"/>
        <v>125970</v>
      </c>
      <c r="AV55" s="129">
        <f t="shared" si="30"/>
        <v>183141</v>
      </c>
      <c r="AX55" s="34">
        <f t="shared" si="31"/>
        <v>183141</v>
      </c>
    </row>
    <row r="56" spans="1:69" s="33" customFormat="1" ht="15" customHeight="1" x14ac:dyDescent="0.25">
      <c r="A56" s="113">
        <v>47</v>
      </c>
      <c r="B56" s="130" t="s">
        <v>76</v>
      </c>
      <c r="C56" s="131" t="s">
        <v>83</v>
      </c>
      <c r="D56" s="131" t="s">
        <v>83</v>
      </c>
      <c r="E56" s="116" t="s">
        <v>16</v>
      </c>
      <c r="F56" s="117">
        <v>100</v>
      </c>
      <c r="G56" s="117">
        <v>150</v>
      </c>
      <c r="H56" s="118">
        <v>30.09</v>
      </c>
      <c r="I56" s="118">
        <v>33.15</v>
      </c>
      <c r="J56" s="119" t="s">
        <v>17</v>
      </c>
      <c r="K56" s="120" t="s">
        <v>55</v>
      </c>
      <c r="L56" s="119" t="s">
        <v>18</v>
      </c>
      <c r="M56" s="121"/>
      <c r="N56" s="121"/>
      <c r="O56" s="121">
        <f t="shared" si="5"/>
        <v>0</v>
      </c>
      <c r="P56" s="122">
        <f t="shared" si="6"/>
        <v>0</v>
      </c>
      <c r="Q56" s="122">
        <f t="shared" si="7"/>
        <v>0</v>
      </c>
      <c r="R56" s="122">
        <f t="shared" si="8"/>
        <v>0</v>
      </c>
      <c r="S56" s="133">
        <v>900</v>
      </c>
      <c r="T56" s="133">
        <v>1350</v>
      </c>
      <c r="U56" s="121">
        <f t="shared" si="9"/>
        <v>2250</v>
      </c>
      <c r="V56" s="122">
        <f t="shared" si="10"/>
        <v>27081</v>
      </c>
      <c r="W56" s="122">
        <f t="shared" si="11"/>
        <v>44752.5</v>
      </c>
      <c r="X56" s="122">
        <f t="shared" si="12"/>
        <v>71833.5</v>
      </c>
      <c r="Y56" s="133">
        <v>300</v>
      </c>
      <c r="Z56" s="133">
        <v>450</v>
      </c>
      <c r="AA56" s="121">
        <f t="shared" si="13"/>
        <v>750</v>
      </c>
      <c r="AB56" s="122">
        <f t="shared" si="14"/>
        <v>9027</v>
      </c>
      <c r="AC56" s="122">
        <f t="shared" si="15"/>
        <v>14917.5</v>
      </c>
      <c r="AD56" s="122">
        <f t="shared" si="16"/>
        <v>23944.5</v>
      </c>
      <c r="AE56" s="133">
        <v>500</v>
      </c>
      <c r="AF56" s="139">
        <v>750</v>
      </c>
      <c r="AG56" s="121">
        <f t="shared" si="17"/>
        <v>1250</v>
      </c>
      <c r="AH56" s="122">
        <f t="shared" si="18"/>
        <v>15045</v>
      </c>
      <c r="AI56" s="122">
        <f t="shared" si="19"/>
        <v>24862.5</v>
      </c>
      <c r="AJ56" s="122">
        <f t="shared" si="20"/>
        <v>39907.5</v>
      </c>
      <c r="AK56" s="133">
        <v>300</v>
      </c>
      <c r="AL56" s="133">
        <v>450</v>
      </c>
      <c r="AM56" s="121">
        <f t="shared" si="21"/>
        <v>750</v>
      </c>
      <c r="AN56" s="122">
        <f t="shared" si="22"/>
        <v>9027</v>
      </c>
      <c r="AO56" s="122">
        <f t="shared" si="23"/>
        <v>14917.5</v>
      </c>
      <c r="AP56" s="122">
        <f t="shared" si="24"/>
        <v>23944.5</v>
      </c>
      <c r="AQ56" s="124">
        <f t="shared" si="25"/>
        <v>2000</v>
      </c>
      <c r="AR56" s="125">
        <f t="shared" si="26"/>
        <v>3000</v>
      </c>
      <c r="AS56" s="126">
        <f t="shared" si="27"/>
        <v>5000</v>
      </c>
      <c r="AT56" s="127">
        <f t="shared" si="28"/>
        <v>60180</v>
      </c>
      <c r="AU56" s="128">
        <f t="shared" si="29"/>
        <v>99450</v>
      </c>
      <c r="AV56" s="129">
        <f t="shared" si="30"/>
        <v>159630</v>
      </c>
      <c r="AX56" s="34">
        <f t="shared" si="31"/>
        <v>159630</v>
      </c>
    </row>
    <row r="57" spans="1:69" s="33" customFormat="1" ht="15" customHeight="1" x14ac:dyDescent="0.25">
      <c r="A57" s="113">
        <v>48</v>
      </c>
      <c r="B57" s="114" t="s">
        <v>76</v>
      </c>
      <c r="C57" s="115" t="s">
        <v>84</v>
      </c>
      <c r="D57" s="115" t="s">
        <v>84</v>
      </c>
      <c r="E57" s="116" t="s">
        <v>16</v>
      </c>
      <c r="F57" s="117">
        <v>100</v>
      </c>
      <c r="G57" s="117">
        <v>150</v>
      </c>
      <c r="H57" s="118">
        <v>30.09</v>
      </c>
      <c r="I57" s="118">
        <v>33.15</v>
      </c>
      <c r="J57" s="119" t="s">
        <v>17</v>
      </c>
      <c r="K57" s="120" t="s">
        <v>55</v>
      </c>
      <c r="L57" s="119" t="s">
        <v>18</v>
      </c>
      <c r="M57" s="121"/>
      <c r="N57" s="121"/>
      <c r="O57" s="121">
        <f t="shared" si="5"/>
        <v>0</v>
      </c>
      <c r="P57" s="122">
        <f t="shared" si="6"/>
        <v>0</v>
      </c>
      <c r="Q57" s="122">
        <f t="shared" si="7"/>
        <v>0</v>
      </c>
      <c r="R57" s="122">
        <f t="shared" si="8"/>
        <v>0</v>
      </c>
      <c r="S57" s="138">
        <v>800</v>
      </c>
      <c r="T57" s="138">
        <v>1050</v>
      </c>
      <c r="U57" s="121">
        <f t="shared" si="9"/>
        <v>1850</v>
      </c>
      <c r="V57" s="122">
        <f t="shared" si="10"/>
        <v>24072</v>
      </c>
      <c r="W57" s="122">
        <f t="shared" si="11"/>
        <v>34807.5</v>
      </c>
      <c r="X57" s="122">
        <f t="shared" si="12"/>
        <v>58879.5</v>
      </c>
      <c r="Y57" s="133">
        <v>300</v>
      </c>
      <c r="Z57" s="133">
        <v>450</v>
      </c>
      <c r="AA57" s="121">
        <f t="shared" si="13"/>
        <v>750</v>
      </c>
      <c r="AB57" s="122">
        <f t="shared" si="14"/>
        <v>9027</v>
      </c>
      <c r="AC57" s="122">
        <f t="shared" si="15"/>
        <v>14917.5</v>
      </c>
      <c r="AD57" s="122">
        <f t="shared" si="16"/>
        <v>23944.5</v>
      </c>
      <c r="AE57" s="133">
        <v>500</v>
      </c>
      <c r="AF57" s="133">
        <v>600</v>
      </c>
      <c r="AG57" s="121">
        <f t="shared" si="17"/>
        <v>1100</v>
      </c>
      <c r="AH57" s="122">
        <f t="shared" si="18"/>
        <v>15045</v>
      </c>
      <c r="AI57" s="122">
        <f t="shared" si="19"/>
        <v>19890</v>
      </c>
      <c r="AJ57" s="122">
        <f t="shared" si="20"/>
        <v>34935</v>
      </c>
      <c r="AK57" s="133">
        <v>300</v>
      </c>
      <c r="AL57" s="133">
        <v>450</v>
      </c>
      <c r="AM57" s="121">
        <f t="shared" si="21"/>
        <v>750</v>
      </c>
      <c r="AN57" s="122">
        <f t="shared" si="22"/>
        <v>9027</v>
      </c>
      <c r="AO57" s="122">
        <f t="shared" si="23"/>
        <v>14917.5</v>
      </c>
      <c r="AP57" s="122">
        <f t="shared" si="24"/>
        <v>23944.5</v>
      </c>
      <c r="AQ57" s="124">
        <f t="shared" si="25"/>
        <v>1900</v>
      </c>
      <c r="AR57" s="125">
        <f t="shared" si="26"/>
        <v>2550</v>
      </c>
      <c r="AS57" s="126">
        <f t="shared" si="27"/>
        <v>4450</v>
      </c>
      <c r="AT57" s="127">
        <f t="shared" si="28"/>
        <v>57171</v>
      </c>
      <c r="AU57" s="128">
        <f t="shared" si="29"/>
        <v>84532.5</v>
      </c>
      <c r="AV57" s="129">
        <f t="shared" si="30"/>
        <v>141703.5</v>
      </c>
      <c r="AX57" s="34">
        <f t="shared" si="31"/>
        <v>141703.5</v>
      </c>
    </row>
    <row r="58" spans="1:69" s="33" customFormat="1" ht="15" customHeight="1" x14ac:dyDescent="0.25">
      <c r="A58" s="113">
        <v>49</v>
      </c>
      <c r="B58" s="159" t="s">
        <v>76</v>
      </c>
      <c r="C58" s="160" t="s">
        <v>85</v>
      </c>
      <c r="D58" s="160" t="s">
        <v>85</v>
      </c>
      <c r="E58" s="116" t="s">
        <v>16</v>
      </c>
      <c r="F58" s="117">
        <v>175</v>
      </c>
      <c r="G58" s="117">
        <v>225</v>
      </c>
      <c r="H58" s="118">
        <v>30.09</v>
      </c>
      <c r="I58" s="118">
        <v>33.15</v>
      </c>
      <c r="J58" s="119" t="s">
        <v>17</v>
      </c>
      <c r="K58" s="120" t="s">
        <v>55</v>
      </c>
      <c r="L58" s="119" t="s">
        <v>18</v>
      </c>
      <c r="M58" s="121"/>
      <c r="N58" s="121"/>
      <c r="O58" s="121">
        <f t="shared" si="5"/>
        <v>0</v>
      </c>
      <c r="P58" s="122">
        <f t="shared" si="6"/>
        <v>0</v>
      </c>
      <c r="Q58" s="122">
        <f t="shared" si="7"/>
        <v>0</v>
      </c>
      <c r="R58" s="122">
        <f t="shared" si="8"/>
        <v>0</v>
      </c>
      <c r="S58" s="133">
        <v>1575</v>
      </c>
      <c r="T58" s="138">
        <v>1800</v>
      </c>
      <c r="U58" s="121">
        <f t="shared" si="9"/>
        <v>3375</v>
      </c>
      <c r="V58" s="122">
        <f t="shared" si="10"/>
        <v>47391.75</v>
      </c>
      <c r="W58" s="122">
        <f t="shared" si="11"/>
        <v>59670</v>
      </c>
      <c r="X58" s="122">
        <f t="shared" si="12"/>
        <v>107061.75</v>
      </c>
      <c r="Y58" s="133">
        <v>525</v>
      </c>
      <c r="Z58" s="133">
        <v>675</v>
      </c>
      <c r="AA58" s="121">
        <f t="shared" si="13"/>
        <v>1200</v>
      </c>
      <c r="AB58" s="122">
        <f t="shared" si="14"/>
        <v>15797.25</v>
      </c>
      <c r="AC58" s="122">
        <f t="shared" si="15"/>
        <v>22376.25</v>
      </c>
      <c r="AD58" s="122">
        <f t="shared" si="16"/>
        <v>38173.5</v>
      </c>
      <c r="AE58" s="133">
        <v>875</v>
      </c>
      <c r="AF58" s="133">
        <v>1125</v>
      </c>
      <c r="AG58" s="121">
        <f t="shared" si="17"/>
        <v>2000</v>
      </c>
      <c r="AH58" s="122">
        <f t="shared" si="18"/>
        <v>26328.75</v>
      </c>
      <c r="AI58" s="122">
        <f t="shared" si="19"/>
        <v>37293.75</v>
      </c>
      <c r="AJ58" s="122">
        <f t="shared" si="20"/>
        <v>63622.5</v>
      </c>
      <c r="AK58" s="133">
        <v>525</v>
      </c>
      <c r="AL58" s="133">
        <v>675</v>
      </c>
      <c r="AM58" s="121">
        <f t="shared" si="21"/>
        <v>1200</v>
      </c>
      <c r="AN58" s="122">
        <f t="shared" si="22"/>
        <v>15797.25</v>
      </c>
      <c r="AO58" s="122">
        <f t="shared" si="23"/>
        <v>22376.25</v>
      </c>
      <c r="AP58" s="122">
        <f t="shared" si="24"/>
        <v>38173.5</v>
      </c>
      <c r="AQ58" s="124">
        <f t="shared" si="25"/>
        <v>3500</v>
      </c>
      <c r="AR58" s="125">
        <f t="shared" si="26"/>
        <v>4275</v>
      </c>
      <c r="AS58" s="126">
        <f t="shared" si="27"/>
        <v>7775</v>
      </c>
      <c r="AT58" s="127">
        <f t="shared" si="28"/>
        <v>105315</v>
      </c>
      <c r="AU58" s="128">
        <f t="shared" si="29"/>
        <v>141716.25</v>
      </c>
      <c r="AV58" s="129">
        <f t="shared" si="30"/>
        <v>247031.25</v>
      </c>
      <c r="AX58" s="34">
        <f t="shared" si="31"/>
        <v>247031.25</v>
      </c>
    </row>
    <row r="59" spans="1:69" s="33" customFormat="1" ht="15" customHeight="1" x14ac:dyDescent="0.25">
      <c r="A59" s="113">
        <v>50</v>
      </c>
      <c r="B59" s="114" t="s">
        <v>76</v>
      </c>
      <c r="C59" s="115" t="s">
        <v>86</v>
      </c>
      <c r="D59" s="115" t="s">
        <v>86</v>
      </c>
      <c r="E59" s="134" t="s">
        <v>16</v>
      </c>
      <c r="F59" s="135">
        <v>125</v>
      </c>
      <c r="G59" s="135">
        <v>250</v>
      </c>
      <c r="H59" s="136">
        <v>30.09</v>
      </c>
      <c r="I59" s="136">
        <v>33.15</v>
      </c>
      <c r="J59" s="137" t="s">
        <v>17</v>
      </c>
      <c r="K59" s="158" t="s">
        <v>55</v>
      </c>
      <c r="L59" s="137" t="s">
        <v>18</v>
      </c>
      <c r="M59" s="123"/>
      <c r="N59" s="123"/>
      <c r="O59" s="121">
        <f t="shared" si="5"/>
        <v>0</v>
      </c>
      <c r="P59" s="122">
        <f t="shared" si="6"/>
        <v>0</v>
      </c>
      <c r="Q59" s="122">
        <f t="shared" si="7"/>
        <v>0</v>
      </c>
      <c r="R59" s="122">
        <f t="shared" si="8"/>
        <v>0</v>
      </c>
      <c r="S59" s="138">
        <v>1000</v>
      </c>
      <c r="T59" s="138">
        <v>2000</v>
      </c>
      <c r="U59" s="121">
        <f t="shared" si="9"/>
        <v>3000</v>
      </c>
      <c r="V59" s="122">
        <f t="shared" si="10"/>
        <v>30090</v>
      </c>
      <c r="W59" s="122">
        <f t="shared" si="11"/>
        <v>66300</v>
      </c>
      <c r="X59" s="122">
        <f t="shared" si="12"/>
        <v>96390</v>
      </c>
      <c r="Y59" s="133">
        <v>375</v>
      </c>
      <c r="Z59" s="133">
        <v>750</v>
      </c>
      <c r="AA59" s="121">
        <f t="shared" si="13"/>
        <v>1125</v>
      </c>
      <c r="AB59" s="122">
        <f t="shared" si="14"/>
        <v>11283.75</v>
      </c>
      <c r="AC59" s="122">
        <f t="shared" si="15"/>
        <v>24862.5</v>
      </c>
      <c r="AD59" s="122">
        <f t="shared" si="16"/>
        <v>36146.25</v>
      </c>
      <c r="AE59" s="133">
        <v>625</v>
      </c>
      <c r="AF59" s="133">
        <v>1250</v>
      </c>
      <c r="AG59" s="121">
        <f t="shared" si="17"/>
        <v>1875</v>
      </c>
      <c r="AH59" s="122">
        <f t="shared" si="18"/>
        <v>18806.25</v>
      </c>
      <c r="AI59" s="122">
        <f t="shared" si="19"/>
        <v>41437.5</v>
      </c>
      <c r="AJ59" s="122">
        <f t="shared" si="20"/>
        <v>60243.75</v>
      </c>
      <c r="AK59" s="133">
        <v>375</v>
      </c>
      <c r="AL59" s="138">
        <v>699</v>
      </c>
      <c r="AM59" s="121">
        <f t="shared" si="21"/>
        <v>1074</v>
      </c>
      <c r="AN59" s="122">
        <f t="shared" si="22"/>
        <v>11283.75</v>
      </c>
      <c r="AO59" s="122">
        <f t="shared" si="23"/>
        <v>23171.85</v>
      </c>
      <c r="AP59" s="122">
        <f t="shared" si="24"/>
        <v>34455.599999999999</v>
      </c>
      <c r="AQ59" s="124">
        <f t="shared" si="25"/>
        <v>2375</v>
      </c>
      <c r="AR59" s="125">
        <f t="shared" si="26"/>
        <v>4699</v>
      </c>
      <c r="AS59" s="126">
        <f t="shared" si="27"/>
        <v>7074</v>
      </c>
      <c r="AT59" s="127">
        <f t="shared" si="28"/>
        <v>71463.75</v>
      </c>
      <c r="AU59" s="128">
        <f t="shared" si="29"/>
        <v>155771.85</v>
      </c>
      <c r="AV59" s="129">
        <f t="shared" si="30"/>
        <v>227235.6</v>
      </c>
      <c r="AX59" s="34">
        <f t="shared" si="31"/>
        <v>227235.6</v>
      </c>
    </row>
    <row r="60" spans="1:69" s="33" customFormat="1" ht="15.75" customHeight="1" x14ac:dyDescent="0.25">
      <c r="A60" s="113">
        <v>51</v>
      </c>
      <c r="B60" s="155" t="s">
        <v>76</v>
      </c>
      <c r="C60" s="155" t="s">
        <v>87</v>
      </c>
      <c r="D60" s="155" t="s">
        <v>87</v>
      </c>
      <c r="E60" s="134" t="s">
        <v>16</v>
      </c>
      <c r="F60" s="135">
        <v>125</v>
      </c>
      <c r="G60" s="135">
        <v>225</v>
      </c>
      <c r="H60" s="136">
        <v>30.09</v>
      </c>
      <c r="I60" s="136">
        <v>33.15</v>
      </c>
      <c r="J60" s="137" t="s">
        <v>17</v>
      </c>
      <c r="K60" s="158" t="s">
        <v>55</v>
      </c>
      <c r="L60" s="137" t="s">
        <v>18</v>
      </c>
      <c r="M60" s="123"/>
      <c r="N60" s="123"/>
      <c r="O60" s="121">
        <f t="shared" si="5"/>
        <v>0</v>
      </c>
      <c r="P60" s="122">
        <f t="shared" si="6"/>
        <v>0</v>
      </c>
      <c r="Q60" s="122">
        <f t="shared" si="7"/>
        <v>0</v>
      </c>
      <c r="R60" s="122">
        <f t="shared" si="8"/>
        <v>0</v>
      </c>
      <c r="S60" s="138">
        <v>1080</v>
      </c>
      <c r="T60" s="139">
        <v>2025</v>
      </c>
      <c r="U60" s="121">
        <f t="shared" si="9"/>
        <v>3105</v>
      </c>
      <c r="V60" s="122">
        <f t="shared" si="10"/>
        <v>32497.200000000001</v>
      </c>
      <c r="W60" s="122">
        <f t="shared" si="11"/>
        <v>67128.75</v>
      </c>
      <c r="X60" s="122">
        <f t="shared" si="12"/>
        <v>99625.95</v>
      </c>
      <c r="Y60" s="133">
        <v>375</v>
      </c>
      <c r="Z60" s="133">
        <v>675</v>
      </c>
      <c r="AA60" s="121">
        <f t="shared" si="13"/>
        <v>1050</v>
      </c>
      <c r="AB60" s="122">
        <f t="shared" si="14"/>
        <v>11283.75</v>
      </c>
      <c r="AC60" s="122">
        <f t="shared" si="15"/>
        <v>22376.25</v>
      </c>
      <c r="AD60" s="122">
        <f t="shared" si="16"/>
        <v>33660</v>
      </c>
      <c r="AE60" s="133">
        <v>625</v>
      </c>
      <c r="AF60" s="133">
        <v>1125</v>
      </c>
      <c r="AG60" s="121">
        <f t="shared" si="17"/>
        <v>1750</v>
      </c>
      <c r="AH60" s="122">
        <f t="shared" si="18"/>
        <v>18806.25</v>
      </c>
      <c r="AI60" s="122">
        <f t="shared" si="19"/>
        <v>37293.75</v>
      </c>
      <c r="AJ60" s="122">
        <f t="shared" si="20"/>
        <v>56100</v>
      </c>
      <c r="AK60" s="133">
        <v>375</v>
      </c>
      <c r="AL60" s="133">
        <v>675</v>
      </c>
      <c r="AM60" s="121">
        <f t="shared" si="21"/>
        <v>1050</v>
      </c>
      <c r="AN60" s="122">
        <f t="shared" si="22"/>
        <v>11283.75</v>
      </c>
      <c r="AO60" s="122">
        <f t="shared" si="23"/>
        <v>22376.25</v>
      </c>
      <c r="AP60" s="122">
        <f t="shared" si="24"/>
        <v>33660</v>
      </c>
      <c r="AQ60" s="124">
        <f t="shared" si="25"/>
        <v>2455</v>
      </c>
      <c r="AR60" s="125">
        <f t="shared" si="26"/>
        <v>4500</v>
      </c>
      <c r="AS60" s="126">
        <f t="shared" si="27"/>
        <v>6955</v>
      </c>
      <c r="AT60" s="127">
        <f t="shared" si="28"/>
        <v>73870.95</v>
      </c>
      <c r="AU60" s="128">
        <f t="shared" si="29"/>
        <v>149175</v>
      </c>
      <c r="AV60" s="129">
        <f t="shared" si="30"/>
        <v>223045.95</v>
      </c>
      <c r="AX60" s="34">
        <f t="shared" si="31"/>
        <v>223045.95</v>
      </c>
    </row>
    <row r="61" spans="1:69" s="37" customFormat="1" ht="15" customHeight="1" x14ac:dyDescent="0.25">
      <c r="A61" s="113">
        <v>52</v>
      </c>
      <c r="B61" s="161" t="s">
        <v>76</v>
      </c>
      <c r="C61" s="162" t="s">
        <v>88</v>
      </c>
      <c r="D61" s="162" t="s">
        <v>88</v>
      </c>
      <c r="E61" s="116" t="s">
        <v>16</v>
      </c>
      <c r="F61" s="117">
        <v>100</v>
      </c>
      <c r="G61" s="117">
        <v>200</v>
      </c>
      <c r="H61" s="118">
        <v>30.09</v>
      </c>
      <c r="I61" s="118">
        <v>33.15</v>
      </c>
      <c r="J61" s="119" t="s">
        <v>17</v>
      </c>
      <c r="K61" s="120" t="s">
        <v>55</v>
      </c>
      <c r="L61" s="119" t="s">
        <v>18</v>
      </c>
      <c r="M61" s="121"/>
      <c r="N61" s="121"/>
      <c r="O61" s="121">
        <f t="shared" si="5"/>
        <v>0</v>
      </c>
      <c r="P61" s="122">
        <f t="shared" si="6"/>
        <v>0</v>
      </c>
      <c r="Q61" s="122">
        <f t="shared" si="7"/>
        <v>0</v>
      </c>
      <c r="R61" s="122">
        <f t="shared" si="8"/>
        <v>0</v>
      </c>
      <c r="S61" s="133">
        <v>400</v>
      </c>
      <c r="T61" s="133">
        <v>800</v>
      </c>
      <c r="U61" s="121">
        <f t="shared" si="9"/>
        <v>1200</v>
      </c>
      <c r="V61" s="122">
        <f t="shared" si="10"/>
        <v>12036</v>
      </c>
      <c r="W61" s="122">
        <f t="shared" si="11"/>
        <v>26520</v>
      </c>
      <c r="X61" s="122">
        <f t="shared" si="12"/>
        <v>38556</v>
      </c>
      <c r="Y61" s="133">
        <v>0</v>
      </c>
      <c r="Z61" s="133">
        <v>0</v>
      </c>
      <c r="AA61" s="121">
        <f t="shared" si="13"/>
        <v>0</v>
      </c>
      <c r="AB61" s="122">
        <f t="shared" si="14"/>
        <v>0</v>
      </c>
      <c r="AC61" s="122">
        <f t="shared" si="15"/>
        <v>0</v>
      </c>
      <c r="AD61" s="122">
        <f t="shared" si="16"/>
        <v>0</v>
      </c>
      <c r="AE61" s="133">
        <v>0</v>
      </c>
      <c r="AF61" s="133">
        <v>0</v>
      </c>
      <c r="AG61" s="121">
        <f t="shared" si="17"/>
        <v>0</v>
      </c>
      <c r="AH61" s="122">
        <f t="shared" si="18"/>
        <v>0</v>
      </c>
      <c r="AI61" s="122">
        <f t="shared" si="19"/>
        <v>0</v>
      </c>
      <c r="AJ61" s="122">
        <f t="shared" si="20"/>
        <v>0</v>
      </c>
      <c r="AK61" s="133">
        <v>0</v>
      </c>
      <c r="AL61" s="133">
        <v>0</v>
      </c>
      <c r="AM61" s="121">
        <f t="shared" si="21"/>
        <v>0</v>
      </c>
      <c r="AN61" s="122">
        <f t="shared" si="22"/>
        <v>0</v>
      </c>
      <c r="AO61" s="122">
        <f t="shared" si="23"/>
        <v>0</v>
      </c>
      <c r="AP61" s="122">
        <f t="shared" si="24"/>
        <v>0</v>
      </c>
      <c r="AQ61" s="124">
        <f t="shared" si="25"/>
        <v>400</v>
      </c>
      <c r="AR61" s="125">
        <f t="shared" si="26"/>
        <v>800</v>
      </c>
      <c r="AS61" s="126">
        <f t="shared" si="27"/>
        <v>1200</v>
      </c>
      <c r="AT61" s="127">
        <f t="shared" si="28"/>
        <v>12036</v>
      </c>
      <c r="AU61" s="128">
        <f t="shared" si="29"/>
        <v>26520</v>
      </c>
      <c r="AV61" s="129">
        <f t="shared" si="30"/>
        <v>38556</v>
      </c>
      <c r="AW61" s="33"/>
      <c r="AX61" s="34">
        <f t="shared" si="31"/>
        <v>38556</v>
      </c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</row>
    <row r="62" spans="1:69" s="33" customFormat="1" ht="15" customHeight="1" x14ac:dyDescent="0.25">
      <c r="A62" s="113">
        <v>53</v>
      </c>
      <c r="B62" s="149" t="s">
        <v>89</v>
      </c>
      <c r="C62" s="153" t="s">
        <v>89</v>
      </c>
      <c r="D62" s="153" t="s">
        <v>90</v>
      </c>
      <c r="E62" s="116" t="s">
        <v>32</v>
      </c>
      <c r="F62" s="117">
        <v>100</v>
      </c>
      <c r="G62" s="117">
        <v>150</v>
      </c>
      <c r="H62" s="118">
        <v>29.5</v>
      </c>
      <c r="I62" s="118">
        <v>32.5</v>
      </c>
      <c r="J62" s="119" t="s">
        <v>17</v>
      </c>
      <c r="K62" s="119" t="s">
        <v>91</v>
      </c>
      <c r="L62" s="119" t="s">
        <v>18</v>
      </c>
      <c r="M62" s="121"/>
      <c r="N62" s="121"/>
      <c r="O62" s="121">
        <f t="shared" si="5"/>
        <v>0</v>
      </c>
      <c r="P62" s="122">
        <f t="shared" si="6"/>
        <v>0</v>
      </c>
      <c r="Q62" s="122">
        <f t="shared" si="7"/>
        <v>0</v>
      </c>
      <c r="R62" s="122">
        <f t="shared" si="8"/>
        <v>0</v>
      </c>
      <c r="S62" s="133">
        <v>900</v>
      </c>
      <c r="T62" s="133">
        <v>1350</v>
      </c>
      <c r="U62" s="121">
        <f t="shared" si="9"/>
        <v>2250</v>
      </c>
      <c r="V62" s="122">
        <f t="shared" si="10"/>
        <v>26550</v>
      </c>
      <c r="W62" s="122">
        <f t="shared" si="11"/>
        <v>43875</v>
      </c>
      <c r="X62" s="122">
        <f t="shared" si="12"/>
        <v>70425</v>
      </c>
      <c r="Y62" s="133">
        <v>300</v>
      </c>
      <c r="Z62" s="133">
        <v>450</v>
      </c>
      <c r="AA62" s="121">
        <f t="shared" si="13"/>
        <v>750</v>
      </c>
      <c r="AB62" s="122">
        <f t="shared" si="14"/>
        <v>8850</v>
      </c>
      <c r="AC62" s="122">
        <f t="shared" si="15"/>
        <v>14625</v>
      </c>
      <c r="AD62" s="122">
        <f t="shared" si="16"/>
        <v>23475</v>
      </c>
      <c r="AE62" s="133">
        <v>500</v>
      </c>
      <c r="AF62" s="133">
        <v>750</v>
      </c>
      <c r="AG62" s="121">
        <f t="shared" si="17"/>
        <v>1250</v>
      </c>
      <c r="AH62" s="122">
        <f t="shared" si="18"/>
        <v>14750</v>
      </c>
      <c r="AI62" s="122">
        <f t="shared" si="19"/>
        <v>24375</v>
      </c>
      <c r="AJ62" s="122">
        <f t="shared" si="20"/>
        <v>39125</v>
      </c>
      <c r="AK62" s="133">
        <v>300</v>
      </c>
      <c r="AL62" s="133">
        <v>450</v>
      </c>
      <c r="AM62" s="121">
        <f t="shared" si="21"/>
        <v>750</v>
      </c>
      <c r="AN62" s="122">
        <f t="shared" si="22"/>
        <v>8850</v>
      </c>
      <c r="AO62" s="122">
        <f t="shared" si="23"/>
        <v>14625</v>
      </c>
      <c r="AP62" s="122">
        <f t="shared" si="24"/>
        <v>23475</v>
      </c>
      <c r="AQ62" s="124">
        <f t="shared" si="25"/>
        <v>2000</v>
      </c>
      <c r="AR62" s="125">
        <f t="shared" si="26"/>
        <v>3000</v>
      </c>
      <c r="AS62" s="126">
        <f t="shared" si="27"/>
        <v>5000</v>
      </c>
      <c r="AT62" s="127">
        <f t="shared" si="28"/>
        <v>59000</v>
      </c>
      <c r="AU62" s="128">
        <f t="shared" si="29"/>
        <v>97500</v>
      </c>
      <c r="AV62" s="129">
        <f t="shared" si="30"/>
        <v>156500</v>
      </c>
      <c r="AX62" s="34">
        <f t="shared" si="31"/>
        <v>156500</v>
      </c>
    </row>
    <row r="63" spans="1:69" s="33" customFormat="1" ht="15" customHeight="1" x14ac:dyDescent="0.25">
      <c r="A63" s="113">
        <v>54</v>
      </c>
      <c r="B63" s="130" t="s">
        <v>89</v>
      </c>
      <c r="C63" s="131" t="s">
        <v>89</v>
      </c>
      <c r="D63" s="131" t="s">
        <v>92</v>
      </c>
      <c r="E63" s="116" t="s">
        <v>16</v>
      </c>
      <c r="F63" s="117">
        <v>175</v>
      </c>
      <c r="G63" s="117">
        <v>300</v>
      </c>
      <c r="H63" s="118">
        <v>26</v>
      </c>
      <c r="I63" s="118">
        <v>27.5</v>
      </c>
      <c r="J63" s="119" t="s">
        <v>23</v>
      </c>
      <c r="K63" s="119" t="s">
        <v>93</v>
      </c>
      <c r="L63" s="119" t="s">
        <v>48</v>
      </c>
      <c r="M63" s="121"/>
      <c r="N63" s="121"/>
      <c r="O63" s="121">
        <f t="shared" si="5"/>
        <v>0</v>
      </c>
      <c r="P63" s="122">
        <f t="shared" si="6"/>
        <v>0</v>
      </c>
      <c r="Q63" s="122">
        <f t="shared" si="7"/>
        <v>0</v>
      </c>
      <c r="R63" s="122">
        <f t="shared" si="8"/>
        <v>0</v>
      </c>
      <c r="S63" s="133">
        <v>1575</v>
      </c>
      <c r="T63" s="133">
        <v>3590</v>
      </c>
      <c r="U63" s="121">
        <f t="shared" si="9"/>
        <v>5165</v>
      </c>
      <c r="V63" s="122">
        <f t="shared" si="10"/>
        <v>40950</v>
      </c>
      <c r="W63" s="122">
        <f t="shared" si="11"/>
        <v>98725</v>
      </c>
      <c r="X63" s="122">
        <f t="shared" si="12"/>
        <v>139675</v>
      </c>
      <c r="Y63" s="133">
        <v>525</v>
      </c>
      <c r="Z63" s="133">
        <v>1230</v>
      </c>
      <c r="AA63" s="121">
        <f t="shared" si="13"/>
        <v>1755</v>
      </c>
      <c r="AB63" s="122">
        <f t="shared" si="14"/>
        <v>13650</v>
      </c>
      <c r="AC63" s="122">
        <f t="shared" si="15"/>
        <v>33825</v>
      </c>
      <c r="AD63" s="122">
        <f t="shared" si="16"/>
        <v>47475</v>
      </c>
      <c r="AE63" s="133">
        <v>875</v>
      </c>
      <c r="AF63" s="133">
        <v>2075</v>
      </c>
      <c r="AG63" s="121">
        <f t="shared" si="17"/>
        <v>2950</v>
      </c>
      <c r="AH63" s="122">
        <f t="shared" si="18"/>
        <v>22750</v>
      </c>
      <c r="AI63" s="122">
        <f t="shared" si="19"/>
        <v>57062.5</v>
      </c>
      <c r="AJ63" s="122">
        <f t="shared" si="20"/>
        <v>79812.5</v>
      </c>
      <c r="AK63" s="133">
        <v>525</v>
      </c>
      <c r="AL63" s="133">
        <v>1150</v>
      </c>
      <c r="AM63" s="121">
        <f t="shared" si="21"/>
        <v>1675</v>
      </c>
      <c r="AN63" s="122">
        <f t="shared" si="22"/>
        <v>13650</v>
      </c>
      <c r="AO63" s="122">
        <f t="shared" si="23"/>
        <v>31625</v>
      </c>
      <c r="AP63" s="122">
        <f t="shared" si="24"/>
        <v>45275</v>
      </c>
      <c r="AQ63" s="124">
        <f t="shared" si="25"/>
        <v>3500</v>
      </c>
      <c r="AR63" s="125">
        <f t="shared" si="26"/>
        <v>8045</v>
      </c>
      <c r="AS63" s="126">
        <f t="shared" si="27"/>
        <v>11545</v>
      </c>
      <c r="AT63" s="127">
        <f t="shared" si="28"/>
        <v>91000</v>
      </c>
      <c r="AU63" s="128">
        <f t="shared" si="29"/>
        <v>221237.5</v>
      </c>
      <c r="AV63" s="129">
        <f t="shared" si="30"/>
        <v>312237.5</v>
      </c>
      <c r="AX63" s="34">
        <f t="shared" si="31"/>
        <v>312237.5</v>
      </c>
    </row>
    <row r="64" spans="1:69" s="33" customFormat="1" ht="15" customHeight="1" x14ac:dyDescent="0.25">
      <c r="A64" s="113">
        <v>55</v>
      </c>
      <c r="B64" s="149" t="s">
        <v>89</v>
      </c>
      <c r="C64" s="153" t="s">
        <v>89</v>
      </c>
      <c r="D64" s="153" t="s">
        <v>94</v>
      </c>
      <c r="E64" s="116" t="s">
        <v>32</v>
      </c>
      <c r="F64" s="117">
        <v>15</v>
      </c>
      <c r="G64" s="117">
        <v>20</v>
      </c>
      <c r="H64" s="118">
        <v>26</v>
      </c>
      <c r="I64" s="118">
        <v>27.5</v>
      </c>
      <c r="J64" s="119" t="s">
        <v>23</v>
      </c>
      <c r="K64" s="119" t="s">
        <v>93</v>
      </c>
      <c r="L64" s="119" t="s">
        <v>48</v>
      </c>
      <c r="M64" s="121"/>
      <c r="N64" s="121"/>
      <c r="O64" s="121">
        <f t="shared" si="5"/>
        <v>0</v>
      </c>
      <c r="P64" s="122">
        <f t="shared" si="6"/>
        <v>0</v>
      </c>
      <c r="Q64" s="122">
        <f t="shared" si="7"/>
        <v>0</v>
      </c>
      <c r="R64" s="122">
        <f t="shared" si="8"/>
        <v>0</v>
      </c>
      <c r="S64" s="133">
        <v>135</v>
      </c>
      <c r="T64" s="133">
        <v>180</v>
      </c>
      <c r="U64" s="121">
        <f t="shared" si="9"/>
        <v>315</v>
      </c>
      <c r="V64" s="122">
        <f t="shared" si="10"/>
        <v>3510</v>
      </c>
      <c r="W64" s="122">
        <f t="shared" si="11"/>
        <v>4950</v>
      </c>
      <c r="X64" s="122">
        <f t="shared" si="12"/>
        <v>8460</v>
      </c>
      <c r="Y64" s="133">
        <v>45</v>
      </c>
      <c r="Z64" s="133">
        <v>60</v>
      </c>
      <c r="AA64" s="121">
        <f t="shared" si="13"/>
        <v>105</v>
      </c>
      <c r="AB64" s="122">
        <f t="shared" si="14"/>
        <v>1170</v>
      </c>
      <c r="AC64" s="122">
        <f t="shared" si="15"/>
        <v>1650</v>
      </c>
      <c r="AD64" s="122">
        <f t="shared" si="16"/>
        <v>2820</v>
      </c>
      <c r="AE64" s="133">
        <v>75</v>
      </c>
      <c r="AF64" s="133">
        <v>100</v>
      </c>
      <c r="AG64" s="121">
        <f t="shared" si="17"/>
        <v>175</v>
      </c>
      <c r="AH64" s="122">
        <f t="shared" si="18"/>
        <v>1950</v>
      </c>
      <c r="AI64" s="122">
        <f t="shared" si="19"/>
        <v>2750</v>
      </c>
      <c r="AJ64" s="122">
        <f t="shared" si="20"/>
        <v>4700</v>
      </c>
      <c r="AK64" s="133">
        <v>45</v>
      </c>
      <c r="AL64" s="133">
        <v>60</v>
      </c>
      <c r="AM64" s="121">
        <f t="shared" si="21"/>
        <v>105</v>
      </c>
      <c r="AN64" s="122">
        <f t="shared" si="22"/>
        <v>1170</v>
      </c>
      <c r="AO64" s="122">
        <f t="shared" si="23"/>
        <v>1650</v>
      </c>
      <c r="AP64" s="122">
        <f t="shared" si="24"/>
        <v>2820</v>
      </c>
      <c r="AQ64" s="124">
        <f t="shared" si="25"/>
        <v>300</v>
      </c>
      <c r="AR64" s="125">
        <f t="shared" si="26"/>
        <v>400</v>
      </c>
      <c r="AS64" s="126">
        <f t="shared" si="27"/>
        <v>700</v>
      </c>
      <c r="AT64" s="127">
        <f t="shared" si="28"/>
        <v>7800</v>
      </c>
      <c r="AU64" s="128">
        <f t="shared" si="29"/>
        <v>11000</v>
      </c>
      <c r="AV64" s="129">
        <f t="shared" si="30"/>
        <v>18800</v>
      </c>
      <c r="AX64" s="34">
        <f t="shared" si="31"/>
        <v>18800</v>
      </c>
    </row>
    <row r="65" spans="1:69" s="33" customFormat="1" ht="15" customHeight="1" x14ac:dyDescent="0.25">
      <c r="A65" s="113">
        <v>56</v>
      </c>
      <c r="B65" s="149" t="s">
        <v>89</v>
      </c>
      <c r="C65" s="153" t="s">
        <v>89</v>
      </c>
      <c r="D65" s="153" t="s">
        <v>95</v>
      </c>
      <c r="E65" s="116" t="s">
        <v>32</v>
      </c>
      <c r="F65" s="117">
        <v>30</v>
      </c>
      <c r="G65" s="117">
        <v>30</v>
      </c>
      <c r="H65" s="118">
        <v>26</v>
      </c>
      <c r="I65" s="118">
        <v>27.5</v>
      </c>
      <c r="J65" s="119" t="s">
        <v>23</v>
      </c>
      <c r="K65" s="119" t="s">
        <v>93</v>
      </c>
      <c r="L65" s="119" t="s">
        <v>48</v>
      </c>
      <c r="M65" s="121"/>
      <c r="N65" s="121"/>
      <c r="O65" s="121">
        <f t="shared" si="5"/>
        <v>0</v>
      </c>
      <c r="P65" s="122">
        <f t="shared" si="6"/>
        <v>0</v>
      </c>
      <c r="Q65" s="122">
        <f t="shared" si="7"/>
        <v>0</v>
      </c>
      <c r="R65" s="122">
        <f t="shared" si="8"/>
        <v>0</v>
      </c>
      <c r="S65" s="133">
        <v>270</v>
      </c>
      <c r="T65" s="133">
        <v>270</v>
      </c>
      <c r="U65" s="121">
        <f t="shared" si="9"/>
        <v>540</v>
      </c>
      <c r="V65" s="122">
        <f t="shared" si="10"/>
        <v>7020</v>
      </c>
      <c r="W65" s="122">
        <f t="shared" si="11"/>
        <v>7425</v>
      </c>
      <c r="X65" s="122">
        <f t="shared" si="12"/>
        <v>14445</v>
      </c>
      <c r="Y65" s="133">
        <v>90</v>
      </c>
      <c r="Z65" s="133">
        <v>90</v>
      </c>
      <c r="AA65" s="121">
        <f t="shared" si="13"/>
        <v>180</v>
      </c>
      <c r="AB65" s="122">
        <f t="shared" si="14"/>
        <v>2340</v>
      </c>
      <c r="AC65" s="122">
        <f t="shared" si="15"/>
        <v>2475</v>
      </c>
      <c r="AD65" s="122">
        <f t="shared" si="16"/>
        <v>4815</v>
      </c>
      <c r="AE65" s="133">
        <v>150</v>
      </c>
      <c r="AF65" s="133">
        <v>150</v>
      </c>
      <c r="AG65" s="121">
        <f t="shared" si="17"/>
        <v>300</v>
      </c>
      <c r="AH65" s="122">
        <f t="shared" si="18"/>
        <v>3900</v>
      </c>
      <c r="AI65" s="122">
        <f t="shared" si="19"/>
        <v>4125</v>
      </c>
      <c r="AJ65" s="122">
        <f t="shared" si="20"/>
        <v>8025</v>
      </c>
      <c r="AK65" s="133">
        <v>90</v>
      </c>
      <c r="AL65" s="133">
        <v>90</v>
      </c>
      <c r="AM65" s="121">
        <f t="shared" si="21"/>
        <v>180</v>
      </c>
      <c r="AN65" s="122">
        <f t="shared" si="22"/>
        <v>2340</v>
      </c>
      <c r="AO65" s="122">
        <f t="shared" si="23"/>
        <v>2475</v>
      </c>
      <c r="AP65" s="122">
        <f t="shared" si="24"/>
        <v>4815</v>
      </c>
      <c r="AQ65" s="124">
        <f t="shared" si="25"/>
        <v>600</v>
      </c>
      <c r="AR65" s="125">
        <f t="shared" si="26"/>
        <v>600</v>
      </c>
      <c r="AS65" s="126">
        <f t="shared" si="27"/>
        <v>1200</v>
      </c>
      <c r="AT65" s="127">
        <f t="shared" si="28"/>
        <v>15600</v>
      </c>
      <c r="AU65" s="128">
        <f t="shared" si="29"/>
        <v>16500</v>
      </c>
      <c r="AV65" s="129">
        <f t="shared" si="30"/>
        <v>32100</v>
      </c>
      <c r="AX65" s="34">
        <f t="shared" si="31"/>
        <v>32100</v>
      </c>
    </row>
    <row r="66" spans="1:69" s="33" customFormat="1" ht="15" customHeight="1" x14ac:dyDescent="0.25">
      <c r="A66" s="113">
        <v>57</v>
      </c>
      <c r="B66" s="149" t="s">
        <v>89</v>
      </c>
      <c r="C66" s="153" t="s">
        <v>89</v>
      </c>
      <c r="D66" s="153" t="s">
        <v>96</v>
      </c>
      <c r="E66" s="116" t="s">
        <v>16</v>
      </c>
      <c r="F66" s="117">
        <v>250</v>
      </c>
      <c r="G66" s="117">
        <v>375</v>
      </c>
      <c r="H66" s="118">
        <v>26</v>
      </c>
      <c r="I66" s="118">
        <v>27.5</v>
      </c>
      <c r="J66" s="119" t="s">
        <v>23</v>
      </c>
      <c r="K66" s="119" t="s">
        <v>93</v>
      </c>
      <c r="L66" s="119" t="s">
        <v>48</v>
      </c>
      <c r="M66" s="121"/>
      <c r="N66" s="121"/>
      <c r="O66" s="121">
        <f t="shared" si="5"/>
        <v>0</v>
      </c>
      <c r="P66" s="122">
        <f t="shared" si="6"/>
        <v>0</v>
      </c>
      <c r="Q66" s="122">
        <f t="shared" si="7"/>
        <v>0</v>
      </c>
      <c r="R66" s="122">
        <f t="shared" si="8"/>
        <v>0</v>
      </c>
      <c r="S66" s="133">
        <v>2250</v>
      </c>
      <c r="T66" s="133">
        <v>3375</v>
      </c>
      <c r="U66" s="121">
        <f t="shared" si="9"/>
        <v>5625</v>
      </c>
      <c r="V66" s="122">
        <f t="shared" si="10"/>
        <v>58500</v>
      </c>
      <c r="W66" s="122">
        <f t="shared" si="11"/>
        <v>92812.5</v>
      </c>
      <c r="X66" s="122">
        <f t="shared" si="12"/>
        <v>151312.5</v>
      </c>
      <c r="Y66" s="133">
        <v>750</v>
      </c>
      <c r="Z66" s="133">
        <v>1125</v>
      </c>
      <c r="AA66" s="121">
        <f t="shared" si="13"/>
        <v>1875</v>
      </c>
      <c r="AB66" s="122">
        <f t="shared" si="14"/>
        <v>19500</v>
      </c>
      <c r="AC66" s="122">
        <f t="shared" si="15"/>
        <v>30937.5</v>
      </c>
      <c r="AD66" s="122">
        <f t="shared" si="16"/>
        <v>50437.5</v>
      </c>
      <c r="AE66" s="133">
        <v>1250</v>
      </c>
      <c r="AF66" s="133">
        <v>1875</v>
      </c>
      <c r="AG66" s="121">
        <f t="shared" si="17"/>
        <v>3125</v>
      </c>
      <c r="AH66" s="122">
        <f t="shared" si="18"/>
        <v>32500</v>
      </c>
      <c r="AI66" s="122">
        <f t="shared" si="19"/>
        <v>51562.5</v>
      </c>
      <c r="AJ66" s="122">
        <f t="shared" si="20"/>
        <v>84062.5</v>
      </c>
      <c r="AK66" s="133">
        <v>750</v>
      </c>
      <c r="AL66" s="133">
        <v>1125</v>
      </c>
      <c r="AM66" s="121">
        <f t="shared" si="21"/>
        <v>1875</v>
      </c>
      <c r="AN66" s="122">
        <f t="shared" si="22"/>
        <v>19500</v>
      </c>
      <c r="AO66" s="122">
        <f t="shared" si="23"/>
        <v>30937.5</v>
      </c>
      <c r="AP66" s="122">
        <f t="shared" si="24"/>
        <v>50437.5</v>
      </c>
      <c r="AQ66" s="124">
        <f t="shared" si="25"/>
        <v>5000</v>
      </c>
      <c r="AR66" s="125">
        <f t="shared" si="26"/>
        <v>7500</v>
      </c>
      <c r="AS66" s="126">
        <f t="shared" si="27"/>
        <v>12500</v>
      </c>
      <c r="AT66" s="127">
        <f t="shared" si="28"/>
        <v>130000</v>
      </c>
      <c r="AU66" s="128">
        <f t="shared" si="29"/>
        <v>206250</v>
      </c>
      <c r="AV66" s="129">
        <f t="shared" si="30"/>
        <v>336250</v>
      </c>
      <c r="AX66" s="34">
        <f t="shared" si="31"/>
        <v>336250</v>
      </c>
    </row>
    <row r="67" spans="1:69" s="33" customFormat="1" ht="15" customHeight="1" x14ac:dyDescent="0.25">
      <c r="A67" s="113">
        <v>58</v>
      </c>
      <c r="B67" s="149" t="s">
        <v>89</v>
      </c>
      <c r="C67" s="153" t="s">
        <v>89</v>
      </c>
      <c r="D67" s="153" t="s">
        <v>97</v>
      </c>
      <c r="E67" s="116" t="s">
        <v>32</v>
      </c>
      <c r="F67" s="117">
        <v>90</v>
      </c>
      <c r="G67" s="117">
        <v>100</v>
      </c>
      <c r="H67" s="118">
        <v>26</v>
      </c>
      <c r="I67" s="118">
        <v>27.5</v>
      </c>
      <c r="J67" s="119" t="s">
        <v>23</v>
      </c>
      <c r="K67" s="119" t="s">
        <v>93</v>
      </c>
      <c r="L67" s="119" t="s">
        <v>48</v>
      </c>
      <c r="M67" s="121"/>
      <c r="N67" s="121"/>
      <c r="O67" s="121">
        <f t="shared" si="5"/>
        <v>0</v>
      </c>
      <c r="P67" s="122">
        <f t="shared" si="6"/>
        <v>0</v>
      </c>
      <c r="Q67" s="122">
        <f t="shared" si="7"/>
        <v>0</v>
      </c>
      <c r="R67" s="122">
        <f t="shared" si="8"/>
        <v>0</v>
      </c>
      <c r="S67" s="133">
        <v>810</v>
      </c>
      <c r="T67" s="133">
        <v>900</v>
      </c>
      <c r="U67" s="121">
        <f t="shared" si="9"/>
        <v>1710</v>
      </c>
      <c r="V67" s="122">
        <f t="shared" si="10"/>
        <v>21060</v>
      </c>
      <c r="W67" s="122">
        <f t="shared" si="11"/>
        <v>24750</v>
      </c>
      <c r="X67" s="122">
        <f t="shared" si="12"/>
        <v>45810</v>
      </c>
      <c r="Y67" s="139">
        <v>270</v>
      </c>
      <c r="Z67" s="139">
        <v>300</v>
      </c>
      <c r="AA67" s="121">
        <f t="shared" si="13"/>
        <v>570</v>
      </c>
      <c r="AB67" s="122">
        <f t="shared" si="14"/>
        <v>7020</v>
      </c>
      <c r="AC67" s="122">
        <f t="shared" si="15"/>
        <v>8250</v>
      </c>
      <c r="AD67" s="122">
        <f t="shared" si="16"/>
        <v>15270</v>
      </c>
      <c r="AE67" s="133">
        <v>450</v>
      </c>
      <c r="AF67" s="133">
        <v>500</v>
      </c>
      <c r="AG67" s="121">
        <f t="shared" si="17"/>
        <v>950</v>
      </c>
      <c r="AH67" s="122">
        <f t="shared" si="18"/>
        <v>11700</v>
      </c>
      <c r="AI67" s="122">
        <f t="shared" si="19"/>
        <v>13750</v>
      </c>
      <c r="AJ67" s="122">
        <f t="shared" si="20"/>
        <v>25450</v>
      </c>
      <c r="AK67" s="133">
        <v>270</v>
      </c>
      <c r="AL67" s="133">
        <v>300</v>
      </c>
      <c r="AM67" s="121">
        <f t="shared" si="21"/>
        <v>570</v>
      </c>
      <c r="AN67" s="122">
        <f t="shared" si="22"/>
        <v>7020</v>
      </c>
      <c r="AO67" s="122">
        <f t="shared" si="23"/>
        <v>8250</v>
      </c>
      <c r="AP67" s="122">
        <f t="shared" si="24"/>
        <v>15270</v>
      </c>
      <c r="AQ67" s="124">
        <f t="shared" si="25"/>
        <v>1800</v>
      </c>
      <c r="AR67" s="125">
        <f t="shared" si="26"/>
        <v>2000</v>
      </c>
      <c r="AS67" s="126">
        <f t="shared" si="27"/>
        <v>3800</v>
      </c>
      <c r="AT67" s="127">
        <f t="shared" si="28"/>
        <v>46800</v>
      </c>
      <c r="AU67" s="128">
        <f t="shared" si="29"/>
        <v>55000</v>
      </c>
      <c r="AV67" s="129">
        <f t="shared" si="30"/>
        <v>101800</v>
      </c>
      <c r="AX67" s="34">
        <f t="shared" si="31"/>
        <v>101800</v>
      </c>
    </row>
    <row r="68" spans="1:69" s="33" customFormat="1" ht="15" customHeight="1" x14ac:dyDescent="0.25">
      <c r="A68" s="113">
        <v>59</v>
      </c>
      <c r="B68" s="149" t="s">
        <v>89</v>
      </c>
      <c r="C68" s="153" t="s">
        <v>89</v>
      </c>
      <c r="D68" s="153" t="s">
        <v>98</v>
      </c>
      <c r="E68" s="116" t="s">
        <v>32</v>
      </c>
      <c r="F68" s="117">
        <v>125</v>
      </c>
      <c r="G68" s="117">
        <v>200</v>
      </c>
      <c r="H68" s="118">
        <v>26</v>
      </c>
      <c r="I68" s="118">
        <v>27.5</v>
      </c>
      <c r="J68" s="119" t="s">
        <v>23</v>
      </c>
      <c r="K68" s="119" t="s">
        <v>93</v>
      </c>
      <c r="L68" s="119" t="s">
        <v>48</v>
      </c>
      <c r="M68" s="121"/>
      <c r="N68" s="121"/>
      <c r="O68" s="121">
        <f t="shared" si="5"/>
        <v>0</v>
      </c>
      <c r="P68" s="122">
        <f t="shared" si="6"/>
        <v>0</v>
      </c>
      <c r="Q68" s="122">
        <f t="shared" si="7"/>
        <v>0</v>
      </c>
      <c r="R68" s="122">
        <f t="shared" si="8"/>
        <v>0</v>
      </c>
      <c r="S68" s="133">
        <v>1125</v>
      </c>
      <c r="T68" s="133">
        <v>1800</v>
      </c>
      <c r="U68" s="121">
        <f t="shared" si="9"/>
        <v>2925</v>
      </c>
      <c r="V68" s="122">
        <f t="shared" si="10"/>
        <v>29250</v>
      </c>
      <c r="W68" s="122">
        <f t="shared" si="11"/>
        <v>49500</v>
      </c>
      <c r="X68" s="122">
        <f t="shared" si="12"/>
        <v>78750</v>
      </c>
      <c r="Y68" s="133">
        <v>375</v>
      </c>
      <c r="Z68" s="133">
        <v>600</v>
      </c>
      <c r="AA68" s="121">
        <f t="shared" si="13"/>
        <v>975</v>
      </c>
      <c r="AB68" s="122">
        <f t="shared" si="14"/>
        <v>9750</v>
      </c>
      <c r="AC68" s="122">
        <f t="shared" si="15"/>
        <v>16500</v>
      </c>
      <c r="AD68" s="122">
        <f t="shared" si="16"/>
        <v>26250</v>
      </c>
      <c r="AE68" s="133">
        <v>625</v>
      </c>
      <c r="AF68" s="133">
        <v>1000</v>
      </c>
      <c r="AG68" s="121">
        <f t="shared" si="17"/>
        <v>1625</v>
      </c>
      <c r="AH68" s="122">
        <f t="shared" si="18"/>
        <v>16250</v>
      </c>
      <c r="AI68" s="122">
        <f t="shared" si="19"/>
        <v>27500</v>
      </c>
      <c r="AJ68" s="122">
        <f t="shared" si="20"/>
        <v>43750</v>
      </c>
      <c r="AK68" s="133">
        <v>375</v>
      </c>
      <c r="AL68" s="133">
        <v>600</v>
      </c>
      <c r="AM68" s="121">
        <f t="shared" si="21"/>
        <v>975</v>
      </c>
      <c r="AN68" s="122">
        <f t="shared" si="22"/>
        <v>9750</v>
      </c>
      <c r="AO68" s="122">
        <f t="shared" si="23"/>
        <v>16500</v>
      </c>
      <c r="AP68" s="122">
        <f t="shared" si="24"/>
        <v>26250</v>
      </c>
      <c r="AQ68" s="124">
        <f t="shared" si="25"/>
        <v>2500</v>
      </c>
      <c r="AR68" s="125">
        <f t="shared" si="26"/>
        <v>4000</v>
      </c>
      <c r="AS68" s="126">
        <f t="shared" si="27"/>
        <v>6500</v>
      </c>
      <c r="AT68" s="127">
        <f t="shared" si="28"/>
        <v>65000</v>
      </c>
      <c r="AU68" s="128">
        <f t="shared" si="29"/>
        <v>110000</v>
      </c>
      <c r="AV68" s="129">
        <f t="shared" si="30"/>
        <v>175000</v>
      </c>
      <c r="AX68" s="34">
        <f t="shared" si="31"/>
        <v>175000</v>
      </c>
    </row>
    <row r="69" spans="1:69" s="33" customFormat="1" ht="15" customHeight="1" x14ac:dyDescent="0.25">
      <c r="A69" s="113">
        <v>60</v>
      </c>
      <c r="B69" s="149" t="s">
        <v>89</v>
      </c>
      <c r="C69" s="153" t="s">
        <v>99</v>
      </c>
      <c r="D69" s="153" t="s">
        <v>99</v>
      </c>
      <c r="E69" s="116" t="s">
        <v>32</v>
      </c>
      <c r="F69" s="117">
        <v>150</v>
      </c>
      <c r="G69" s="117">
        <v>200</v>
      </c>
      <c r="H69" s="118">
        <v>29.5</v>
      </c>
      <c r="I69" s="118">
        <v>32.5</v>
      </c>
      <c r="J69" s="119" t="s">
        <v>17</v>
      </c>
      <c r="K69" s="119" t="s">
        <v>91</v>
      </c>
      <c r="L69" s="119" t="s">
        <v>18</v>
      </c>
      <c r="M69" s="121"/>
      <c r="N69" s="121"/>
      <c r="O69" s="121">
        <f t="shared" si="5"/>
        <v>0</v>
      </c>
      <c r="P69" s="122">
        <f t="shared" si="6"/>
        <v>0</v>
      </c>
      <c r="Q69" s="122">
        <f t="shared" si="7"/>
        <v>0</v>
      </c>
      <c r="R69" s="122">
        <f t="shared" si="8"/>
        <v>0</v>
      </c>
      <c r="S69" s="133">
        <v>1350</v>
      </c>
      <c r="T69" s="133">
        <v>1800</v>
      </c>
      <c r="U69" s="121">
        <f t="shared" si="9"/>
        <v>3150</v>
      </c>
      <c r="V69" s="122">
        <f t="shared" si="10"/>
        <v>39825</v>
      </c>
      <c r="W69" s="122">
        <f t="shared" si="11"/>
        <v>58500</v>
      </c>
      <c r="X69" s="122">
        <f t="shared" si="12"/>
        <v>98325</v>
      </c>
      <c r="Y69" s="133">
        <v>450</v>
      </c>
      <c r="Z69" s="133">
        <v>600</v>
      </c>
      <c r="AA69" s="121">
        <f t="shared" si="13"/>
        <v>1050</v>
      </c>
      <c r="AB69" s="122">
        <f t="shared" si="14"/>
        <v>13275</v>
      </c>
      <c r="AC69" s="122">
        <f t="shared" si="15"/>
        <v>19500</v>
      </c>
      <c r="AD69" s="122">
        <f t="shared" si="16"/>
        <v>32775</v>
      </c>
      <c r="AE69" s="133">
        <v>750</v>
      </c>
      <c r="AF69" s="133">
        <v>1000</v>
      </c>
      <c r="AG69" s="121">
        <f t="shared" si="17"/>
        <v>1750</v>
      </c>
      <c r="AH69" s="122">
        <f t="shared" si="18"/>
        <v>22125</v>
      </c>
      <c r="AI69" s="122">
        <f t="shared" si="19"/>
        <v>32500</v>
      </c>
      <c r="AJ69" s="122">
        <f t="shared" si="20"/>
        <v>54625</v>
      </c>
      <c r="AK69" s="133">
        <v>450</v>
      </c>
      <c r="AL69" s="133">
        <v>600</v>
      </c>
      <c r="AM69" s="121">
        <f t="shared" si="21"/>
        <v>1050</v>
      </c>
      <c r="AN69" s="122">
        <f t="shared" si="22"/>
        <v>13275</v>
      </c>
      <c r="AO69" s="122">
        <f t="shared" si="23"/>
        <v>19500</v>
      </c>
      <c r="AP69" s="122">
        <f t="shared" si="24"/>
        <v>32775</v>
      </c>
      <c r="AQ69" s="124">
        <f t="shared" si="25"/>
        <v>3000</v>
      </c>
      <c r="AR69" s="125">
        <f t="shared" si="26"/>
        <v>4000</v>
      </c>
      <c r="AS69" s="126">
        <f t="shared" si="27"/>
        <v>7000</v>
      </c>
      <c r="AT69" s="127">
        <f t="shared" si="28"/>
        <v>88500</v>
      </c>
      <c r="AU69" s="128">
        <f t="shared" si="29"/>
        <v>130000</v>
      </c>
      <c r="AV69" s="129">
        <f t="shared" si="30"/>
        <v>218500</v>
      </c>
      <c r="AX69" s="34">
        <f t="shared" si="31"/>
        <v>218500</v>
      </c>
    </row>
    <row r="70" spans="1:69" s="33" customFormat="1" ht="15" customHeight="1" x14ac:dyDescent="0.25">
      <c r="A70" s="113">
        <v>61</v>
      </c>
      <c r="B70" s="149" t="s">
        <v>89</v>
      </c>
      <c r="C70" s="153" t="s">
        <v>100</v>
      </c>
      <c r="D70" s="153" t="s">
        <v>100</v>
      </c>
      <c r="E70" s="116" t="s">
        <v>16</v>
      </c>
      <c r="F70" s="117">
        <v>100</v>
      </c>
      <c r="G70" s="117">
        <v>150</v>
      </c>
      <c r="H70" s="118">
        <v>26</v>
      </c>
      <c r="I70" s="118">
        <v>27.5</v>
      </c>
      <c r="J70" s="119" t="s">
        <v>23</v>
      </c>
      <c r="K70" s="119" t="s">
        <v>93</v>
      </c>
      <c r="L70" s="119" t="s">
        <v>48</v>
      </c>
      <c r="M70" s="121"/>
      <c r="N70" s="121"/>
      <c r="O70" s="121">
        <f t="shared" si="5"/>
        <v>0</v>
      </c>
      <c r="P70" s="122">
        <f t="shared" si="6"/>
        <v>0</v>
      </c>
      <c r="Q70" s="122">
        <f t="shared" si="7"/>
        <v>0</v>
      </c>
      <c r="R70" s="122">
        <f t="shared" si="8"/>
        <v>0</v>
      </c>
      <c r="S70" s="133">
        <v>900</v>
      </c>
      <c r="T70" s="133">
        <v>1350</v>
      </c>
      <c r="U70" s="121">
        <f t="shared" si="9"/>
        <v>2250</v>
      </c>
      <c r="V70" s="122">
        <f t="shared" si="10"/>
        <v>23400</v>
      </c>
      <c r="W70" s="122">
        <f t="shared" si="11"/>
        <v>37125</v>
      </c>
      <c r="X70" s="122">
        <f t="shared" si="12"/>
        <v>60525</v>
      </c>
      <c r="Y70" s="133">
        <v>300</v>
      </c>
      <c r="Z70" s="133">
        <v>450</v>
      </c>
      <c r="AA70" s="121">
        <f t="shared" si="13"/>
        <v>750</v>
      </c>
      <c r="AB70" s="122">
        <f t="shared" si="14"/>
        <v>7800</v>
      </c>
      <c r="AC70" s="122">
        <f t="shared" si="15"/>
        <v>12375</v>
      </c>
      <c r="AD70" s="122">
        <f t="shared" si="16"/>
        <v>20175</v>
      </c>
      <c r="AE70" s="133">
        <v>500</v>
      </c>
      <c r="AF70" s="133">
        <v>750</v>
      </c>
      <c r="AG70" s="121">
        <f t="shared" si="17"/>
        <v>1250</v>
      </c>
      <c r="AH70" s="122">
        <f t="shared" si="18"/>
        <v>13000</v>
      </c>
      <c r="AI70" s="122">
        <f t="shared" si="19"/>
        <v>20625</v>
      </c>
      <c r="AJ70" s="122">
        <f t="shared" si="20"/>
        <v>33625</v>
      </c>
      <c r="AK70" s="133">
        <v>300</v>
      </c>
      <c r="AL70" s="133">
        <v>450</v>
      </c>
      <c r="AM70" s="121">
        <f t="shared" si="21"/>
        <v>750</v>
      </c>
      <c r="AN70" s="122">
        <f t="shared" si="22"/>
        <v>7800</v>
      </c>
      <c r="AO70" s="122">
        <f t="shared" si="23"/>
        <v>12375</v>
      </c>
      <c r="AP70" s="122">
        <f t="shared" si="24"/>
        <v>20175</v>
      </c>
      <c r="AQ70" s="124">
        <f t="shared" si="25"/>
        <v>2000</v>
      </c>
      <c r="AR70" s="125">
        <f t="shared" si="26"/>
        <v>3000</v>
      </c>
      <c r="AS70" s="126">
        <f t="shared" si="27"/>
        <v>5000</v>
      </c>
      <c r="AT70" s="127">
        <f t="shared" si="28"/>
        <v>52000</v>
      </c>
      <c r="AU70" s="128">
        <f t="shared" si="29"/>
        <v>82500</v>
      </c>
      <c r="AV70" s="129">
        <f t="shared" si="30"/>
        <v>134500</v>
      </c>
      <c r="AX70" s="34">
        <f t="shared" si="31"/>
        <v>134500</v>
      </c>
    </row>
    <row r="71" spans="1:69" s="33" customFormat="1" ht="15" customHeight="1" x14ac:dyDescent="0.25">
      <c r="A71" s="113">
        <v>62</v>
      </c>
      <c r="B71" s="149" t="s">
        <v>89</v>
      </c>
      <c r="C71" s="153" t="s">
        <v>101</v>
      </c>
      <c r="D71" s="153" t="s">
        <v>102</v>
      </c>
      <c r="E71" s="116" t="s">
        <v>16</v>
      </c>
      <c r="F71" s="117">
        <v>200</v>
      </c>
      <c r="G71" s="117">
        <v>300</v>
      </c>
      <c r="H71" s="118">
        <v>26</v>
      </c>
      <c r="I71" s="118">
        <v>27.5</v>
      </c>
      <c r="J71" s="119" t="s">
        <v>23</v>
      </c>
      <c r="K71" s="119" t="s">
        <v>93</v>
      </c>
      <c r="L71" s="119" t="s">
        <v>48</v>
      </c>
      <c r="M71" s="121"/>
      <c r="N71" s="121"/>
      <c r="O71" s="121">
        <f t="shared" si="5"/>
        <v>0</v>
      </c>
      <c r="P71" s="122">
        <f t="shared" si="6"/>
        <v>0</v>
      </c>
      <c r="Q71" s="122">
        <f t="shared" si="7"/>
        <v>0</v>
      </c>
      <c r="R71" s="122">
        <f t="shared" si="8"/>
        <v>0</v>
      </c>
      <c r="S71" s="133">
        <v>1800</v>
      </c>
      <c r="T71" s="133">
        <v>2700</v>
      </c>
      <c r="U71" s="121">
        <f t="shared" si="9"/>
        <v>4500</v>
      </c>
      <c r="V71" s="122">
        <f t="shared" si="10"/>
        <v>46800</v>
      </c>
      <c r="W71" s="122">
        <f t="shared" si="11"/>
        <v>74250</v>
      </c>
      <c r="X71" s="122">
        <f t="shared" si="12"/>
        <v>121050</v>
      </c>
      <c r="Y71" s="133">
        <v>600</v>
      </c>
      <c r="Z71" s="133">
        <v>900</v>
      </c>
      <c r="AA71" s="121">
        <f t="shared" si="13"/>
        <v>1500</v>
      </c>
      <c r="AB71" s="122">
        <f t="shared" si="14"/>
        <v>15600</v>
      </c>
      <c r="AC71" s="122">
        <f t="shared" si="15"/>
        <v>24750</v>
      </c>
      <c r="AD71" s="122">
        <f t="shared" si="16"/>
        <v>40350</v>
      </c>
      <c r="AE71" s="133">
        <v>1000</v>
      </c>
      <c r="AF71" s="133">
        <v>1500</v>
      </c>
      <c r="AG71" s="121">
        <f t="shared" si="17"/>
        <v>2500</v>
      </c>
      <c r="AH71" s="122">
        <f t="shared" si="18"/>
        <v>26000</v>
      </c>
      <c r="AI71" s="122">
        <f t="shared" si="19"/>
        <v>41250</v>
      </c>
      <c r="AJ71" s="122">
        <f t="shared" si="20"/>
        <v>67250</v>
      </c>
      <c r="AK71" s="133">
        <v>600</v>
      </c>
      <c r="AL71" s="133">
        <v>900</v>
      </c>
      <c r="AM71" s="121">
        <f t="shared" si="21"/>
        <v>1500</v>
      </c>
      <c r="AN71" s="122">
        <f t="shared" si="22"/>
        <v>15600</v>
      </c>
      <c r="AO71" s="122">
        <f t="shared" si="23"/>
        <v>24750</v>
      </c>
      <c r="AP71" s="122">
        <f t="shared" si="24"/>
        <v>40350</v>
      </c>
      <c r="AQ71" s="124">
        <f t="shared" si="25"/>
        <v>4000</v>
      </c>
      <c r="AR71" s="125">
        <f t="shared" si="26"/>
        <v>6000</v>
      </c>
      <c r="AS71" s="126">
        <f t="shared" si="27"/>
        <v>10000</v>
      </c>
      <c r="AT71" s="127">
        <f t="shared" si="28"/>
        <v>104000</v>
      </c>
      <c r="AU71" s="128">
        <f t="shared" si="29"/>
        <v>165000</v>
      </c>
      <c r="AV71" s="129">
        <f t="shared" si="30"/>
        <v>269000</v>
      </c>
      <c r="AX71" s="34">
        <f t="shared" si="31"/>
        <v>269000</v>
      </c>
    </row>
    <row r="72" spans="1:69" s="33" customFormat="1" ht="12.75" customHeight="1" x14ac:dyDescent="0.25">
      <c r="A72" s="113">
        <v>63</v>
      </c>
      <c r="B72" s="149" t="s">
        <v>89</v>
      </c>
      <c r="C72" s="153" t="s">
        <v>101</v>
      </c>
      <c r="D72" s="153" t="s">
        <v>101</v>
      </c>
      <c r="E72" s="116" t="s">
        <v>16</v>
      </c>
      <c r="F72" s="117">
        <v>175</v>
      </c>
      <c r="G72" s="117">
        <v>400</v>
      </c>
      <c r="H72" s="118">
        <v>26</v>
      </c>
      <c r="I72" s="118">
        <v>27.5</v>
      </c>
      <c r="J72" s="119" t="s">
        <v>23</v>
      </c>
      <c r="K72" s="119" t="s">
        <v>93</v>
      </c>
      <c r="L72" s="119" t="s">
        <v>48</v>
      </c>
      <c r="M72" s="121"/>
      <c r="N72" s="121"/>
      <c r="O72" s="121">
        <f t="shared" si="5"/>
        <v>0</v>
      </c>
      <c r="P72" s="122">
        <f t="shared" si="6"/>
        <v>0</v>
      </c>
      <c r="Q72" s="122">
        <f t="shared" si="7"/>
        <v>0</v>
      </c>
      <c r="R72" s="122">
        <f t="shared" si="8"/>
        <v>0</v>
      </c>
      <c r="S72" s="133">
        <v>1575</v>
      </c>
      <c r="T72" s="133">
        <v>3870</v>
      </c>
      <c r="U72" s="121">
        <f t="shared" si="9"/>
        <v>5445</v>
      </c>
      <c r="V72" s="122">
        <f t="shared" si="10"/>
        <v>40950</v>
      </c>
      <c r="W72" s="122">
        <f t="shared" si="11"/>
        <v>106425</v>
      </c>
      <c r="X72" s="122">
        <f t="shared" si="12"/>
        <v>147375</v>
      </c>
      <c r="Y72" s="133">
        <v>525</v>
      </c>
      <c r="Z72" s="139">
        <v>1290</v>
      </c>
      <c r="AA72" s="121">
        <f t="shared" si="13"/>
        <v>1815</v>
      </c>
      <c r="AB72" s="122">
        <f t="shared" si="14"/>
        <v>13650</v>
      </c>
      <c r="AC72" s="122">
        <f t="shared" si="15"/>
        <v>35475</v>
      </c>
      <c r="AD72" s="122">
        <f t="shared" si="16"/>
        <v>49125</v>
      </c>
      <c r="AE72" s="133">
        <v>875</v>
      </c>
      <c r="AF72" s="133">
        <v>2150</v>
      </c>
      <c r="AG72" s="121">
        <f t="shared" si="17"/>
        <v>3025</v>
      </c>
      <c r="AH72" s="122">
        <f t="shared" si="18"/>
        <v>22750</v>
      </c>
      <c r="AI72" s="122">
        <f t="shared" si="19"/>
        <v>59125</v>
      </c>
      <c r="AJ72" s="122">
        <f t="shared" si="20"/>
        <v>81875</v>
      </c>
      <c r="AK72" s="133">
        <v>525</v>
      </c>
      <c r="AL72" s="139">
        <v>1290</v>
      </c>
      <c r="AM72" s="121">
        <f t="shared" si="21"/>
        <v>1815</v>
      </c>
      <c r="AN72" s="122">
        <f t="shared" si="22"/>
        <v>13650</v>
      </c>
      <c r="AO72" s="122">
        <f t="shared" si="23"/>
        <v>35475</v>
      </c>
      <c r="AP72" s="122">
        <f t="shared" si="24"/>
        <v>49125</v>
      </c>
      <c r="AQ72" s="124">
        <f t="shared" si="25"/>
        <v>3500</v>
      </c>
      <c r="AR72" s="125">
        <f t="shared" si="26"/>
        <v>8600</v>
      </c>
      <c r="AS72" s="126">
        <f t="shared" si="27"/>
        <v>12100</v>
      </c>
      <c r="AT72" s="127">
        <f t="shared" si="28"/>
        <v>91000</v>
      </c>
      <c r="AU72" s="128">
        <f t="shared" si="29"/>
        <v>236500</v>
      </c>
      <c r="AV72" s="129">
        <f t="shared" si="30"/>
        <v>327500</v>
      </c>
      <c r="AX72" s="34">
        <f t="shared" si="31"/>
        <v>327500</v>
      </c>
    </row>
    <row r="73" spans="1:69" s="33" customFormat="1" ht="15" customHeight="1" x14ac:dyDescent="0.25">
      <c r="A73" s="113">
        <v>64</v>
      </c>
      <c r="B73" s="130" t="s">
        <v>89</v>
      </c>
      <c r="C73" s="131" t="s">
        <v>103</v>
      </c>
      <c r="D73" s="131" t="s">
        <v>266</v>
      </c>
      <c r="E73" s="116" t="s">
        <v>32</v>
      </c>
      <c r="F73" s="117">
        <v>150</v>
      </c>
      <c r="G73" s="117">
        <v>200</v>
      </c>
      <c r="H73" s="118">
        <v>29.5</v>
      </c>
      <c r="I73" s="118">
        <v>32.5</v>
      </c>
      <c r="J73" s="119" t="s">
        <v>17</v>
      </c>
      <c r="K73" s="119" t="s">
        <v>91</v>
      </c>
      <c r="L73" s="119" t="s">
        <v>18</v>
      </c>
      <c r="M73" s="121"/>
      <c r="N73" s="121"/>
      <c r="O73" s="121">
        <f t="shared" si="5"/>
        <v>0</v>
      </c>
      <c r="P73" s="122">
        <f t="shared" si="6"/>
        <v>0</v>
      </c>
      <c r="Q73" s="122">
        <f t="shared" si="7"/>
        <v>0</v>
      </c>
      <c r="R73" s="122">
        <f t="shared" si="8"/>
        <v>0</v>
      </c>
      <c r="S73" s="133">
        <v>1350</v>
      </c>
      <c r="T73" s="133">
        <v>1800</v>
      </c>
      <c r="U73" s="121">
        <f t="shared" si="9"/>
        <v>3150</v>
      </c>
      <c r="V73" s="122">
        <f t="shared" si="10"/>
        <v>39825</v>
      </c>
      <c r="W73" s="122">
        <f t="shared" si="11"/>
        <v>58500</v>
      </c>
      <c r="X73" s="122">
        <f t="shared" si="12"/>
        <v>98325</v>
      </c>
      <c r="Y73" s="133">
        <v>450</v>
      </c>
      <c r="Z73" s="133">
        <v>600</v>
      </c>
      <c r="AA73" s="121">
        <f t="shared" si="13"/>
        <v>1050</v>
      </c>
      <c r="AB73" s="122">
        <f t="shared" si="14"/>
        <v>13275</v>
      </c>
      <c r="AC73" s="122">
        <f t="shared" si="15"/>
        <v>19500</v>
      </c>
      <c r="AD73" s="122">
        <f t="shared" si="16"/>
        <v>32775</v>
      </c>
      <c r="AE73" s="133">
        <v>750</v>
      </c>
      <c r="AF73" s="133">
        <v>800</v>
      </c>
      <c r="AG73" s="121">
        <f t="shared" si="17"/>
        <v>1550</v>
      </c>
      <c r="AH73" s="122">
        <f t="shared" si="18"/>
        <v>22125</v>
      </c>
      <c r="AI73" s="122">
        <f t="shared" si="19"/>
        <v>26000</v>
      </c>
      <c r="AJ73" s="122">
        <f t="shared" si="20"/>
        <v>48125</v>
      </c>
      <c r="AK73" s="133">
        <v>440</v>
      </c>
      <c r="AL73" s="133">
        <v>596</v>
      </c>
      <c r="AM73" s="121">
        <f t="shared" si="21"/>
        <v>1036</v>
      </c>
      <c r="AN73" s="122">
        <f t="shared" si="22"/>
        <v>12980</v>
      </c>
      <c r="AO73" s="122">
        <f t="shared" si="23"/>
        <v>19370</v>
      </c>
      <c r="AP73" s="122">
        <f t="shared" si="24"/>
        <v>32350</v>
      </c>
      <c r="AQ73" s="124">
        <f t="shared" si="25"/>
        <v>2990</v>
      </c>
      <c r="AR73" s="125">
        <f t="shared" si="26"/>
        <v>3796</v>
      </c>
      <c r="AS73" s="126">
        <f t="shared" si="27"/>
        <v>6786</v>
      </c>
      <c r="AT73" s="127">
        <f t="shared" si="28"/>
        <v>88205</v>
      </c>
      <c r="AU73" s="128">
        <f t="shared" si="29"/>
        <v>123370</v>
      </c>
      <c r="AV73" s="129">
        <f t="shared" si="30"/>
        <v>211575</v>
      </c>
      <c r="AX73" s="34">
        <f t="shared" si="31"/>
        <v>211575</v>
      </c>
    </row>
    <row r="74" spans="1:69" s="33" customFormat="1" ht="15" customHeight="1" x14ac:dyDescent="0.25">
      <c r="A74" s="113">
        <v>65</v>
      </c>
      <c r="B74" s="130" t="s">
        <v>89</v>
      </c>
      <c r="C74" s="131" t="s">
        <v>259</v>
      </c>
      <c r="D74" s="131" t="s">
        <v>259</v>
      </c>
      <c r="E74" s="116" t="s">
        <v>16</v>
      </c>
      <c r="F74" s="117">
        <v>100</v>
      </c>
      <c r="G74" s="117">
        <v>150</v>
      </c>
      <c r="H74" s="118">
        <v>29.5</v>
      </c>
      <c r="I74" s="118">
        <v>32.5</v>
      </c>
      <c r="J74" s="119" t="s">
        <v>17</v>
      </c>
      <c r="K74" s="119" t="s">
        <v>91</v>
      </c>
      <c r="L74" s="119" t="s">
        <v>18</v>
      </c>
      <c r="M74" s="121"/>
      <c r="N74" s="121"/>
      <c r="O74" s="121">
        <f t="shared" si="5"/>
        <v>0</v>
      </c>
      <c r="P74" s="122">
        <f t="shared" si="6"/>
        <v>0</v>
      </c>
      <c r="Q74" s="122">
        <f t="shared" si="7"/>
        <v>0</v>
      </c>
      <c r="R74" s="122">
        <f t="shared" si="8"/>
        <v>0</v>
      </c>
      <c r="S74" s="133">
        <v>800</v>
      </c>
      <c r="T74" s="133">
        <v>1200</v>
      </c>
      <c r="U74" s="121">
        <f t="shared" si="9"/>
        <v>2000</v>
      </c>
      <c r="V74" s="122">
        <f t="shared" si="10"/>
        <v>23600</v>
      </c>
      <c r="W74" s="122">
        <f t="shared" si="11"/>
        <v>39000</v>
      </c>
      <c r="X74" s="122">
        <f t="shared" si="12"/>
        <v>62600</v>
      </c>
      <c r="Y74" s="133">
        <v>300</v>
      </c>
      <c r="Z74" s="133">
        <v>450</v>
      </c>
      <c r="AA74" s="121">
        <f t="shared" si="13"/>
        <v>750</v>
      </c>
      <c r="AB74" s="122">
        <f t="shared" si="14"/>
        <v>8850</v>
      </c>
      <c r="AC74" s="122">
        <f t="shared" si="15"/>
        <v>14625</v>
      </c>
      <c r="AD74" s="122">
        <f t="shared" si="16"/>
        <v>23475</v>
      </c>
      <c r="AE74" s="133">
        <v>500</v>
      </c>
      <c r="AF74" s="133">
        <v>750</v>
      </c>
      <c r="AG74" s="121">
        <f t="shared" si="17"/>
        <v>1250</v>
      </c>
      <c r="AH74" s="122">
        <f t="shared" si="18"/>
        <v>14750</v>
      </c>
      <c r="AI74" s="122">
        <f t="shared" si="19"/>
        <v>24375</v>
      </c>
      <c r="AJ74" s="122">
        <f t="shared" si="20"/>
        <v>39125</v>
      </c>
      <c r="AK74" s="133">
        <v>300</v>
      </c>
      <c r="AL74" s="133">
        <v>450</v>
      </c>
      <c r="AM74" s="121">
        <f t="shared" si="21"/>
        <v>750</v>
      </c>
      <c r="AN74" s="122">
        <f t="shared" si="22"/>
        <v>8850</v>
      </c>
      <c r="AO74" s="122">
        <f t="shared" si="23"/>
        <v>14625</v>
      </c>
      <c r="AP74" s="122">
        <f t="shared" si="24"/>
        <v>23475</v>
      </c>
      <c r="AQ74" s="124">
        <f t="shared" si="25"/>
        <v>1900</v>
      </c>
      <c r="AR74" s="125">
        <f t="shared" si="26"/>
        <v>2850</v>
      </c>
      <c r="AS74" s="126">
        <f t="shared" si="27"/>
        <v>4750</v>
      </c>
      <c r="AT74" s="127">
        <f t="shared" si="28"/>
        <v>56050</v>
      </c>
      <c r="AU74" s="128">
        <f t="shared" si="29"/>
        <v>92625</v>
      </c>
      <c r="AV74" s="129">
        <f t="shared" si="30"/>
        <v>148675</v>
      </c>
      <c r="AX74" s="34">
        <f t="shared" si="31"/>
        <v>148675</v>
      </c>
    </row>
    <row r="75" spans="1:69" s="33" customFormat="1" ht="15" customHeight="1" x14ac:dyDescent="0.25">
      <c r="A75" s="113">
        <v>66</v>
      </c>
      <c r="B75" s="149" t="s">
        <v>104</v>
      </c>
      <c r="C75" s="153" t="s">
        <v>105</v>
      </c>
      <c r="D75" s="153" t="s">
        <v>105</v>
      </c>
      <c r="E75" s="116" t="s">
        <v>16</v>
      </c>
      <c r="F75" s="117">
        <v>75</v>
      </c>
      <c r="G75" s="117">
        <v>150</v>
      </c>
      <c r="H75" s="118">
        <v>33.630000000000003</v>
      </c>
      <c r="I75" s="118">
        <v>37.049999999999997</v>
      </c>
      <c r="J75" s="119" t="s">
        <v>17</v>
      </c>
      <c r="K75" s="120" t="s">
        <v>106</v>
      </c>
      <c r="L75" s="119" t="s">
        <v>18</v>
      </c>
      <c r="M75" s="121"/>
      <c r="N75" s="121"/>
      <c r="O75" s="121">
        <f t="shared" ref="O75:O138" si="32">M75+N75</f>
        <v>0</v>
      </c>
      <c r="P75" s="122">
        <f t="shared" ref="P75:P138" si="33">M75*H75</f>
        <v>0</v>
      </c>
      <c r="Q75" s="122">
        <f t="shared" ref="Q75:Q138" si="34">N75*I75</f>
        <v>0</v>
      </c>
      <c r="R75" s="122">
        <f t="shared" ref="R75:R138" si="35">P75+Q75</f>
        <v>0</v>
      </c>
      <c r="S75" s="133">
        <v>675</v>
      </c>
      <c r="T75" s="133">
        <v>1350</v>
      </c>
      <c r="U75" s="121">
        <f t="shared" ref="U75:U138" si="36">S75+T75</f>
        <v>2025</v>
      </c>
      <c r="V75" s="122">
        <f t="shared" ref="V75:V138" si="37">S75*H75</f>
        <v>22700.25</v>
      </c>
      <c r="W75" s="122">
        <f t="shared" ref="W75:W138" si="38">T75*I75</f>
        <v>50017.499999999993</v>
      </c>
      <c r="X75" s="122">
        <f t="shared" ref="X75:X138" si="39">V75+W75</f>
        <v>72717.75</v>
      </c>
      <c r="Y75" s="133">
        <v>225</v>
      </c>
      <c r="Z75" s="133">
        <v>450</v>
      </c>
      <c r="AA75" s="121">
        <f t="shared" ref="AA75:AA138" si="40">Y75+Z75</f>
        <v>675</v>
      </c>
      <c r="AB75" s="122">
        <f t="shared" ref="AB75:AB138" si="41">Y75*H75</f>
        <v>7566.7500000000009</v>
      </c>
      <c r="AC75" s="122">
        <f t="shared" ref="AC75:AC138" si="42">Z75*I75</f>
        <v>16672.5</v>
      </c>
      <c r="AD75" s="122">
        <f t="shared" ref="AD75:AD138" si="43">AB75+AC75</f>
        <v>24239.25</v>
      </c>
      <c r="AE75" s="133">
        <v>375</v>
      </c>
      <c r="AF75" s="133">
        <v>750</v>
      </c>
      <c r="AG75" s="121">
        <f t="shared" ref="AG75:AG138" si="44">AE75+AF75</f>
        <v>1125</v>
      </c>
      <c r="AH75" s="122">
        <f t="shared" ref="AH75:AH138" si="45">AE75*H75</f>
        <v>12611.250000000002</v>
      </c>
      <c r="AI75" s="122">
        <f t="shared" ref="AI75:AI138" si="46">AF75*I75</f>
        <v>27787.499999999996</v>
      </c>
      <c r="AJ75" s="122">
        <f t="shared" ref="AJ75:AJ138" si="47">AH75+AI75</f>
        <v>40398.75</v>
      </c>
      <c r="AK75" s="133">
        <v>225</v>
      </c>
      <c r="AL75" s="133">
        <v>300</v>
      </c>
      <c r="AM75" s="121">
        <f t="shared" ref="AM75:AM138" si="48">AK75+AL75</f>
        <v>525</v>
      </c>
      <c r="AN75" s="122">
        <f t="shared" ref="AN75:AN138" si="49">AK75*H75</f>
        <v>7566.7500000000009</v>
      </c>
      <c r="AO75" s="122">
        <f t="shared" ref="AO75:AO138" si="50">AL75*I75</f>
        <v>11115</v>
      </c>
      <c r="AP75" s="122">
        <f t="shared" ref="AP75:AP138" si="51">AN75+AO75</f>
        <v>18681.75</v>
      </c>
      <c r="AQ75" s="124">
        <f t="shared" ref="AQ75:AQ138" si="52">S75+Y75+AE75+AK75+M75</f>
        <v>1500</v>
      </c>
      <c r="AR75" s="125">
        <f t="shared" ref="AR75:AR138" si="53">T75+Z75+AF75+AL75+N75</f>
        <v>2850</v>
      </c>
      <c r="AS75" s="126">
        <f t="shared" ref="AS75:AS138" si="54">AQ75+AR75</f>
        <v>4350</v>
      </c>
      <c r="AT75" s="127">
        <f t="shared" ref="AT75:AT138" si="55">V75+AB75+AH75+AN75+P75</f>
        <v>50445</v>
      </c>
      <c r="AU75" s="128">
        <f t="shared" ref="AU75:AU138" si="56">W75+AC75+AI75+AO75+Q75</f>
        <v>105592.5</v>
      </c>
      <c r="AV75" s="129">
        <f t="shared" ref="AV75:AV138" si="57">AT75+AU75</f>
        <v>156037.5</v>
      </c>
      <c r="AX75" s="34">
        <f t="shared" ref="AX75:AX133" si="58">X75+AD75+AJ75+AP75+R75</f>
        <v>156037.5</v>
      </c>
    </row>
    <row r="76" spans="1:69" s="33" customFormat="1" ht="15" customHeight="1" x14ac:dyDescent="0.25">
      <c r="A76" s="113">
        <v>67</v>
      </c>
      <c r="B76" s="131" t="s">
        <v>104</v>
      </c>
      <c r="C76" s="131" t="s">
        <v>104</v>
      </c>
      <c r="D76" s="131" t="s">
        <v>104</v>
      </c>
      <c r="E76" s="116" t="s">
        <v>16</v>
      </c>
      <c r="F76" s="117">
        <v>100</v>
      </c>
      <c r="G76" s="117">
        <v>175</v>
      </c>
      <c r="H76" s="118">
        <v>24</v>
      </c>
      <c r="I76" s="118">
        <v>27</v>
      </c>
      <c r="J76" s="119" t="s">
        <v>23</v>
      </c>
      <c r="K76" s="119" t="s">
        <v>107</v>
      </c>
      <c r="L76" s="119" t="s">
        <v>25</v>
      </c>
      <c r="M76" s="121"/>
      <c r="N76" s="121"/>
      <c r="O76" s="121">
        <f t="shared" si="32"/>
        <v>0</v>
      </c>
      <c r="P76" s="122">
        <f t="shared" si="33"/>
        <v>0</v>
      </c>
      <c r="Q76" s="122">
        <f t="shared" si="34"/>
        <v>0</v>
      </c>
      <c r="R76" s="122">
        <f t="shared" si="35"/>
        <v>0</v>
      </c>
      <c r="S76" s="133">
        <v>900</v>
      </c>
      <c r="T76" s="133">
        <v>1575</v>
      </c>
      <c r="U76" s="121">
        <f t="shared" si="36"/>
        <v>2475</v>
      </c>
      <c r="V76" s="122">
        <f t="shared" si="37"/>
        <v>21600</v>
      </c>
      <c r="W76" s="122">
        <f t="shared" si="38"/>
        <v>42525</v>
      </c>
      <c r="X76" s="122">
        <f t="shared" si="39"/>
        <v>64125</v>
      </c>
      <c r="Y76" s="133">
        <v>200</v>
      </c>
      <c r="Z76" s="133">
        <v>350</v>
      </c>
      <c r="AA76" s="121">
        <f t="shared" si="40"/>
        <v>550</v>
      </c>
      <c r="AB76" s="122">
        <f t="shared" si="41"/>
        <v>4800</v>
      </c>
      <c r="AC76" s="122">
        <f t="shared" si="42"/>
        <v>9450</v>
      </c>
      <c r="AD76" s="122">
        <f t="shared" si="43"/>
        <v>14250</v>
      </c>
      <c r="AE76" s="133">
        <v>500</v>
      </c>
      <c r="AF76" s="133">
        <v>875</v>
      </c>
      <c r="AG76" s="121">
        <f t="shared" si="44"/>
        <v>1375</v>
      </c>
      <c r="AH76" s="122">
        <f t="shared" si="45"/>
        <v>12000</v>
      </c>
      <c r="AI76" s="122">
        <f t="shared" si="46"/>
        <v>23625</v>
      </c>
      <c r="AJ76" s="122">
        <f t="shared" si="47"/>
        <v>35625</v>
      </c>
      <c r="AK76" s="133">
        <v>300</v>
      </c>
      <c r="AL76" s="133">
        <v>525</v>
      </c>
      <c r="AM76" s="121">
        <f t="shared" si="48"/>
        <v>825</v>
      </c>
      <c r="AN76" s="122">
        <f t="shared" si="49"/>
        <v>7200</v>
      </c>
      <c r="AO76" s="122">
        <f t="shared" si="50"/>
        <v>14175</v>
      </c>
      <c r="AP76" s="122">
        <f t="shared" si="51"/>
        <v>21375</v>
      </c>
      <c r="AQ76" s="124">
        <f t="shared" si="52"/>
        <v>1900</v>
      </c>
      <c r="AR76" s="125">
        <f t="shared" si="53"/>
        <v>3325</v>
      </c>
      <c r="AS76" s="126">
        <f t="shared" si="54"/>
        <v>5225</v>
      </c>
      <c r="AT76" s="127">
        <f t="shared" si="55"/>
        <v>45600</v>
      </c>
      <c r="AU76" s="128">
        <f t="shared" si="56"/>
        <v>89775</v>
      </c>
      <c r="AV76" s="129">
        <f t="shared" si="57"/>
        <v>135375</v>
      </c>
      <c r="AX76" s="34">
        <f t="shared" si="58"/>
        <v>135375</v>
      </c>
    </row>
    <row r="77" spans="1:69" s="37" customFormat="1" ht="15" customHeight="1" x14ac:dyDescent="0.25">
      <c r="A77" s="113">
        <v>68</v>
      </c>
      <c r="B77" s="161" t="s">
        <v>104</v>
      </c>
      <c r="C77" s="162" t="s">
        <v>108</v>
      </c>
      <c r="D77" s="162" t="s">
        <v>108</v>
      </c>
      <c r="E77" s="116" t="s">
        <v>16</v>
      </c>
      <c r="F77" s="117">
        <v>100</v>
      </c>
      <c r="G77" s="117">
        <v>150</v>
      </c>
      <c r="H77" s="118">
        <v>33.630000000000003</v>
      </c>
      <c r="I77" s="118">
        <v>37.049999999999997</v>
      </c>
      <c r="J77" s="119" t="s">
        <v>17</v>
      </c>
      <c r="K77" s="120" t="s">
        <v>106</v>
      </c>
      <c r="L77" s="119" t="s">
        <v>18</v>
      </c>
      <c r="M77" s="121"/>
      <c r="N77" s="121"/>
      <c r="O77" s="121">
        <f t="shared" si="32"/>
        <v>0</v>
      </c>
      <c r="P77" s="122">
        <f t="shared" si="33"/>
        <v>0</v>
      </c>
      <c r="Q77" s="122">
        <f t="shared" si="34"/>
        <v>0</v>
      </c>
      <c r="R77" s="122">
        <f t="shared" si="35"/>
        <v>0</v>
      </c>
      <c r="S77" s="133">
        <v>0</v>
      </c>
      <c r="T77" s="133">
        <v>0</v>
      </c>
      <c r="U77" s="121">
        <f t="shared" si="36"/>
        <v>0</v>
      </c>
      <c r="V77" s="122">
        <f t="shared" si="37"/>
        <v>0</v>
      </c>
      <c r="W77" s="122">
        <f t="shared" si="38"/>
        <v>0</v>
      </c>
      <c r="X77" s="122">
        <f t="shared" si="39"/>
        <v>0</v>
      </c>
      <c r="Y77" s="133">
        <v>0</v>
      </c>
      <c r="Z77" s="133">
        <v>0</v>
      </c>
      <c r="AA77" s="121">
        <f t="shared" si="40"/>
        <v>0</v>
      </c>
      <c r="AB77" s="122">
        <f t="shared" si="41"/>
        <v>0</v>
      </c>
      <c r="AC77" s="122">
        <f t="shared" si="42"/>
        <v>0</v>
      </c>
      <c r="AD77" s="122">
        <f t="shared" si="43"/>
        <v>0</v>
      </c>
      <c r="AE77" s="133">
        <v>0</v>
      </c>
      <c r="AF77" s="133">
        <v>0</v>
      </c>
      <c r="AG77" s="121">
        <f t="shared" si="44"/>
        <v>0</v>
      </c>
      <c r="AH77" s="122">
        <f t="shared" si="45"/>
        <v>0</v>
      </c>
      <c r="AI77" s="122">
        <f t="shared" si="46"/>
        <v>0</v>
      </c>
      <c r="AJ77" s="122">
        <f t="shared" si="47"/>
        <v>0</v>
      </c>
      <c r="AK77" s="133">
        <v>0</v>
      </c>
      <c r="AL77" s="133">
        <v>0</v>
      </c>
      <c r="AM77" s="121">
        <f t="shared" si="48"/>
        <v>0</v>
      </c>
      <c r="AN77" s="122">
        <f t="shared" si="49"/>
        <v>0</v>
      </c>
      <c r="AO77" s="122">
        <f t="shared" si="50"/>
        <v>0</v>
      </c>
      <c r="AP77" s="122">
        <f t="shared" si="51"/>
        <v>0</v>
      </c>
      <c r="AQ77" s="124">
        <f t="shared" si="52"/>
        <v>0</v>
      </c>
      <c r="AR77" s="125">
        <f t="shared" si="53"/>
        <v>0</v>
      </c>
      <c r="AS77" s="126">
        <f t="shared" si="54"/>
        <v>0</v>
      </c>
      <c r="AT77" s="127">
        <f t="shared" si="55"/>
        <v>0</v>
      </c>
      <c r="AU77" s="128">
        <f t="shared" si="56"/>
        <v>0</v>
      </c>
      <c r="AV77" s="129">
        <f t="shared" si="57"/>
        <v>0</v>
      </c>
      <c r="AW77" s="33"/>
      <c r="AX77" s="34">
        <f t="shared" si="58"/>
        <v>0</v>
      </c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</row>
    <row r="78" spans="1:69" s="33" customFormat="1" ht="15" customHeight="1" x14ac:dyDescent="0.25">
      <c r="A78" s="113">
        <v>69</v>
      </c>
      <c r="B78" s="130" t="s">
        <v>104</v>
      </c>
      <c r="C78" s="131" t="s">
        <v>110</v>
      </c>
      <c r="D78" s="131" t="s">
        <v>110</v>
      </c>
      <c r="E78" s="116" t="s">
        <v>32</v>
      </c>
      <c r="F78" s="117">
        <v>150</v>
      </c>
      <c r="G78" s="117">
        <v>200</v>
      </c>
      <c r="H78" s="118">
        <v>33.630000000000003</v>
      </c>
      <c r="I78" s="118">
        <v>37.049999999999997</v>
      </c>
      <c r="J78" s="119" t="s">
        <v>17</v>
      </c>
      <c r="K78" s="120" t="s">
        <v>106</v>
      </c>
      <c r="L78" s="119" t="s">
        <v>18</v>
      </c>
      <c r="M78" s="121"/>
      <c r="N78" s="121"/>
      <c r="O78" s="121">
        <f t="shared" si="32"/>
        <v>0</v>
      </c>
      <c r="P78" s="122">
        <f t="shared" si="33"/>
        <v>0</v>
      </c>
      <c r="Q78" s="122">
        <f t="shared" si="34"/>
        <v>0</v>
      </c>
      <c r="R78" s="122">
        <f t="shared" si="35"/>
        <v>0</v>
      </c>
      <c r="S78" s="133">
        <v>1350</v>
      </c>
      <c r="T78" s="133">
        <v>1800</v>
      </c>
      <c r="U78" s="121">
        <f t="shared" si="36"/>
        <v>3150</v>
      </c>
      <c r="V78" s="122">
        <f t="shared" si="37"/>
        <v>45400.5</v>
      </c>
      <c r="W78" s="122">
        <f t="shared" si="38"/>
        <v>66690</v>
      </c>
      <c r="X78" s="122">
        <f t="shared" si="39"/>
        <v>112090.5</v>
      </c>
      <c r="Y78" s="133">
        <v>450</v>
      </c>
      <c r="Z78" s="133">
        <v>600</v>
      </c>
      <c r="AA78" s="121">
        <f t="shared" si="40"/>
        <v>1050</v>
      </c>
      <c r="AB78" s="122">
        <f t="shared" si="41"/>
        <v>15133.500000000002</v>
      </c>
      <c r="AC78" s="122">
        <f t="shared" si="42"/>
        <v>22230</v>
      </c>
      <c r="AD78" s="122">
        <f t="shared" si="43"/>
        <v>37363.5</v>
      </c>
      <c r="AE78" s="133">
        <v>750</v>
      </c>
      <c r="AF78" s="133">
        <v>1000</v>
      </c>
      <c r="AG78" s="121">
        <f t="shared" si="44"/>
        <v>1750</v>
      </c>
      <c r="AH78" s="122">
        <f t="shared" si="45"/>
        <v>25222.500000000004</v>
      </c>
      <c r="AI78" s="122">
        <f t="shared" si="46"/>
        <v>37050</v>
      </c>
      <c r="AJ78" s="122">
        <f t="shared" si="47"/>
        <v>62272.5</v>
      </c>
      <c r="AK78" s="133">
        <v>450</v>
      </c>
      <c r="AL78" s="133">
        <v>600</v>
      </c>
      <c r="AM78" s="121">
        <f t="shared" si="48"/>
        <v>1050</v>
      </c>
      <c r="AN78" s="122">
        <f t="shared" si="49"/>
        <v>15133.500000000002</v>
      </c>
      <c r="AO78" s="122">
        <f t="shared" si="50"/>
        <v>22230</v>
      </c>
      <c r="AP78" s="122">
        <f t="shared" si="51"/>
        <v>37363.5</v>
      </c>
      <c r="AQ78" s="124">
        <f t="shared" si="52"/>
        <v>3000</v>
      </c>
      <c r="AR78" s="125">
        <f t="shared" si="53"/>
        <v>4000</v>
      </c>
      <c r="AS78" s="126">
        <f t="shared" si="54"/>
        <v>7000</v>
      </c>
      <c r="AT78" s="127">
        <f t="shared" si="55"/>
        <v>100890</v>
      </c>
      <c r="AU78" s="128">
        <f t="shared" si="56"/>
        <v>148200</v>
      </c>
      <c r="AV78" s="129">
        <f t="shared" si="57"/>
        <v>249090</v>
      </c>
      <c r="AX78" s="34">
        <f t="shared" si="58"/>
        <v>249090</v>
      </c>
    </row>
    <row r="79" spans="1:69" s="33" customFormat="1" ht="14.25" customHeight="1" x14ac:dyDescent="0.25">
      <c r="A79" s="113">
        <v>70</v>
      </c>
      <c r="B79" s="130" t="s">
        <v>104</v>
      </c>
      <c r="C79" s="131" t="s">
        <v>111</v>
      </c>
      <c r="D79" s="131" t="s">
        <v>111</v>
      </c>
      <c r="E79" s="116" t="s">
        <v>16</v>
      </c>
      <c r="F79" s="117">
        <v>100</v>
      </c>
      <c r="G79" s="117">
        <v>175</v>
      </c>
      <c r="H79" s="118">
        <v>33.630000000000003</v>
      </c>
      <c r="I79" s="118">
        <v>37.049999999999997</v>
      </c>
      <c r="J79" s="119" t="s">
        <v>17</v>
      </c>
      <c r="K79" s="120" t="s">
        <v>106</v>
      </c>
      <c r="L79" s="119" t="s">
        <v>18</v>
      </c>
      <c r="M79" s="121"/>
      <c r="N79" s="121"/>
      <c r="O79" s="121">
        <f t="shared" si="32"/>
        <v>0</v>
      </c>
      <c r="P79" s="122">
        <f t="shared" si="33"/>
        <v>0</v>
      </c>
      <c r="Q79" s="122">
        <f t="shared" si="34"/>
        <v>0</v>
      </c>
      <c r="R79" s="122">
        <f t="shared" si="35"/>
        <v>0</v>
      </c>
      <c r="S79" s="133">
        <v>900</v>
      </c>
      <c r="T79" s="133">
        <v>1575</v>
      </c>
      <c r="U79" s="121">
        <f t="shared" si="36"/>
        <v>2475</v>
      </c>
      <c r="V79" s="122">
        <f t="shared" si="37"/>
        <v>30267.000000000004</v>
      </c>
      <c r="W79" s="122">
        <f t="shared" si="38"/>
        <v>58353.749999999993</v>
      </c>
      <c r="X79" s="122">
        <f t="shared" si="39"/>
        <v>88620.75</v>
      </c>
      <c r="Y79" s="133">
        <v>300</v>
      </c>
      <c r="Z79" s="133">
        <v>525</v>
      </c>
      <c r="AA79" s="121">
        <f t="shared" si="40"/>
        <v>825</v>
      </c>
      <c r="AB79" s="122">
        <f t="shared" si="41"/>
        <v>10089</v>
      </c>
      <c r="AC79" s="122">
        <f t="shared" si="42"/>
        <v>19451.25</v>
      </c>
      <c r="AD79" s="122">
        <f t="shared" si="43"/>
        <v>29540.25</v>
      </c>
      <c r="AE79" s="133">
        <v>500</v>
      </c>
      <c r="AF79" s="133">
        <v>750</v>
      </c>
      <c r="AG79" s="121">
        <f t="shared" si="44"/>
        <v>1250</v>
      </c>
      <c r="AH79" s="122">
        <f t="shared" si="45"/>
        <v>16815</v>
      </c>
      <c r="AI79" s="122">
        <f t="shared" si="46"/>
        <v>27787.499999999996</v>
      </c>
      <c r="AJ79" s="122">
        <f t="shared" si="47"/>
        <v>44602.5</v>
      </c>
      <c r="AK79" s="133">
        <v>300</v>
      </c>
      <c r="AL79" s="133">
        <v>450</v>
      </c>
      <c r="AM79" s="121">
        <f t="shared" si="48"/>
        <v>750</v>
      </c>
      <c r="AN79" s="122">
        <f t="shared" si="49"/>
        <v>10089</v>
      </c>
      <c r="AO79" s="122">
        <f t="shared" si="50"/>
        <v>16672.5</v>
      </c>
      <c r="AP79" s="122">
        <f t="shared" si="51"/>
        <v>26761.5</v>
      </c>
      <c r="AQ79" s="124">
        <f t="shared" si="52"/>
        <v>2000</v>
      </c>
      <c r="AR79" s="125">
        <f t="shared" si="53"/>
        <v>3300</v>
      </c>
      <c r="AS79" s="126">
        <f t="shared" si="54"/>
        <v>5300</v>
      </c>
      <c r="AT79" s="127">
        <f t="shared" si="55"/>
        <v>67260</v>
      </c>
      <c r="AU79" s="128">
        <f t="shared" si="56"/>
        <v>122265</v>
      </c>
      <c r="AV79" s="129">
        <f t="shared" si="57"/>
        <v>189525</v>
      </c>
      <c r="AX79" s="34">
        <f t="shared" si="58"/>
        <v>189525</v>
      </c>
    </row>
    <row r="80" spans="1:69" s="33" customFormat="1" ht="12.75" customHeight="1" x14ac:dyDescent="0.25">
      <c r="A80" s="113">
        <v>71</v>
      </c>
      <c r="B80" s="114" t="s">
        <v>104</v>
      </c>
      <c r="C80" s="115" t="s">
        <v>112</v>
      </c>
      <c r="D80" s="115" t="s">
        <v>112</v>
      </c>
      <c r="E80" s="116" t="s">
        <v>16</v>
      </c>
      <c r="F80" s="135" t="s">
        <v>262</v>
      </c>
      <c r="G80" s="135" t="s">
        <v>263</v>
      </c>
      <c r="H80" s="118">
        <v>33.630000000000003</v>
      </c>
      <c r="I80" s="118">
        <v>37.049999999999997</v>
      </c>
      <c r="J80" s="119" t="s">
        <v>17</v>
      </c>
      <c r="K80" s="120" t="s">
        <v>106</v>
      </c>
      <c r="L80" s="119" t="s">
        <v>18</v>
      </c>
      <c r="M80" s="121"/>
      <c r="N80" s="121"/>
      <c r="O80" s="121">
        <f t="shared" si="32"/>
        <v>0</v>
      </c>
      <c r="P80" s="122">
        <f t="shared" si="33"/>
        <v>0</v>
      </c>
      <c r="Q80" s="122">
        <f t="shared" si="34"/>
        <v>0</v>
      </c>
      <c r="R80" s="122">
        <f t="shared" si="35"/>
        <v>0</v>
      </c>
      <c r="S80" s="133">
        <v>1175</v>
      </c>
      <c r="T80" s="133">
        <v>1625</v>
      </c>
      <c r="U80" s="121">
        <f t="shared" si="36"/>
        <v>2800</v>
      </c>
      <c r="V80" s="122">
        <f t="shared" si="37"/>
        <v>39515.25</v>
      </c>
      <c r="W80" s="122">
        <f t="shared" si="38"/>
        <v>60206.249999999993</v>
      </c>
      <c r="X80" s="122">
        <f t="shared" si="39"/>
        <v>99721.5</v>
      </c>
      <c r="Y80" s="133">
        <v>375</v>
      </c>
      <c r="Z80" s="133">
        <v>525</v>
      </c>
      <c r="AA80" s="121">
        <f t="shared" si="40"/>
        <v>900</v>
      </c>
      <c r="AB80" s="122">
        <f t="shared" si="41"/>
        <v>12611.250000000002</v>
      </c>
      <c r="AC80" s="122">
        <f t="shared" si="42"/>
        <v>19451.25</v>
      </c>
      <c r="AD80" s="122">
        <f t="shared" si="43"/>
        <v>32062.5</v>
      </c>
      <c r="AE80" s="133">
        <v>625</v>
      </c>
      <c r="AF80" s="133">
        <v>875</v>
      </c>
      <c r="AG80" s="121">
        <f t="shared" si="44"/>
        <v>1500</v>
      </c>
      <c r="AH80" s="122">
        <f t="shared" si="45"/>
        <v>21018.75</v>
      </c>
      <c r="AI80" s="122">
        <f t="shared" si="46"/>
        <v>32418.749999999996</v>
      </c>
      <c r="AJ80" s="122">
        <f t="shared" si="47"/>
        <v>53437.5</v>
      </c>
      <c r="AK80" s="133">
        <v>375</v>
      </c>
      <c r="AL80" s="133">
        <v>525</v>
      </c>
      <c r="AM80" s="121">
        <f t="shared" si="48"/>
        <v>900</v>
      </c>
      <c r="AN80" s="122">
        <f t="shared" si="49"/>
        <v>12611.250000000002</v>
      </c>
      <c r="AO80" s="122">
        <f t="shared" si="50"/>
        <v>19451.25</v>
      </c>
      <c r="AP80" s="122">
        <f t="shared" si="51"/>
        <v>32062.5</v>
      </c>
      <c r="AQ80" s="124">
        <f t="shared" si="52"/>
        <v>2550</v>
      </c>
      <c r="AR80" s="125">
        <f t="shared" si="53"/>
        <v>3550</v>
      </c>
      <c r="AS80" s="126">
        <f t="shared" si="54"/>
        <v>6100</v>
      </c>
      <c r="AT80" s="127">
        <f t="shared" si="55"/>
        <v>85756.5</v>
      </c>
      <c r="AU80" s="128">
        <f t="shared" si="56"/>
        <v>131527.5</v>
      </c>
      <c r="AV80" s="129">
        <f t="shared" si="57"/>
        <v>217284</v>
      </c>
      <c r="AX80" s="34">
        <f t="shared" si="58"/>
        <v>217284</v>
      </c>
    </row>
    <row r="81" spans="1:69" s="33" customFormat="1" ht="12.75" customHeight="1" x14ac:dyDescent="0.25">
      <c r="A81" s="113">
        <v>72</v>
      </c>
      <c r="B81" s="149" t="s">
        <v>104</v>
      </c>
      <c r="C81" s="153" t="s">
        <v>113</v>
      </c>
      <c r="D81" s="153" t="s">
        <v>113</v>
      </c>
      <c r="E81" s="116" t="s">
        <v>16</v>
      </c>
      <c r="F81" s="117">
        <v>100</v>
      </c>
      <c r="G81" s="117">
        <v>150</v>
      </c>
      <c r="H81" s="118">
        <v>33.630000000000003</v>
      </c>
      <c r="I81" s="118">
        <v>37.049999999999997</v>
      </c>
      <c r="J81" s="119" t="s">
        <v>17</v>
      </c>
      <c r="K81" s="120" t="s">
        <v>106</v>
      </c>
      <c r="L81" s="119" t="s">
        <v>18</v>
      </c>
      <c r="M81" s="121"/>
      <c r="N81" s="121"/>
      <c r="O81" s="121">
        <f t="shared" si="32"/>
        <v>0</v>
      </c>
      <c r="P81" s="122">
        <f t="shared" si="33"/>
        <v>0</v>
      </c>
      <c r="Q81" s="122">
        <f t="shared" si="34"/>
        <v>0</v>
      </c>
      <c r="R81" s="122">
        <f t="shared" si="35"/>
        <v>0</v>
      </c>
      <c r="S81" s="133">
        <v>900</v>
      </c>
      <c r="T81" s="133">
        <v>1350</v>
      </c>
      <c r="U81" s="121">
        <f t="shared" si="36"/>
        <v>2250</v>
      </c>
      <c r="V81" s="122">
        <f t="shared" si="37"/>
        <v>30267.000000000004</v>
      </c>
      <c r="W81" s="122">
        <f t="shared" si="38"/>
        <v>50017.499999999993</v>
      </c>
      <c r="X81" s="122">
        <f t="shared" si="39"/>
        <v>80284.5</v>
      </c>
      <c r="Y81" s="133">
        <v>300</v>
      </c>
      <c r="Z81" s="133">
        <v>450</v>
      </c>
      <c r="AA81" s="121">
        <f t="shared" si="40"/>
        <v>750</v>
      </c>
      <c r="AB81" s="122">
        <f t="shared" si="41"/>
        <v>10089</v>
      </c>
      <c r="AC81" s="122">
        <f t="shared" si="42"/>
        <v>16672.5</v>
      </c>
      <c r="AD81" s="122">
        <f t="shared" si="43"/>
        <v>26761.5</v>
      </c>
      <c r="AE81" s="139">
        <v>500</v>
      </c>
      <c r="AF81" s="139">
        <v>750</v>
      </c>
      <c r="AG81" s="121">
        <f t="shared" si="44"/>
        <v>1250</v>
      </c>
      <c r="AH81" s="122">
        <f t="shared" si="45"/>
        <v>16815</v>
      </c>
      <c r="AI81" s="122">
        <f t="shared" si="46"/>
        <v>27787.499999999996</v>
      </c>
      <c r="AJ81" s="122">
        <f t="shared" si="47"/>
        <v>44602.5</v>
      </c>
      <c r="AK81" s="133">
        <v>300</v>
      </c>
      <c r="AL81" s="133">
        <v>450</v>
      </c>
      <c r="AM81" s="121">
        <f t="shared" si="48"/>
        <v>750</v>
      </c>
      <c r="AN81" s="122">
        <f t="shared" si="49"/>
        <v>10089</v>
      </c>
      <c r="AO81" s="122">
        <f t="shared" si="50"/>
        <v>16672.5</v>
      </c>
      <c r="AP81" s="122">
        <f t="shared" si="51"/>
        <v>26761.5</v>
      </c>
      <c r="AQ81" s="124">
        <f t="shared" si="52"/>
        <v>2000</v>
      </c>
      <c r="AR81" s="125">
        <f t="shared" si="53"/>
        <v>3000</v>
      </c>
      <c r="AS81" s="126">
        <f t="shared" si="54"/>
        <v>5000</v>
      </c>
      <c r="AT81" s="127">
        <f t="shared" si="55"/>
        <v>67260</v>
      </c>
      <c r="AU81" s="128">
        <f t="shared" si="56"/>
        <v>111150</v>
      </c>
      <c r="AV81" s="129">
        <f t="shared" si="57"/>
        <v>178410</v>
      </c>
      <c r="AX81" s="34">
        <f t="shared" si="58"/>
        <v>178410</v>
      </c>
    </row>
    <row r="82" spans="1:69" s="33" customFormat="1" ht="15" customHeight="1" x14ac:dyDescent="0.25">
      <c r="A82" s="113">
        <v>73</v>
      </c>
      <c r="B82" s="130" t="s">
        <v>104</v>
      </c>
      <c r="C82" s="131" t="s">
        <v>114</v>
      </c>
      <c r="D82" s="131" t="s">
        <v>114</v>
      </c>
      <c r="E82" s="116" t="s">
        <v>41</v>
      </c>
      <c r="F82" s="117">
        <v>150</v>
      </c>
      <c r="G82" s="117">
        <v>200</v>
      </c>
      <c r="H82" s="118">
        <v>33.630000000000003</v>
      </c>
      <c r="I82" s="118">
        <v>37.049999999999997</v>
      </c>
      <c r="J82" s="119" t="s">
        <v>17</v>
      </c>
      <c r="K82" s="120" t="s">
        <v>106</v>
      </c>
      <c r="L82" s="119" t="s">
        <v>18</v>
      </c>
      <c r="M82" s="121"/>
      <c r="N82" s="121"/>
      <c r="O82" s="121">
        <f t="shared" si="32"/>
        <v>0</v>
      </c>
      <c r="P82" s="122">
        <f t="shared" si="33"/>
        <v>0</v>
      </c>
      <c r="Q82" s="122">
        <f t="shared" si="34"/>
        <v>0</v>
      </c>
      <c r="R82" s="122">
        <f t="shared" si="35"/>
        <v>0</v>
      </c>
      <c r="S82" s="133">
        <v>1350</v>
      </c>
      <c r="T82" s="133">
        <v>1800</v>
      </c>
      <c r="U82" s="121">
        <f t="shared" si="36"/>
        <v>3150</v>
      </c>
      <c r="V82" s="122">
        <f t="shared" si="37"/>
        <v>45400.5</v>
      </c>
      <c r="W82" s="122">
        <f t="shared" si="38"/>
        <v>66690</v>
      </c>
      <c r="X82" s="122">
        <f t="shared" si="39"/>
        <v>112090.5</v>
      </c>
      <c r="Y82" s="133">
        <v>450</v>
      </c>
      <c r="Z82" s="133">
        <v>600</v>
      </c>
      <c r="AA82" s="121">
        <f t="shared" si="40"/>
        <v>1050</v>
      </c>
      <c r="AB82" s="122">
        <f t="shared" si="41"/>
        <v>15133.500000000002</v>
      </c>
      <c r="AC82" s="122">
        <f t="shared" si="42"/>
        <v>22230</v>
      </c>
      <c r="AD82" s="122">
        <f t="shared" si="43"/>
        <v>37363.5</v>
      </c>
      <c r="AE82" s="139">
        <v>750</v>
      </c>
      <c r="AF82" s="133">
        <v>1000</v>
      </c>
      <c r="AG82" s="121">
        <f t="shared" si="44"/>
        <v>1750</v>
      </c>
      <c r="AH82" s="122">
        <f t="shared" si="45"/>
        <v>25222.500000000004</v>
      </c>
      <c r="AI82" s="122">
        <f t="shared" si="46"/>
        <v>37050</v>
      </c>
      <c r="AJ82" s="122">
        <f t="shared" si="47"/>
        <v>62272.5</v>
      </c>
      <c r="AK82" s="133">
        <v>450</v>
      </c>
      <c r="AL82" s="133">
        <v>600</v>
      </c>
      <c r="AM82" s="121">
        <f t="shared" si="48"/>
        <v>1050</v>
      </c>
      <c r="AN82" s="122">
        <f t="shared" si="49"/>
        <v>15133.500000000002</v>
      </c>
      <c r="AO82" s="122">
        <f t="shared" si="50"/>
        <v>22230</v>
      </c>
      <c r="AP82" s="122">
        <f t="shared" si="51"/>
        <v>37363.5</v>
      </c>
      <c r="AQ82" s="124">
        <f t="shared" si="52"/>
        <v>3000</v>
      </c>
      <c r="AR82" s="125">
        <f t="shared" si="53"/>
        <v>4000</v>
      </c>
      <c r="AS82" s="126">
        <f t="shared" si="54"/>
        <v>7000</v>
      </c>
      <c r="AT82" s="127">
        <f t="shared" si="55"/>
        <v>100890</v>
      </c>
      <c r="AU82" s="128">
        <f t="shared" si="56"/>
        <v>148200</v>
      </c>
      <c r="AV82" s="129">
        <f t="shared" si="57"/>
        <v>249090</v>
      </c>
      <c r="AX82" s="34">
        <f t="shared" si="58"/>
        <v>249090</v>
      </c>
    </row>
    <row r="83" spans="1:69" s="33" customFormat="1" ht="15" customHeight="1" x14ac:dyDescent="0.25">
      <c r="A83" s="113">
        <v>74</v>
      </c>
      <c r="B83" s="130" t="s">
        <v>104</v>
      </c>
      <c r="C83" s="131" t="s">
        <v>115</v>
      </c>
      <c r="D83" s="131" t="s">
        <v>115</v>
      </c>
      <c r="E83" s="116" t="s">
        <v>16</v>
      </c>
      <c r="F83" s="117">
        <v>75</v>
      </c>
      <c r="G83" s="117">
        <v>125</v>
      </c>
      <c r="H83" s="118">
        <v>33.630000000000003</v>
      </c>
      <c r="I83" s="118">
        <v>37.049999999999997</v>
      </c>
      <c r="J83" s="119" t="s">
        <v>17</v>
      </c>
      <c r="K83" s="120" t="s">
        <v>106</v>
      </c>
      <c r="L83" s="119" t="s">
        <v>18</v>
      </c>
      <c r="M83" s="121"/>
      <c r="N83" s="121"/>
      <c r="O83" s="121">
        <f t="shared" si="32"/>
        <v>0</v>
      </c>
      <c r="P83" s="122">
        <f t="shared" si="33"/>
        <v>0</v>
      </c>
      <c r="Q83" s="122">
        <f t="shared" si="34"/>
        <v>0</v>
      </c>
      <c r="R83" s="122">
        <f t="shared" si="35"/>
        <v>0</v>
      </c>
      <c r="S83" s="133">
        <v>675</v>
      </c>
      <c r="T83" s="133">
        <v>1125</v>
      </c>
      <c r="U83" s="121">
        <f t="shared" si="36"/>
        <v>1800</v>
      </c>
      <c r="V83" s="122">
        <f t="shared" si="37"/>
        <v>22700.25</v>
      </c>
      <c r="W83" s="122">
        <f t="shared" si="38"/>
        <v>41681.25</v>
      </c>
      <c r="X83" s="122">
        <f t="shared" si="39"/>
        <v>64381.5</v>
      </c>
      <c r="Y83" s="133">
        <v>225</v>
      </c>
      <c r="Z83" s="133">
        <v>375</v>
      </c>
      <c r="AA83" s="121">
        <f t="shared" si="40"/>
        <v>600</v>
      </c>
      <c r="AB83" s="122">
        <f t="shared" si="41"/>
        <v>7566.7500000000009</v>
      </c>
      <c r="AC83" s="122">
        <f t="shared" si="42"/>
        <v>13893.749999999998</v>
      </c>
      <c r="AD83" s="122">
        <f t="shared" si="43"/>
        <v>21460.5</v>
      </c>
      <c r="AE83" s="133">
        <v>375</v>
      </c>
      <c r="AF83" s="133">
        <v>625</v>
      </c>
      <c r="AG83" s="121">
        <f t="shared" si="44"/>
        <v>1000</v>
      </c>
      <c r="AH83" s="122">
        <f t="shared" si="45"/>
        <v>12611.250000000002</v>
      </c>
      <c r="AI83" s="122">
        <f t="shared" si="46"/>
        <v>23156.25</v>
      </c>
      <c r="AJ83" s="122">
        <f t="shared" si="47"/>
        <v>35767.5</v>
      </c>
      <c r="AK83" s="133">
        <v>225</v>
      </c>
      <c r="AL83" s="133">
        <v>375</v>
      </c>
      <c r="AM83" s="121">
        <f t="shared" si="48"/>
        <v>600</v>
      </c>
      <c r="AN83" s="122">
        <f t="shared" si="49"/>
        <v>7566.7500000000009</v>
      </c>
      <c r="AO83" s="122">
        <f t="shared" si="50"/>
        <v>13893.749999999998</v>
      </c>
      <c r="AP83" s="122">
        <f t="shared" si="51"/>
        <v>21460.5</v>
      </c>
      <c r="AQ83" s="124">
        <f t="shared" si="52"/>
        <v>1500</v>
      </c>
      <c r="AR83" s="125">
        <f t="shared" si="53"/>
        <v>2500</v>
      </c>
      <c r="AS83" s="126">
        <f t="shared" si="54"/>
        <v>4000</v>
      </c>
      <c r="AT83" s="127">
        <f t="shared" si="55"/>
        <v>50445</v>
      </c>
      <c r="AU83" s="128">
        <f t="shared" si="56"/>
        <v>92625</v>
      </c>
      <c r="AV83" s="129">
        <f t="shared" si="57"/>
        <v>143070</v>
      </c>
      <c r="AX83" s="34">
        <f t="shared" si="58"/>
        <v>143070</v>
      </c>
    </row>
    <row r="84" spans="1:69" s="37" customFormat="1" ht="15" customHeight="1" x14ac:dyDescent="0.25">
      <c r="A84" s="113">
        <v>75</v>
      </c>
      <c r="B84" s="163" t="s">
        <v>104</v>
      </c>
      <c r="C84" s="162" t="s">
        <v>116</v>
      </c>
      <c r="D84" s="162" t="s">
        <v>116</v>
      </c>
      <c r="E84" s="116" t="s">
        <v>16</v>
      </c>
      <c r="F84" s="117">
        <v>100</v>
      </c>
      <c r="G84" s="117">
        <v>175</v>
      </c>
      <c r="H84" s="118">
        <v>33.630000000000003</v>
      </c>
      <c r="I84" s="118">
        <v>37.049999999999997</v>
      </c>
      <c r="J84" s="119" t="s">
        <v>17</v>
      </c>
      <c r="K84" s="120" t="s">
        <v>106</v>
      </c>
      <c r="L84" s="119" t="s">
        <v>18</v>
      </c>
      <c r="M84" s="121"/>
      <c r="N84" s="121"/>
      <c r="O84" s="121">
        <f t="shared" si="32"/>
        <v>0</v>
      </c>
      <c r="P84" s="122">
        <f t="shared" si="33"/>
        <v>0</v>
      </c>
      <c r="Q84" s="122">
        <f t="shared" si="34"/>
        <v>0</v>
      </c>
      <c r="R84" s="122">
        <f t="shared" si="35"/>
        <v>0</v>
      </c>
      <c r="S84" s="133">
        <v>600</v>
      </c>
      <c r="T84" s="133">
        <v>1050</v>
      </c>
      <c r="U84" s="121">
        <f t="shared" si="36"/>
        <v>1650</v>
      </c>
      <c r="V84" s="122">
        <f t="shared" si="37"/>
        <v>20178</v>
      </c>
      <c r="W84" s="122">
        <f t="shared" si="38"/>
        <v>38902.5</v>
      </c>
      <c r="X84" s="122">
        <f t="shared" si="39"/>
        <v>59080.5</v>
      </c>
      <c r="Y84" s="133">
        <v>0</v>
      </c>
      <c r="Z84" s="139">
        <v>0</v>
      </c>
      <c r="AA84" s="121">
        <f t="shared" si="40"/>
        <v>0</v>
      </c>
      <c r="AB84" s="122">
        <f t="shared" si="41"/>
        <v>0</v>
      </c>
      <c r="AC84" s="122">
        <f t="shared" si="42"/>
        <v>0</v>
      </c>
      <c r="AD84" s="122">
        <f t="shared" si="43"/>
        <v>0</v>
      </c>
      <c r="AE84" s="133">
        <v>0</v>
      </c>
      <c r="AF84" s="133">
        <v>0</v>
      </c>
      <c r="AG84" s="121">
        <f t="shared" si="44"/>
        <v>0</v>
      </c>
      <c r="AH84" s="122">
        <f t="shared" si="45"/>
        <v>0</v>
      </c>
      <c r="AI84" s="122">
        <f t="shared" si="46"/>
        <v>0</v>
      </c>
      <c r="AJ84" s="122">
        <f t="shared" si="47"/>
        <v>0</v>
      </c>
      <c r="AK84" s="133">
        <v>0</v>
      </c>
      <c r="AL84" s="133">
        <v>0</v>
      </c>
      <c r="AM84" s="121">
        <f t="shared" si="48"/>
        <v>0</v>
      </c>
      <c r="AN84" s="122">
        <f t="shared" si="49"/>
        <v>0</v>
      </c>
      <c r="AO84" s="122">
        <f t="shared" si="50"/>
        <v>0</v>
      </c>
      <c r="AP84" s="122">
        <f t="shared" si="51"/>
        <v>0</v>
      </c>
      <c r="AQ84" s="124">
        <f t="shared" si="52"/>
        <v>600</v>
      </c>
      <c r="AR84" s="125">
        <f t="shared" si="53"/>
        <v>1050</v>
      </c>
      <c r="AS84" s="126">
        <f t="shared" si="54"/>
        <v>1650</v>
      </c>
      <c r="AT84" s="127">
        <f t="shared" si="55"/>
        <v>20178</v>
      </c>
      <c r="AU84" s="128">
        <f t="shared" si="56"/>
        <v>38902.5</v>
      </c>
      <c r="AV84" s="129">
        <f t="shared" si="57"/>
        <v>59080.5</v>
      </c>
      <c r="AW84" s="33"/>
      <c r="AX84" s="34">
        <f t="shared" si="58"/>
        <v>59080.5</v>
      </c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</row>
    <row r="85" spans="1:69" s="33" customFormat="1" ht="15" customHeight="1" x14ac:dyDescent="0.25">
      <c r="A85" s="113">
        <v>76</v>
      </c>
      <c r="B85" s="149" t="s">
        <v>117</v>
      </c>
      <c r="C85" s="153" t="s">
        <v>118</v>
      </c>
      <c r="D85" s="153" t="s">
        <v>118</v>
      </c>
      <c r="E85" s="116" t="s">
        <v>16</v>
      </c>
      <c r="F85" s="117">
        <v>130</v>
      </c>
      <c r="G85" s="117">
        <v>180</v>
      </c>
      <c r="H85" s="118">
        <v>31.27</v>
      </c>
      <c r="I85" s="118">
        <v>34.450000000000003</v>
      </c>
      <c r="J85" s="119" t="s">
        <v>17</v>
      </c>
      <c r="K85" s="120" t="s">
        <v>62</v>
      </c>
      <c r="L85" s="119" t="s">
        <v>18</v>
      </c>
      <c r="M85" s="121"/>
      <c r="N85" s="121"/>
      <c r="O85" s="121">
        <f t="shared" si="32"/>
        <v>0</v>
      </c>
      <c r="P85" s="122">
        <f t="shared" si="33"/>
        <v>0</v>
      </c>
      <c r="Q85" s="122">
        <f t="shared" si="34"/>
        <v>0</v>
      </c>
      <c r="R85" s="122">
        <f t="shared" si="35"/>
        <v>0</v>
      </c>
      <c r="S85" s="133">
        <v>1170</v>
      </c>
      <c r="T85" s="133">
        <v>1620</v>
      </c>
      <c r="U85" s="121">
        <f t="shared" si="36"/>
        <v>2790</v>
      </c>
      <c r="V85" s="122">
        <f t="shared" si="37"/>
        <v>36585.9</v>
      </c>
      <c r="W85" s="122">
        <f t="shared" si="38"/>
        <v>55809.000000000007</v>
      </c>
      <c r="X85" s="122">
        <f t="shared" si="39"/>
        <v>92394.900000000009</v>
      </c>
      <c r="Y85" s="133">
        <v>390</v>
      </c>
      <c r="Z85" s="133">
        <v>540</v>
      </c>
      <c r="AA85" s="121">
        <f t="shared" si="40"/>
        <v>930</v>
      </c>
      <c r="AB85" s="122">
        <f t="shared" si="41"/>
        <v>12195.3</v>
      </c>
      <c r="AC85" s="122">
        <f t="shared" si="42"/>
        <v>18603</v>
      </c>
      <c r="AD85" s="122">
        <f t="shared" si="43"/>
        <v>30798.3</v>
      </c>
      <c r="AE85" s="133">
        <v>650</v>
      </c>
      <c r="AF85" s="133">
        <v>900</v>
      </c>
      <c r="AG85" s="121">
        <f t="shared" si="44"/>
        <v>1550</v>
      </c>
      <c r="AH85" s="122">
        <f t="shared" si="45"/>
        <v>20325.5</v>
      </c>
      <c r="AI85" s="122">
        <f t="shared" si="46"/>
        <v>31005.000000000004</v>
      </c>
      <c r="AJ85" s="122">
        <f t="shared" si="47"/>
        <v>51330.5</v>
      </c>
      <c r="AK85" s="133">
        <v>390</v>
      </c>
      <c r="AL85" s="133">
        <v>540</v>
      </c>
      <c r="AM85" s="121">
        <f t="shared" si="48"/>
        <v>930</v>
      </c>
      <c r="AN85" s="122">
        <f t="shared" si="49"/>
        <v>12195.3</v>
      </c>
      <c r="AO85" s="122">
        <f t="shared" si="50"/>
        <v>18603</v>
      </c>
      <c r="AP85" s="122">
        <f t="shared" si="51"/>
        <v>30798.3</v>
      </c>
      <c r="AQ85" s="124">
        <f t="shared" si="52"/>
        <v>2600</v>
      </c>
      <c r="AR85" s="125">
        <f t="shared" si="53"/>
        <v>3600</v>
      </c>
      <c r="AS85" s="126">
        <f t="shared" si="54"/>
        <v>6200</v>
      </c>
      <c r="AT85" s="127">
        <f t="shared" si="55"/>
        <v>81302</v>
      </c>
      <c r="AU85" s="128">
        <f t="shared" si="56"/>
        <v>124020</v>
      </c>
      <c r="AV85" s="129">
        <f t="shared" si="57"/>
        <v>205322</v>
      </c>
      <c r="AX85" s="34">
        <f t="shared" si="58"/>
        <v>205322</v>
      </c>
    </row>
    <row r="86" spans="1:69" s="33" customFormat="1" ht="15" customHeight="1" x14ac:dyDescent="0.25">
      <c r="A86" s="113">
        <v>77</v>
      </c>
      <c r="B86" s="130" t="s">
        <v>117</v>
      </c>
      <c r="C86" s="131" t="s">
        <v>118</v>
      </c>
      <c r="D86" s="131" t="s">
        <v>119</v>
      </c>
      <c r="E86" s="116" t="s">
        <v>16</v>
      </c>
      <c r="F86" s="117">
        <v>125</v>
      </c>
      <c r="G86" s="117">
        <v>150</v>
      </c>
      <c r="H86" s="118">
        <v>31.27</v>
      </c>
      <c r="I86" s="118">
        <v>34.450000000000003</v>
      </c>
      <c r="J86" s="119" t="s">
        <v>17</v>
      </c>
      <c r="K86" s="120" t="s">
        <v>62</v>
      </c>
      <c r="L86" s="119" t="s">
        <v>18</v>
      </c>
      <c r="M86" s="121"/>
      <c r="N86" s="121"/>
      <c r="O86" s="121">
        <f t="shared" si="32"/>
        <v>0</v>
      </c>
      <c r="P86" s="122">
        <f t="shared" si="33"/>
        <v>0</v>
      </c>
      <c r="Q86" s="122">
        <f t="shared" si="34"/>
        <v>0</v>
      </c>
      <c r="R86" s="122">
        <f t="shared" si="35"/>
        <v>0</v>
      </c>
      <c r="S86" s="133">
        <v>1125</v>
      </c>
      <c r="T86" s="133">
        <v>1350</v>
      </c>
      <c r="U86" s="121">
        <f t="shared" si="36"/>
        <v>2475</v>
      </c>
      <c r="V86" s="122">
        <f t="shared" si="37"/>
        <v>35178.75</v>
      </c>
      <c r="W86" s="122">
        <f t="shared" si="38"/>
        <v>46507.500000000007</v>
      </c>
      <c r="X86" s="122">
        <f t="shared" si="39"/>
        <v>81686.25</v>
      </c>
      <c r="Y86" s="133">
        <v>375</v>
      </c>
      <c r="Z86" s="133">
        <v>450</v>
      </c>
      <c r="AA86" s="121">
        <f t="shared" si="40"/>
        <v>825</v>
      </c>
      <c r="AB86" s="122">
        <f t="shared" si="41"/>
        <v>11726.25</v>
      </c>
      <c r="AC86" s="122">
        <f t="shared" si="42"/>
        <v>15502.500000000002</v>
      </c>
      <c r="AD86" s="122">
        <f t="shared" si="43"/>
        <v>27228.75</v>
      </c>
      <c r="AE86" s="133">
        <v>625</v>
      </c>
      <c r="AF86" s="133">
        <v>750</v>
      </c>
      <c r="AG86" s="121">
        <f t="shared" si="44"/>
        <v>1375</v>
      </c>
      <c r="AH86" s="122">
        <f t="shared" si="45"/>
        <v>19543.75</v>
      </c>
      <c r="AI86" s="122">
        <f t="shared" si="46"/>
        <v>25837.500000000004</v>
      </c>
      <c r="AJ86" s="122">
        <f t="shared" si="47"/>
        <v>45381.25</v>
      </c>
      <c r="AK86" s="133">
        <v>375</v>
      </c>
      <c r="AL86" s="133">
        <v>450</v>
      </c>
      <c r="AM86" s="121">
        <f t="shared" si="48"/>
        <v>825</v>
      </c>
      <c r="AN86" s="122">
        <f t="shared" si="49"/>
        <v>11726.25</v>
      </c>
      <c r="AO86" s="122">
        <f t="shared" si="50"/>
        <v>15502.500000000002</v>
      </c>
      <c r="AP86" s="122">
        <f t="shared" si="51"/>
        <v>27228.75</v>
      </c>
      <c r="AQ86" s="124">
        <f t="shared" si="52"/>
        <v>2500</v>
      </c>
      <c r="AR86" s="125">
        <f t="shared" si="53"/>
        <v>3000</v>
      </c>
      <c r="AS86" s="126">
        <f t="shared" si="54"/>
        <v>5500</v>
      </c>
      <c r="AT86" s="127">
        <f t="shared" si="55"/>
        <v>78175</v>
      </c>
      <c r="AU86" s="128">
        <f t="shared" si="56"/>
        <v>103350.00000000001</v>
      </c>
      <c r="AV86" s="129">
        <f t="shared" si="57"/>
        <v>181525</v>
      </c>
      <c r="AX86" s="34">
        <f t="shared" si="58"/>
        <v>181525</v>
      </c>
    </row>
    <row r="87" spans="1:69" s="33" customFormat="1" ht="15" customHeight="1" x14ac:dyDescent="0.25">
      <c r="A87" s="113">
        <v>78</v>
      </c>
      <c r="B87" s="130" t="s">
        <v>117</v>
      </c>
      <c r="C87" s="164" t="s">
        <v>120</v>
      </c>
      <c r="D87" s="164" t="s">
        <v>121</v>
      </c>
      <c r="E87" s="116" t="s">
        <v>32</v>
      </c>
      <c r="F87" s="117">
        <v>80</v>
      </c>
      <c r="G87" s="117">
        <v>130</v>
      </c>
      <c r="H87" s="118">
        <v>31.27</v>
      </c>
      <c r="I87" s="118">
        <v>34.450000000000003</v>
      </c>
      <c r="J87" s="119" t="s">
        <v>17</v>
      </c>
      <c r="K87" s="120" t="s">
        <v>62</v>
      </c>
      <c r="L87" s="119" t="s">
        <v>18</v>
      </c>
      <c r="M87" s="121"/>
      <c r="N87" s="121"/>
      <c r="O87" s="121">
        <f t="shared" si="32"/>
        <v>0</v>
      </c>
      <c r="P87" s="122">
        <f t="shared" si="33"/>
        <v>0</v>
      </c>
      <c r="Q87" s="122">
        <f t="shared" si="34"/>
        <v>0</v>
      </c>
      <c r="R87" s="122">
        <f t="shared" si="35"/>
        <v>0</v>
      </c>
      <c r="S87" s="133">
        <v>720</v>
      </c>
      <c r="T87" s="133">
        <v>1170</v>
      </c>
      <c r="U87" s="121">
        <f t="shared" si="36"/>
        <v>1890</v>
      </c>
      <c r="V87" s="122">
        <f t="shared" si="37"/>
        <v>22514.400000000001</v>
      </c>
      <c r="W87" s="122">
        <f t="shared" si="38"/>
        <v>40306.5</v>
      </c>
      <c r="X87" s="122">
        <f t="shared" si="39"/>
        <v>62820.9</v>
      </c>
      <c r="Y87" s="133">
        <v>240</v>
      </c>
      <c r="Z87" s="133">
        <v>390</v>
      </c>
      <c r="AA87" s="121">
        <f t="shared" si="40"/>
        <v>630</v>
      </c>
      <c r="AB87" s="122">
        <f t="shared" si="41"/>
        <v>7504.8</v>
      </c>
      <c r="AC87" s="122">
        <f t="shared" si="42"/>
        <v>13435.500000000002</v>
      </c>
      <c r="AD87" s="122">
        <f t="shared" si="43"/>
        <v>20940.300000000003</v>
      </c>
      <c r="AE87" s="133">
        <v>400</v>
      </c>
      <c r="AF87" s="133">
        <v>650</v>
      </c>
      <c r="AG87" s="121">
        <f t="shared" si="44"/>
        <v>1050</v>
      </c>
      <c r="AH87" s="122">
        <f t="shared" si="45"/>
        <v>12508</v>
      </c>
      <c r="AI87" s="122">
        <f t="shared" si="46"/>
        <v>22392.500000000004</v>
      </c>
      <c r="AJ87" s="122">
        <f t="shared" si="47"/>
        <v>34900.5</v>
      </c>
      <c r="AK87" s="133">
        <v>240</v>
      </c>
      <c r="AL87" s="133">
        <v>390</v>
      </c>
      <c r="AM87" s="121">
        <f t="shared" si="48"/>
        <v>630</v>
      </c>
      <c r="AN87" s="122">
        <f t="shared" si="49"/>
        <v>7504.8</v>
      </c>
      <c r="AO87" s="122">
        <f t="shared" si="50"/>
        <v>13435.500000000002</v>
      </c>
      <c r="AP87" s="122">
        <f t="shared" si="51"/>
        <v>20940.300000000003</v>
      </c>
      <c r="AQ87" s="124">
        <f t="shared" si="52"/>
        <v>1600</v>
      </c>
      <c r="AR87" s="125">
        <f t="shared" si="53"/>
        <v>2600</v>
      </c>
      <c r="AS87" s="126">
        <f t="shared" si="54"/>
        <v>4200</v>
      </c>
      <c r="AT87" s="127">
        <f t="shared" si="55"/>
        <v>50032</v>
      </c>
      <c r="AU87" s="128">
        <f t="shared" si="56"/>
        <v>89570</v>
      </c>
      <c r="AV87" s="129">
        <f t="shared" si="57"/>
        <v>139602</v>
      </c>
      <c r="AX87" s="34">
        <f t="shared" si="58"/>
        <v>139602</v>
      </c>
    </row>
    <row r="88" spans="1:69" s="33" customFormat="1" ht="15" customHeight="1" x14ac:dyDescent="0.25">
      <c r="A88" s="113">
        <v>79</v>
      </c>
      <c r="B88" s="130" t="s">
        <v>117</v>
      </c>
      <c r="C88" s="164" t="s">
        <v>122</v>
      </c>
      <c r="D88" s="164" t="s">
        <v>122</v>
      </c>
      <c r="E88" s="116" t="s">
        <v>16</v>
      </c>
      <c r="F88" s="117">
        <v>100</v>
      </c>
      <c r="G88" s="117">
        <v>150</v>
      </c>
      <c r="H88" s="118">
        <v>31.27</v>
      </c>
      <c r="I88" s="118">
        <v>34.450000000000003</v>
      </c>
      <c r="J88" s="119" t="s">
        <v>17</v>
      </c>
      <c r="K88" s="120" t="s">
        <v>62</v>
      </c>
      <c r="L88" s="119" t="s">
        <v>18</v>
      </c>
      <c r="M88" s="121"/>
      <c r="N88" s="121"/>
      <c r="O88" s="121">
        <f t="shared" si="32"/>
        <v>0</v>
      </c>
      <c r="P88" s="122">
        <f t="shared" si="33"/>
        <v>0</v>
      </c>
      <c r="Q88" s="122">
        <f t="shared" si="34"/>
        <v>0</v>
      </c>
      <c r="R88" s="122">
        <f t="shared" si="35"/>
        <v>0</v>
      </c>
      <c r="S88" s="133">
        <v>900</v>
      </c>
      <c r="T88" s="133">
        <v>1350</v>
      </c>
      <c r="U88" s="121">
        <f t="shared" si="36"/>
        <v>2250</v>
      </c>
      <c r="V88" s="122">
        <f t="shared" si="37"/>
        <v>28143</v>
      </c>
      <c r="W88" s="122">
        <f t="shared" si="38"/>
        <v>46507.500000000007</v>
      </c>
      <c r="X88" s="122">
        <f t="shared" si="39"/>
        <v>74650.5</v>
      </c>
      <c r="Y88" s="133">
        <v>300</v>
      </c>
      <c r="Z88" s="133">
        <v>450</v>
      </c>
      <c r="AA88" s="121">
        <f t="shared" si="40"/>
        <v>750</v>
      </c>
      <c r="AB88" s="122">
        <f t="shared" si="41"/>
        <v>9381</v>
      </c>
      <c r="AC88" s="122">
        <f t="shared" si="42"/>
        <v>15502.500000000002</v>
      </c>
      <c r="AD88" s="122">
        <f t="shared" si="43"/>
        <v>24883.5</v>
      </c>
      <c r="AE88" s="133">
        <v>500</v>
      </c>
      <c r="AF88" s="133">
        <v>750</v>
      </c>
      <c r="AG88" s="121">
        <f t="shared" si="44"/>
        <v>1250</v>
      </c>
      <c r="AH88" s="122">
        <f t="shared" si="45"/>
        <v>15635</v>
      </c>
      <c r="AI88" s="122">
        <f t="shared" si="46"/>
        <v>25837.500000000004</v>
      </c>
      <c r="AJ88" s="122">
        <f t="shared" si="47"/>
        <v>41472.5</v>
      </c>
      <c r="AK88" s="133">
        <v>300</v>
      </c>
      <c r="AL88" s="133">
        <v>450</v>
      </c>
      <c r="AM88" s="121">
        <f t="shared" si="48"/>
        <v>750</v>
      </c>
      <c r="AN88" s="122">
        <f t="shared" si="49"/>
        <v>9381</v>
      </c>
      <c r="AO88" s="122">
        <f t="shared" si="50"/>
        <v>15502.500000000002</v>
      </c>
      <c r="AP88" s="122">
        <f t="shared" si="51"/>
        <v>24883.5</v>
      </c>
      <c r="AQ88" s="124">
        <f t="shared" si="52"/>
        <v>2000</v>
      </c>
      <c r="AR88" s="125">
        <f t="shared" si="53"/>
        <v>3000</v>
      </c>
      <c r="AS88" s="126">
        <f t="shared" si="54"/>
        <v>5000</v>
      </c>
      <c r="AT88" s="127">
        <f t="shared" si="55"/>
        <v>62540</v>
      </c>
      <c r="AU88" s="128">
        <f t="shared" si="56"/>
        <v>103350.00000000001</v>
      </c>
      <c r="AV88" s="129">
        <f t="shared" si="57"/>
        <v>165890</v>
      </c>
      <c r="AX88" s="34">
        <f t="shared" si="58"/>
        <v>165890</v>
      </c>
    </row>
    <row r="89" spans="1:69" s="33" customFormat="1" ht="15" customHeight="1" x14ac:dyDescent="0.25">
      <c r="A89" s="113">
        <v>80</v>
      </c>
      <c r="B89" s="130" t="s">
        <v>117</v>
      </c>
      <c r="C89" s="131" t="s">
        <v>123</v>
      </c>
      <c r="D89" s="131" t="s">
        <v>123</v>
      </c>
      <c r="E89" s="116" t="s">
        <v>16</v>
      </c>
      <c r="F89" s="117">
        <v>100</v>
      </c>
      <c r="G89" s="117">
        <v>150</v>
      </c>
      <c r="H89" s="118">
        <v>23</v>
      </c>
      <c r="I89" s="118">
        <v>28</v>
      </c>
      <c r="J89" s="119" t="s">
        <v>23</v>
      </c>
      <c r="K89" s="119" t="s">
        <v>124</v>
      </c>
      <c r="L89" s="119" t="s">
        <v>25</v>
      </c>
      <c r="M89" s="121"/>
      <c r="N89" s="121"/>
      <c r="O89" s="121">
        <f t="shared" si="32"/>
        <v>0</v>
      </c>
      <c r="P89" s="122">
        <f t="shared" si="33"/>
        <v>0</v>
      </c>
      <c r="Q89" s="122">
        <f t="shared" si="34"/>
        <v>0</v>
      </c>
      <c r="R89" s="122">
        <f t="shared" si="35"/>
        <v>0</v>
      </c>
      <c r="S89" s="133">
        <v>900</v>
      </c>
      <c r="T89" s="133">
        <v>1350</v>
      </c>
      <c r="U89" s="121">
        <f t="shared" si="36"/>
        <v>2250</v>
      </c>
      <c r="V89" s="122">
        <f t="shared" si="37"/>
        <v>20700</v>
      </c>
      <c r="W89" s="122">
        <f t="shared" si="38"/>
        <v>37800</v>
      </c>
      <c r="X89" s="122">
        <f t="shared" si="39"/>
        <v>58500</v>
      </c>
      <c r="Y89" s="133">
        <v>300</v>
      </c>
      <c r="Z89" s="133">
        <v>450</v>
      </c>
      <c r="AA89" s="121">
        <f t="shared" si="40"/>
        <v>750</v>
      </c>
      <c r="AB89" s="122">
        <f t="shared" si="41"/>
        <v>6900</v>
      </c>
      <c r="AC89" s="122">
        <f t="shared" si="42"/>
        <v>12600</v>
      </c>
      <c r="AD89" s="122">
        <f t="shared" si="43"/>
        <v>19500</v>
      </c>
      <c r="AE89" s="133">
        <v>500</v>
      </c>
      <c r="AF89" s="133">
        <v>750</v>
      </c>
      <c r="AG89" s="121">
        <f t="shared" si="44"/>
        <v>1250</v>
      </c>
      <c r="AH89" s="122">
        <f t="shared" si="45"/>
        <v>11500</v>
      </c>
      <c r="AI89" s="122">
        <f t="shared" si="46"/>
        <v>21000</v>
      </c>
      <c r="AJ89" s="122">
        <f t="shared" si="47"/>
        <v>32500</v>
      </c>
      <c r="AK89" s="133">
        <v>300</v>
      </c>
      <c r="AL89" s="133">
        <v>450</v>
      </c>
      <c r="AM89" s="121">
        <f t="shared" si="48"/>
        <v>750</v>
      </c>
      <c r="AN89" s="122">
        <f t="shared" si="49"/>
        <v>6900</v>
      </c>
      <c r="AO89" s="122">
        <f t="shared" si="50"/>
        <v>12600</v>
      </c>
      <c r="AP89" s="122">
        <f t="shared" si="51"/>
        <v>19500</v>
      </c>
      <c r="AQ89" s="124">
        <f t="shared" si="52"/>
        <v>2000</v>
      </c>
      <c r="AR89" s="125">
        <f t="shared" si="53"/>
        <v>3000</v>
      </c>
      <c r="AS89" s="126">
        <f t="shared" si="54"/>
        <v>5000</v>
      </c>
      <c r="AT89" s="127">
        <f t="shared" si="55"/>
        <v>46000</v>
      </c>
      <c r="AU89" s="128">
        <f t="shared" si="56"/>
        <v>84000</v>
      </c>
      <c r="AV89" s="129">
        <f t="shared" si="57"/>
        <v>130000</v>
      </c>
      <c r="AX89" s="34">
        <f t="shared" si="58"/>
        <v>130000</v>
      </c>
    </row>
    <row r="90" spans="1:69" s="33" customFormat="1" ht="15" customHeight="1" x14ac:dyDescent="0.25">
      <c r="A90" s="113">
        <v>81</v>
      </c>
      <c r="B90" s="130" t="s">
        <v>117</v>
      </c>
      <c r="C90" s="131" t="s">
        <v>125</v>
      </c>
      <c r="D90" s="131" t="s">
        <v>126</v>
      </c>
      <c r="E90" s="116" t="s">
        <v>16</v>
      </c>
      <c r="F90" s="117">
        <v>100</v>
      </c>
      <c r="G90" s="117">
        <v>125</v>
      </c>
      <c r="H90" s="118">
        <v>31.27</v>
      </c>
      <c r="I90" s="118">
        <v>34.450000000000003</v>
      </c>
      <c r="J90" s="119" t="s">
        <v>17</v>
      </c>
      <c r="K90" s="120" t="s">
        <v>62</v>
      </c>
      <c r="L90" s="119" t="s">
        <v>18</v>
      </c>
      <c r="M90" s="121"/>
      <c r="N90" s="121"/>
      <c r="O90" s="121">
        <f t="shared" si="32"/>
        <v>0</v>
      </c>
      <c r="P90" s="122">
        <f t="shared" si="33"/>
        <v>0</v>
      </c>
      <c r="Q90" s="122">
        <f t="shared" si="34"/>
        <v>0</v>
      </c>
      <c r="R90" s="122">
        <f t="shared" si="35"/>
        <v>0</v>
      </c>
      <c r="S90" s="133">
        <v>900</v>
      </c>
      <c r="T90" s="133">
        <v>1125</v>
      </c>
      <c r="U90" s="121">
        <f t="shared" si="36"/>
        <v>2025</v>
      </c>
      <c r="V90" s="122">
        <f t="shared" si="37"/>
        <v>28143</v>
      </c>
      <c r="W90" s="122">
        <f t="shared" si="38"/>
        <v>38756.25</v>
      </c>
      <c r="X90" s="122">
        <f t="shared" si="39"/>
        <v>66899.25</v>
      </c>
      <c r="Y90" s="133">
        <v>300</v>
      </c>
      <c r="Z90" s="133">
        <v>375</v>
      </c>
      <c r="AA90" s="121">
        <f t="shared" si="40"/>
        <v>675</v>
      </c>
      <c r="AB90" s="122">
        <f t="shared" si="41"/>
        <v>9381</v>
      </c>
      <c r="AC90" s="122">
        <f t="shared" si="42"/>
        <v>12918.750000000002</v>
      </c>
      <c r="AD90" s="122">
        <f t="shared" si="43"/>
        <v>22299.75</v>
      </c>
      <c r="AE90" s="133">
        <v>500</v>
      </c>
      <c r="AF90" s="133">
        <v>625</v>
      </c>
      <c r="AG90" s="121">
        <f t="shared" si="44"/>
        <v>1125</v>
      </c>
      <c r="AH90" s="122">
        <f t="shared" si="45"/>
        <v>15635</v>
      </c>
      <c r="AI90" s="122">
        <f t="shared" si="46"/>
        <v>21531.25</v>
      </c>
      <c r="AJ90" s="122">
        <f t="shared" si="47"/>
        <v>37166.25</v>
      </c>
      <c r="AK90" s="133">
        <v>300</v>
      </c>
      <c r="AL90" s="133">
        <v>375</v>
      </c>
      <c r="AM90" s="121">
        <f t="shared" si="48"/>
        <v>675</v>
      </c>
      <c r="AN90" s="122">
        <f t="shared" si="49"/>
        <v>9381</v>
      </c>
      <c r="AO90" s="122">
        <f t="shared" si="50"/>
        <v>12918.750000000002</v>
      </c>
      <c r="AP90" s="122">
        <f t="shared" si="51"/>
        <v>22299.75</v>
      </c>
      <c r="AQ90" s="124">
        <f t="shared" si="52"/>
        <v>2000</v>
      </c>
      <c r="AR90" s="125">
        <f t="shared" si="53"/>
        <v>2500</v>
      </c>
      <c r="AS90" s="126">
        <f t="shared" si="54"/>
        <v>4500</v>
      </c>
      <c r="AT90" s="127">
        <f t="shared" si="55"/>
        <v>62540</v>
      </c>
      <c r="AU90" s="128">
        <f t="shared" si="56"/>
        <v>86125</v>
      </c>
      <c r="AV90" s="129">
        <f t="shared" si="57"/>
        <v>148665</v>
      </c>
      <c r="AX90" s="34">
        <f t="shared" si="58"/>
        <v>148665</v>
      </c>
    </row>
    <row r="91" spans="1:69" s="33" customFormat="1" ht="15" customHeight="1" x14ac:dyDescent="0.25">
      <c r="A91" s="113">
        <v>82</v>
      </c>
      <c r="B91" s="130" t="s">
        <v>127</v>
      </c>
      <c r="C91" s="131" t="s">
        <v>127</v>
      </c>
      <c r="D91" s="131" t="s">
        <v>127</v>
      </c>
      <c r="E91" s="116" t="s">
        <v>41</v>
      </c>
      <c r="F91" s="117">
        <v>350</v>
      </c>
      <c r="G91" s="117">
        <v>400</v>
      </c>
      <c r="H91" s="118">
        <v>30.09</v>
      </c>
      <c r="I91" s="118">
        <v>33.15</v>
      </c>
      <c r="J91" s="119" t="s">
        <v>17</v>
      </c>
      <c r="K91" s="120"/>
      <c r="L91" s="119" t="s">
        <v>18</v>
      </c>
      <c r="M91" s="121"/>
      <c r="N91" s="121"/>
      <c r="O91" s="121">
        <f t="shared" si="32"/>
        <v>0</v>
      </c>
      <c r="P91" s="122">
        <f t="shared" si="33"/>
        <v>0</v>
      </c>
      <c r="Q91" s="122">
        <f t="shared" si="34"/>
        <v>0</v>
      </c>
      <c r="R91" s="122">
        <f t="shared" si="35"/>
        <v>0</v>
      </c>
      <c r="S91" s="133">
        <v>3150</v>
      </c>
      <c r="T91" s="133">
        <v>3600</v>
      </c>
      <c r="U91" s="121">
        <f t="shared" si="36"/>
        <v>6750</v>
      </c>
      <c r="V91" s="122">
        <f t="shared" si="37"/>
        <v>94783.5</v>
      </c>
      <c r="W91" s="122">
        <f t="shared" si="38"/>
        <v>119340</v>
      </c>
      <c r="X91" s="122">
        <f t="shared" si="39"/>
        <v>214123.5</v>
      </c>
      <c r="Y91" s="133">
        <v>1050</v>
      </c>
      <c r="Z91" s="139">
        <v>1200</v>
      </c>
      <c r="AA91" s="121">
        <f t="shared" si="40"/>
        <v>2250</v>
      </c>
      <c r="AB91" s="122">
        <f t="shared" si="41"/>
        <v>31594.5</v>
      </c>
      <c r="AC91" s="122">
        <f t="shared" si="42"/>
        <v>39780</v>
      </c>
      <c r="AD91" s="122">
        <f t="shared" si="43"/>
        <v>71374.5</v>
      </c>
      <c r="AE91" s="133">
        <v>1750</v>
      </c>
      <c r="AF91" s="133">
        <v>2000</v>
      </c>
      <c r="AG91" s="121">
        <f t="shared" si="44"/>
        <v>3750</v>
      </c>
      <c r="AH91" s="122">
        <f t="shared" si="45"/>
        <v>52657.5</v>
      </c>
      <c r="AI91" s="122">
        <f t="shared" si="46"/>
        <v>66300</v>
      </c>
      <c r="AJ91" s="122">
        <f t="shared" si="47"/>
        <v>118957.5</v>
      </c>
      <c r="AK91" s="133">
        <v>1050</v>
      </c>
      <c r="AL91" s="133">
        <v>1200</v>
      </c>
      <c r="AM91" s="121">
        <f t="shared" si="48"/>
        <v>2250</v>
      </c>
      <c r="AN91" s="122">
        <f t="shared" si="49"/>
        <v>31594.5</v>
      </c>
      <c r="AO91" s="122">
        <f t="shared" si="50"/>
        <v>39780</v>
      </c>
      <c r="AP91" s="122">
        <f t="shared" si="51"/>
        <v>71374.5</v>
      </c>
      <c r="AQ91" s="124">
        <f t="shared" si="52"/>
        <v>7000</v>
      </c>
      <c r="AR91" s="125">
        <f t="shared" si="53"/>
        <v>8000</v>
      </c>
      <c r="AS91" s="126">
        <f t="shared" si="54"/>
        <v>15000</v>
      </c>
      <c r="AT91" s="127">
        <f t="shared" si="55"/>
        <v>210630</v>
      </c>
      <c r="AU91" s="128">
        <f t="shared" si="56"/>
        <v>265200</v>
      </c>
      <c r="AV91" s="129">
        <f t="shared" si="57"/>
        <v>475830</v>
      </c>
      <c r="AX91" s="34">
        <f t="shared" si="58"/>
        <v>475830</v>
      </c>
    </row>
    <row r="92" spans="1:69" s="33" customFormat="1" ht="15" customHeight="1" x14ac:dyDescent="0.25">
      <c r="A92" s="113">
        <v>83</v>
      </c>
      <c r="B92" s="114" t="s">
        <v>127</v>
      </c>
      <c r="C92" s="115" t="s">
        <v>128</v>
      </c>
      <c r="D92" s="115" t="s">
        <v>128</v>
      </c>
      <c r="E92" s="116" t="s">
        <v>16</v>
      </c>
      <c r="F92" s="117">
        <v>75</v>
      </c>
      <c r="G92" s="117">
        <v>150</v>
      </c>
      <c r="H92" s="118">
        <v>30.09</v>
      </c>
      <c r="I92" s="118">
        <v>33.15</v>
      </c>
      <c r="J92" s="119" t="s">
        <v>17</v>
      </c>
      <c r="K92" s="120"/>
      <c r="L92" s="119" t="s">
        <v>18</v>
      </c>
      <c r="M92" s="121"/>
      <c r="N92" s="121"/>
      <c r="O92" s="121">
        <f t="shared" si="32"/>
        <v>0</v>
      </c>
      <c r="P92" s="122">
        <f t="shared" si="33"/>
        <v>0</v>
      </c>
      <c r="Q92" s="122">
        <f t="shared" si="34"/>
        <v>0</v>
      </c>
      <c r="R92" s="122">
        <f t="shared" si="35"/>
        <v>0</v>
      </c>
      <c r="S92" s="138">
        <v>600</v>
      </c>
      <c r="T92" s="133">
        <v>1350</v>
      </c>
      <c r="U92" s="121">
        <f t="shared" si="36"/>
        <v>1950</v>
      </c>
      <c r="V92" s="122">
        <f t="shared" si="37"/>
        <v>18054</v>
      </c>
      <c r="W92" s="122">
        <f t="shared" si="38"/>
        <v>44752.5</v>
      </c>
      <c r="X92" s="122">
        <f t="shared" si="39"/>
        <v>62806.5</v>
      </c>
      <c r="Y92" s="138">
        <v>225</v>
      </c>
      <c r="Z92" s="138">
        <v>300</v>
      </c>
      <c r="AA92" s="121">
        <f t="shared" si="40"/>
        <v>525</v>
      </c>
      <c r="AB92" s="122">
        <f t="shared" si="41"/>
        <v>6770.25</v>
      </c>
      <c r="AC92" s="122">
        <f t="shared" si="42"/>
        <v>9945</v>
      </c>
      <c r="AD92" s="122">
        <f t="shared" si="43"/>
        <v>16715.25</v>
      </c>
      <c r="AE92" s="133">
        <v>375</v>
      </c>
      <c r="AF92" s="133">
        <v>750</v>
      </c>
      <c r="AG92" s="121">
        <f t="shared" si="44"/>
        <v>1125</v>
      </c>
      <c r="AH92" s="122">
        <f t="shared" si="45"/>
        <v>11283.75</v>
      </c>
      <c r="AI92" s="122">
        <f t="shared" si="46"/>
        <v>24862.5</v>
      </c>
      <c r="AJ92" s="122">
        <f t="shared" si="47"/>
        <v>36146.25</v>
      </c>
      <c r="AK92" s="133">
        <v>225</v>
      </c>
      <c r="AL92" s="139">
        <v>450</v>
      </c>
      <c r="AM92" s="121">
        <f t="shared" si="48"/>
        <v>675</v>
      </c>
      <c r="AN92" s="122">
        <f t="shared" si="49"/>
        <v>6770.25</v>
      </c>
      <c r="AO92" s="122">
        <f t="shared" si="50"/>
        <v>14917.5</v>
      </c>
      <c r="AP92" s="122">
        <f t="shared" si="51"/>
        <v>21687.75</v>
      </c>
      <c r="AQ92" s="124">
        <f t="shared" ref="AQ92:AQ97" si="59">S92+Y92+AE92+AK92+M92</f>
        <v>1425</v>
      </c>
      <c r="AR92" s="125">
        <f t="shared" ref="AR92:AR97" si="60">T92+Z92+AF92+AL92+N92</f>
        <v>2850</v>
      </c>
      <c r="AS92" s="126">
        <f t="shared" si="54"/>
        <v>4275</v>
      </c>
      <c r="AT92" s="127">
        <f t="shared" si="55"/>
        <v>42878.25</v>
      </c>
      <c r="AU92" s="128">
        <f t="shared" si="56"/>
        <v>94477.5</v>
      </c>
      <c r="AV92" s="129">
        <f t="shared" si="57"/>
        <v>137355.75</v>
      </c>
      <c r="AX92" s="34">
        <f t="shared" si="58"/>
        <v>137355.75</v>
      </c>
    </row>
    <row r="93" spans="1:69" s="33" customFormat="1" ht="15" customHeight="1" x14ac:dyDescent="0.25">
      <c r="A93" s="113">
        <v>84</v>
      </c>
      <c r="B93" s="130" t="s">
        <v>127</v>
      </c>
      <c r="C93" s="131" t="s">
        <v>129</v>
      </c>
      <c r="D93" s="131" t="s">
        <v>129</v>
      </c>
      <c r="E93" s="116" t="s">
        <v>41</v>
      </c>
      <c r="F93" s="117">
        <v>150</v>
      </c>
      <c r="G93" s="117">
        <v>200</v>
      </c>
      <c r="H93" s="118">
        <v>30.09</v>
      </c>
      <c r="I93" s="118">
        <v>33.15</v>
      </c>
      <c r="J93" s="119" t="s">
        <v>17</v>
      </c>
      <c r="K93" s="120"/>
      <c r="L93" s="119" t="s">
        <v>18</v>
      </c>
      <c r="M93" s="121"/>
      <c r="N93" s="121"/>
      <c r="O93" s="121">
        <f t="shared" si="32"/>
        <v>0</v>
      </c>
      <c r="P93" s="122">
        <f t="shared" si="33"/>
        <v>0</v>
      </c>
      <c r="Q93" s="122">
        <f t="shared" si="34"/>
        <v>0</v>
      </c>
      <c r="R93" s="122">
        <f t="shared" si="35"/>
        <v>0</v>
      </c>
      <c r="S93" s="133">
        <v>900</v>
      </c>
      <c r="T93" s="133">
        <v>1350</v>
      </c>
      <c r="U93" s="121">
        <f t="shared" si="36"/>
        <v>2250</v>
      </c>
      <c r="V93" s="122">
        <f t="shared" si="37"/>
        <v>27081</v>
      </c>
      <c r="W93" s="122">
        <f t="shared" si="38"/>
        <v>44752.5</v>
      </c>
      <c r="X93" s="122">
        <f t="shared" si="39"/>
        <v>71833.5</v>
      </c>
      <c r="Y93" s="133">
        <v>300</v>
      </c>
      <c r="Z93" s="133">
        <v>450</v>
      </c>
      <c r="AA93" s="121">
        <f t="shared" si="40"/>
        <v>750</v>
      </c>
      <c r="AB93" s="122">
        <f t="shared" si="41"/>
        <v>9027</v>
      </c>
      <c r="AC93" s="122">
        <f t="shared" si="42"/>
        <v>14917.5</v>
      </c>
      <c r="AD93" s="122">
        <f t="shared" si="43"/>
        <v>23944.5</v>
      </c>
      <c r="AE93" s="133">
        <v>500</v>
      </c>
      <c r="AF93" s="133">
        <v>750</v>
      </c>
      <c r="AG93" s="121">
        <f t="shared" si="44"/>
        <v>1250</v>
      </c>
      <c r="AH93" s="122">
        <f t="shared" si="45"/>
        <v>15045</v>
      </c>
      <c r="AI93" s="122">
        <f t="shared" si="46"/>
        <v>24862.5</v>
      </c>
      <c r="AJ93" s="122">
        <f t="shared" si="47"/>
        <v>39907.5</v>
      </c>
      <c r="AK93" s="133">
        <v>300</v>
      </c>
      <c r="AL93" s="133">
        <v>450</v>
      </c>
      <c r="AM93" s="121">
        <f t="shared" si="48"/>
        <v>750</v>
      </c>
      <c r="AN93" s="122">
        <f t="shared" si="49"/>
        <v>9027</v>
      </c>
      <c r="AO93" s="122">
        <f t="shared" si="50"/>
        <v>14917.5</v>
      </c>
      <c r="AP93" s="122">
        <f t="shared" si="51"/>
        <v>23944.5</v>
      </c>
      <c r="AQ93" s="124">
        <f t="shared" si="59"/>
        <v>2000</v>
      </c>
      <c r="AR93" s="125">
        <f t="shared" si="60"/>
        <v>3000</v>
      </c>
      <c r="AS93" s="126">
        <f t="shared" si="54"/>
        <v>5000</v>
      </c>
      <c r="AT93" s="127">
        <f t="shared" si="55"/>
        <v>60180</v>
      </c>
      <c r="AU93" s="128">
        <f t="shared" si="56"/>
        <v>99450</v>
      </c>
      <c r="AV93" s="129">
        <f t="shared" si="57"/>
        <v>159630</v>
      </c>
      <c r="AX93" s="34">
        <f t="shared" si="58"/>
        <v>159630</v>
      </c>
    </row>
    <row r="94" spans="1:69" s="33" customFormat="1" ht="15" customHeight="1" x14ac:dyDescent="0.25">
      <c r="A94" s="113">
        <v>85</v>
      </c>
      <c r="B94" s="130" t="s">
        <v>127</v>
      </c>
      <c r="C94" s="131" t="s">
        <v>130</v>
      </c>
      <c r="D94" s="131" t="s">
        <v>130</v>
      </c>
      <c r="E94" s="116" t="s">
        <v>16</v>
      </c>
      <c r="F94" s="117">
        <v>100</v>
      </c>
      <c r="G94" s="117">
        <v>150</v>
      </c>
      <c r="H94" s="118">
        <v>30.09</v>
      </c>
      <c r="I94" s="118">
        <v>33.15</v>
      </c>
      <c r="J94" s="119" t="s">
        <v>17</v>
      </c>
      <c r="K94" s="120"/>
      <c r="L94" s="119" t="s">
        <v>18</v>
      </c>
      <c r="M94" s="121"/>
      <c r="N94" s="121"/>
      <c r="O94" s="121">
        <f t="shared" si="32"/>
        <v>0</v>
      </c>
      <c r="P94" s="122">
        <f t="shared" si="33"/>
        <v>0</v>
      </c>
      <c r="Q94" s="122">
        <f t="shared" si="34"/>
        <v>0</v>
      </c>
      <c r="R94" s="122">
        <f t="shared" si="35"/>
        <v>0</v>
      </c>
      <c r="S94" s="133">
        <v>900</v>
      </c>
      <c r="T94" s="133">
        <v>1350</v>
      </c>
      <c r="U94" s="121">
        <f t="shared" si="36"/>
        <v>2250</v>
      </c>
      <c r="V94" s="122">
        <f t="shared" si="37"/>
        <v>27081</v>
      </c>
      <c r="W94" s="122">
        <f t="shared" si="38"/>
        <v>44752.5</v>
      </c>
      <c r="X94" s="122">
        <f t="shared" si="39"/>
        <v>71833.5</v>
      </c>
      <c r="Y94" s="133">
        <v>300</v>
      </c>
      <c r="Z94" s="139">
        <v>450</v>
      </c>
      <c r="AA94" s="121">
        <f t="shared" si="40"/>
        <v>750</v>
      </c>
      <c r="AB94" s="122">
        <f t="shared" si="41"/>
        <v>9027</v>
      </c>
      <c r="AC94" s="122">
        <f t="shared" si="42"/>
        <v>14917.5</v>
      </c>
      <c r="AD94" s="122">
        <f t="shared" si="43"/>
        <v>23944.5</v>
      </c>
      <c r="AE94" s="133">
        <v>500</v>
      </c>
      <c r="AF94" s="133">
        <v>750</v>
      </c>
      <c r="AG94" s="121">
        <f t="shared" si="44"/>
        <v>1250</v>
      </c>
      <c r="AH94" s="122">
        <f t="shared" si="45"/>
        <v>15045</v>
      </c>
      <c r="AI94" s="122">
        <f t="shared" si="46"/>
        <v>24862.5</v>
      </c>
      <c r="AJ94" s="122">
        <f t="shared" si="47"/>
        <v>39907.5</v>
      </c>
      <c r="AK94" s="133">
        <v>300</v>
      </c>
      <c r="AL94" s="133">
        <v>450</v>
      </c>
      <c r="AM94" s="121">
        <f t="shared" si="48"/>
        <v>750</v>
      </c>
      <c r="AN94" s="122">
        <f t="shared" si="49"/>
        <v>9027</v>
      </c>
      <c r="AO94" s="122">
        <f t="shared" si="50"/>
        <v>14917.5</v>
      </c>
      <c r="AP94" s="122">
        <f t="shared" si="51"/>
        <v>23944.5</v>
      </c>
      <c r="AQ94" s="124">
        <f t="shared" si="59"/>
        <v>2000</v>
      </c>
      <c r="AR94" s="125">
        <f t="shared" si="60"/>
        <v>3000</v>
      </c>
      <c r="AS94" s="126">
        <f t="shared" si="54"/>
        <v>5000</v>
      </c>
      <c r="AT94" s="127">
        <f t="shared" si="55"/>
        <v>60180</v>
      </c>
      <c r="AU94" s="128">
        <f t="shared" si="56"/>
        <v>99450</v>
      </c>
      <c r="AV94" s="129">
        <f t="shared" si="57"/>
        <v>159630</v>
      </c>
      <c r="AX94" s="34">
        <f t="shared" si="58"/>
        <v>159630</v>
      </c>
    </row>
    <row r="95" spans="1:69" s="33" customFormat="1" ht="15" customHeight="1" x14ac:dyDescent="0.25">
      <c r="A95" s="113">
        <v>86</v>
      </c>
      <c r="B95" s="130" t="s">
        <v>127</v>
      </c>
      <c r="C95" s="131" t="s">
        <v>131</v>
      </c>
      <c r="D95" s="131" t="s">
        <v>131</v>
      </c>
      <c r="E95" s="116" t="s">
        <v>16</v>
      </c>
      <c r="F95" s="117">
        <v>100</v>
      </c>
      <c r="G95" s="117">
        <v>150</v>
      </c>
      <c r="H95" s="118">
        <v>30.09</v>
      </c>
      <c r="I95" s="118">
        <v>33.15</v>
      </c>
      <c r="J95" s="119" t="s">
        <v>17</v>
      </c>
      <c r="K95" s="120"/>
      <c r="L95" s="119" t="s">
        <v>18</v>
      </c>
      <c r="M95" s="121"/>
      <c r="N95" s="121"/>
      <c r="O95" s="121">
        <f t="shared" si="32"/>
        <v>0</v>
      </c>
      <c r="P95" s="122">
        <f t="shared" si="33"/>
        <v>0</v>
      </c>
      <c r="Q95" s="122">
        <f t="shared" si="34"/>
        <v>0</v>
      </c>
      <c r="R95" s="122">
        <f t="shared" si="35"/>
        <v>0</v>
      </c>
      <c r="S95" s="133">
        <v>900</v>
      </c>
      <c r="T95" s="133">
        <v>1350</v>
      </c>
      <c r="U95" s="121">
        <f t="shared" si="36"/>
        <v>2250</v>
      </c>
      <c r="V95" s="122">
        <f t="shared" si="37"/>
        <v>27081</v>
      </c>
      <c r="W95" s="122">
        <f t="shared" si="38"/>
        <v>44752.5</v>
      </c>
      <c r="X95" s="122">
        <f t="shared" si="39"/>
        <v>71833.5</v>
      </c>
      <c r="Y95" s="133">
        <v>300</v>
      </c>
      <c r="Z95" s="133">
        <v>450</v>
      </c>
      <c r="AA95" s="121">
        <f t="shared" si="40"/>
        <v>750</v>
      </c>
      <c r="AB95" s="122">
        <f t="shared" si="41"/>
        <v>9027</v>
      </c>
      <c r="AC95" s="122">
        <f t="shared" si="42"/>
        <v>14917.5</v>
      </c>
      <c r="AD95" s="122">
        <f t="shared" si="43"/>
        <v>23944.5</v>
      </c>
      <c r="AE95" s="133">
        <v>500</v>
      </c>
      <c r="AF95" s="133">
        <v>750</v>
      </c>
      <c r="AG95" s="121">
        <f t="shared" si="44"/>
        <v>1250</v>
      </c>
      <c r="AH95" s="122">
        <f t="shared" si="45"/>
        <v>15045</v>
      </c>
      <c r="AI95" s="122">
        <f t="shared" si="46"/>
        <v>24862.5</v>
      </c>
      <c r="AJ95" s="122">
        <f t="shared" si="47"/>
        <v>39907.5</v>
      </c>
      <c r="AK95" s="139">
        <v>300</v>
      </c>
      <c r="AL95" s="139">
        <v>450</v>
      </c>
      <c r="AM95" s="121">
        <f t="shared" si="48"/>
        <v>750</v>
      </c>
      <c r="AN95" s="122">
        <f t="shared" si="49"/>
        <v>9027</v>
      </c>
      <c r="AO95" s="122">
        <f t="shared" si="50"/>
        <v>14917.5</v>
      </c>
      <c r="AP95" s="122">
        <f t="shared" si="51"/>
        <v>23944.5</v>
      </c>
      <c r="AQ95" s="124">
        <f t="shared" si="59"/>
        <v>2000</v>
      </c>
      <c r="AR95" s="125">
        <f t="shared" si="60"/>
        <v>3000</v>
      </c>
      <c r="AS95" s="126">
        <f t="shared" si="54"/>
        <v>5000</v>
      </c>
      <c r="AT95" s="127">
        <f t="shared" si="55"/>
        <v>60180</v>
      </c>
      <c r="AU95" s="128">
        <f t="shared" si="56"/>
        <v>99450</v>
      </c>
      <c r="AV95" s="129">
        <f t="shared" si="57"/>
        <v>159630</v>
      </c>
      <c r="AX95" s="34">
        <f t="shared" si="58"/>
        <v>159630</v>
      </c>
    </row>
    <row r="96" spans="1:69" s="33" customFormat="1" ht="15" customHeight="1" x14ac:dyDescent="0.25">
      <c r="A96" s="113">
        <v>87</v>
      </c>
      <c r="B96" s="130" t="s">
        <v>127</v>
      </c>
      <c r="C96" s="131" t="s">
        <v>132</v>
      </c>
      <c r="D96" s="131" t="s">
        <v>132</v>
      </c>
      <c r="E96" s="116" t="s">
        <v>16</v>
      </c>
      <c r="F96" s="117">
        <v>100</v>
      </c>
      <c r="G96" s="117">
        <v>150</v>
      </c>
      <c r="H96" s="118">
        <v>30.09</v>
      </c>
      <c r="I96" s="118">
        <v>33.15</v>
      </c>
      <c r="J96" s="119" t="s">
        <v>17</v>
      </c>
      <c r="K96" s="120"/>
      <c r="L96" s="119" t="s">
        <v>18</v>
      </c>
      <c r="M96" s="121"/>
      <c r="N96" s="121"/>
      <c r="O96" s="121">
        <f t="shared" si="32"/>
        <v>0</v>
      </c>
      <c r="P96" s="122">
        <f t="shared" si="33"/>
        <v>0</v>
      </c>
      <c r="Q96" s="122">
        <f t="shared" si="34"/>
        <v>0</v>
      </c>
      <c r="R96" s="122">
        <f t="shared" si="35"/>
        <v>0</v>
      </c>
      <c r="S96" s="133">
        <v>900</v>
      </c>
      <c r="T96" s="133">
        <v>1350</v>
      </c>
      <c r="U96" s="121">
        <f t="shared" si="36"/>
        <v>2250</v>
      </c>
      <c r="V96" s="122">
        <f t="shared" si="37"/>
        <v>27081</v>
      </c>
      <c r="W96" s="122">
        <f t="shared" si="38"/>
        <v>44752.5</v>
      </c>
      <c r="X96" s="122">
        <f t="shared" si="39"/>
        <v>71833.5</v>
      </c>
      <c r="Y96" s="133">
        <v>300</v>
      </c>
      <c r="Z96" s="133">
        <v>450</v>
      </c>
      <c r="AA96" s="121">
        <f t="shared" si="40"/>
        <v>750</v>
      </c>
      <c r="AB96" s="122">
        <f t="shared" si="41"/>
        <v>9027</v>
      </c>
      <c r="AC96" s="122">
        <f t="shared" si="42"/>
        <v>14917.5</v>
      </c>
      <c r="AD96" s="122">
        <f t="shared" si="43"/>
        <v>23944.5</v>
      </c>
      <c r="AE96" s="165">
        <v>500</v>
      </c>
      <c r="AF96" s="165">
        <v>750</v>
      </c>
      <c r="AG96" s="121">
        <f t="shared" si="44"/>
        <v>1250</v>
      </c>
      <c r="AH96" s="122">
        <f t="shared" si="45"/>
        <v>15045</v>
      </c>
      <c r="AI96" s="122">
        <f t="shared" si="46"/>
        <v>24862.5</v>
      </c>
      <c r="AJ96" s="122">
        <f t="shared" si="47"/>
        <v>39907.5</v>
      </c>
      <c r="AK96" s="133">
        <v>300</v>
      </c>
      <c r="AL96" s="133">
        <v>450</v>
      </c>
      <c r="AM96" s="121">
        <f t="shared" si="48"/>
        <v>750</v>
      </c>
      <c r="AN96" s="122">
        <f t="shared" si="49"/>
        <v>9027</v>
      </c>
      <c r="AO96" s="122">
        <f t="shared" si="50"/>
        <v>14917.5</v>
      </c>
      <c r="AP96" s="122">
        <f t="shared" si="51"/>
        <v>23944.5</v>
      </c>
      <c r="AQ96" s="124">
        <f t="shared" si="59"/>
        <v>2000</v>
      </c>
      <c r="AR96" s="125">
        <f t="shared" si="60"/>
        <v>3000</v>
      </c>
      <c r="AS96" s="126">
        <f t="shared" si="54"/>
        <v>5000</v>
      </c>
      <c r="AT96" s="127">
        <f t="shared" si="55"/>
        <v>60180</v>
      </c>
      <c r="AU96" s="128">
        <f t="shared" si="56"/>
        <v>99450</v>
      </c>
      <c r="AV96" s="129">
        <f t="shared" si="57"/>
        <v>159630</v>
      </c>
      <c r="AX96" s="34">
        <f t="shared" si="58"/>
        <v>159630</v>
      </c>
    </row>
    <row r="97" spans="1:69" s="33" customFormat="1" ht="15" customHeight="1" x14ac:dyDescent="0.25">
      <c r="A97" s="113">
        <v>88</v>
      </c>
      <c r="B97" s="130" t="s">
        <v>127</v>
      </c>
      <c r="C97" s="166" t="s">
        <v>133</v>
      </c>
      <c r="D97" s="166" t="s">
        <v>133</v>
      </c>
      <c r="E97" s="116" t="s">
        <v>16</v>
      </c>
      <c r="F97" s="117">
        <v>160</v>
      </c>
      <c r="G97" s="117">
        <v>210</v>
      </c>
      <c r="H97" s="118">
        <v>30.09</v>
      </c>
      <c r="I97" s="118">
        <v>33.15</v>
      </c>
      <c r="J97" s="119" t="s">
        <v>17</v>
      </c>
      <c r="K97" s="120"/>
      <c r="L97" s="119" t="s">
        <v>18</v>
      </c>
      <c r="M97" s="121"/>
      <c r="N97" s="121"/>
      <c r="O97" s="121">
        <f t="shared" si="32"/>
        <v>0</v>
      </c>
      <c r="P97" s="122">
        <f t="shared" si="33"/>
        <v>0</v>
      </c>
      <c r="Q97" s="122">
        <f t="shared" si="34"/>
        <v>0</v>
      </c>
      <c r="R97" s="122">
        <f t="shared" si="35"/>
        <v>0</v>
      </c>
      <c r="S97" s="133">
        <v>1440</v>
      </c>
      <c r="T97" s="133">
        <v>1890</v>
      </c>
      <c r="U97" s="121">
        <f t="shared" si="36"/>
        <v>3330</v>
      </c>
      <c r="V97" s="122">
        <f t="shared" si="37"/>
        <v>43329.599999999999</v>
      </c>
      <c r="W97" s="122">
        <f t="shared" si="38"/>
        <v>62653.5</v>
      </c>
      <c r="X97" s="122">
        <f t="shared" si="39"/>
        <v>105983.1</v>
      </c>
      <c r="Y97" s="133">
        <v>480</v>
      </c>
      <c r="Z97" s="133">
        <v>630</v>
      </c>
      <c r="AA97" s="121">
        <f t="shared" si="40"/>
        <v>1110</v>
      </c>
      <c r="AB97" s="122">
        <f t="shared" si="41"/>
        <v>14443.2</v>
      </c>
      <c r="AC97" s="122">
        <f t="shared" si="42"/>
        <v>20884.5</v>
      </c>
      <c r="AD97" s="122">
        <f t="shared" si="43"/>
        <v>35327.699999999997</v>
      </c>
      <c r="AE97" s="133">
        <v>800</v>
      </c>
      <c r="AF97" s="133">
        <v>1050</v>
      </c>
      <c r="AG97" s="121">
        <f t="shared" si="44"/>
        <v>1850</v>
      </c>
      <c r="AH97" s="122">
        <f t="shared" si="45"/>
        <v>24072</v>
      </c>
      <c r="AI97" s="122">
        <f t="shared" si="46"/>
        <v>34807.5</v>
      </c>
      <c r="AJ97" s="122">
        <f t="shared" si="47"/>
        <v>58879.5</v>
      </c>
      <c r="AK97" s="133">
        <v>480</v>
      </c>
      <c r="AL97" s="133">
        <v>630</v>
      </c>
      <c r="AM97" s="121">
        <f t="shared" si="48"/>
        <v>1110</v>
      </c>
      <c r="AN97" s="122">
        <f t="shared" si="49"/>
        <v>14443.2</v>
      </c>
      <c r="AO97" s="122">
        <f t="shared" si="50"/>
        <v>20884.5</v>
      </c>
      <c r="AP97" s="122">
        <f t="shared" si="51"/>
        <v>35327.699999999997</v>
      </c>
      <c r="AQ97" s="124">
        <f t="shared" si="59"/>
        <v>3200</v>
      </c>
      <c r="AR97" s="125">
        <f t="shared" si="60"/>
        <v>4200</v>
      </c>
      <c r="AS97" s="126">
        <f t="shared" si="54"/>
        <v>7400</v>
      </c>
      <c r="AT97" s="127">
        <f t="shared" si="55"/>
        <v>96288</v>
      </c>
      <c r="AU97" s="128">
        <f t="shared" si="56"/>
        <v>139230</v>
      </c>
      <c r="AV97" s="129">
        <f t="shared" si="57"/>
        <v>235518</v>
      </c>
      <c r="AX97" s="34">
        <f t="shared" si="58"/>
        <v>235518</v>
      </c>
    </row>
    <row r="98" spans="1:69" s="33" customFormat="1" ht="15" customHeight="1" x14ac:dyDescent="0.25">
      <c r="A98" s="113">
        <v>89</v>
      </c>
      <c r="B98" s="130" t="s">
        <v>134</v>
      </c>
      <c r="C98" s="131" t="s">
        <v>135</v>
      </c>
      <c r="D98" s="131" t="s">
        <v>135</v>
      </c>
      <c r="E98" s="116" t="s">
        <v>16</v>
      </c>
      <c r="F98" s="117">
        <v>75</v>
      </c>
      <c r="G98" s="117">
        <v>150</v>
      </c>
      <c r="H98" s="118">
        <v>30.09</v>
      </c>
      <c r="I98" s="118">
        <v>33.15</v>
      </c>
      <c r="J98" s="119" t="s">
        <v>17</v>
      </c>
      <c r="K98" s="120"/>
      <c r="L98" s="119" t="s">
        <v>18</v>
      </c>
      <c r="M98" s="121"/>
      <c r="N98" s="121"/>
      <c r="O98" s="121">
        <f t="shared" si="32"/>
        <v>0</v>
      </c>
      <c r="P98" s="122">
        <f t="shared" si="33"/>
        <v>0</v>
      </c>
      <c r="Q98" s="122">
        <f t="shared" si="34"/>
        <v>0</v>
      </c>
      <c r="R98" s="122">
        <f t="shared" si="35"/>
        <v>0</v>
      </c>
      <c r="S98" s="133">
        <v>675</v>
      </c>
      <c r="T98" s="133">
        <v>1350</v>
      </c>
      <c r="U98" s="121">
        <f t="shared" si="36"/>
        <v>2025</v>
      </c>
      <c r="V98" s="122">
        <f t="shared" si="37"/>
        <v>20310.75</v>
      </c>
      <c r="W98" s="122">
        <f t="shared" si="38"/>
        <v>44752.5</v>
      </c>
      <c r="X98" s="122">
        <f t="shared" si="39"/>
        <v>65063.25</v>
      </c>
      <c r="Y98" s="133">
        <v>225</v>
      </c>
      <c r="Z98" s="133">
        <v>450</v>
      </c>
      <c r="AA98" s="121">
        <f t="shared" si="40"/>
        <v>675</v>
      </c>
      <c r="AB98" s="122">
        <f t="shared" si="41"/>
        <v>6770.25</v>
      </c>
      <c r="AC98" s="122">
        <f t="shared" si="42"/>
        <v>14917.5</v>
      </c>
      <c r="AD98" s="122">
        <f t="shared" si="43"/>
        <v>21687.75</v>
      </c>
      <c r="AE98" s="133">
        <v>375</v>
      </c>
      <c r="AF98" s="133">
        <v>750</v>
      </c>
      <c r="AG98" s="121">
        <f t="shared" si="44"/>
        <v>1125</v>
      </c>
      <c r="AH98" s="122">
        <f t="shared" si="45"/>
        <v>11283.75</v>
      </c>
      <c r="AI98" s="122">
        <f t="shared" si="46"/>
        <v>24862.5</v>
      </c>
      <c r="AJ98" s="122">
        <f t="shared" si="47"/>
        <v>36146.25</v>
      </c>
      <c r="AK98" s="133">
        <v>225</v>
      </c>
      <c r="AL98" s="133">
        <v>450</v>
      </c>
      <c r="AM98" s="121">
        <f t="shared" si="48"/>
        <v>675</v>
      </c>
      <c r="AN98" s="122">
        <f t="shared" si="49"/>
        <v>6770.25</v>
      </c>
      <c r="AO98" s="122">
        <f t="shared" si="50"/>
        <v>14917.5</v>
      </c>
      <c r="AP98" s="122">
        <f t="shared" si="51"/>
        <v>21687.75</v>
      </c>
      <c r="AQ98" s="124">
        <f t="shared" si="52"/>
        <v>1500</v>
      </c>
      <c r="AR98" s="125">
        <f t="shared" si="53"/>
        <v>3000</v>
      </c>
      <c r="AS98" s="126">
        <f t="shared" si="54"/>
        <v>4500</v>
      </c>
      <c r="AT98" s="127">
        <f t="shared" si="55"/>
        <v>45135</v>
      </c>
      <c r="AU98" s="128">
        <f t="shared" si="56"/>
        <v>99450</v>
      </c>
      <c r="AV98" s="129">
        <f t="shared" si="57"/>
        <v>144585</v>
      </c>
      <c r="AX98" s="34">
        <f t="shared" si="58"/>
        <v>144585</v>
      </c>
    </row>
    <row r="99" spans="1:69" s="37" customFormat="1" ht="15" customHeight="1" x14ac:dyDescent="0.25">
      <c r="A99" s="113">
        <v>90</v>
      </c>
      <c r="B99" s="161" t="s">
        <v>134</v>
      </c>
      <c r="C99" s="162" t="s">
        <v>136</v>
      </c>
      <c r="D99" s="162" t="s">
        <v>136</v>
      </c>
      <c r="E99" s="116" t="s">
        <v>16</v>
      </c>
      <c r="F99" s="117">
        <v>100</v>
      </c>
      <c r="G99" s="117">
        <v>200</v>
      </c>
      <c r="H99" s="118">
        <v>30.09</v>
      </c>
      <c r="I99" s="118">
        <v>33.15</v>
      </c>
      <c r="J99" s="119" t="s">
        <v>17</v>
      </c>
      <c r="K99" s="120"/>
      <c r="L99" s="119" t="s">
        <v>18</v>
      </c>
      <c r="M99" s="121"/>
      <c r="N99" s="121"/>
      <c r="O99" s="121">
        <f t="shared" si="32"/>
        <v>0</v>
      </c>
      <c r="P99" s="122">
        <f t="shared" si="33"/>
        <v>0</v>
      </c>
      <c r="Q99" s="122">
        <f t="shared" si="34"/>
        <v>0</v>
      </c>
      <c r="R99" s="122">
        <f t="shared" si="35"/>
        <v>0</v>
      </c>
      <c r="S99" s="133">
        <v>0</v>
      </c>
      <c r="T99" s="133">
        <v>0</v>
      </c>
      <c r="U99" s="121">
        <f t="shared" si="36"/>
        <v>0</v>
      </c>
      <c r="V99" s="122">
        <f t="shared" si="37"/>
        <v>0</v>
      </c>
      <c r="W99" s="122">
        <f t="shared" si="38"/>
        <v>0</v>
      </c>
      <c r="X99" s="122">
        <f t="shared" si="39"/>
        <v>0</v>
      </c>
      <c r="Y99" s="133">
        <v>0</v>
      </c>
      <c r="Z99" s="133">
        <v>0</v>
      </c>
      <c r="AA99" s="121">
        <f t="shared" si="40"/>
        <v>0</v>
      </c>
      <c r="AB99" s="122">
        <f t="shared" si="41"/>
        <v>0</v>
      </c>
      <c r="AC99" s="122">
        <f t="shared" si="42"/>
        <v>0</v>
      </c>
      <c r="AD99" s="122">
        <f t="shared" si="43"/>
        <v>0</v>
      </c>
      <c r="AE99" s="133">
        <v>0</v>
      </c>
      <c r="AF99" s="133">
        <v>0</v>
      </c>
      <c r="AG99" s="121">
        <f t="shared" si="44"/>
        <v>0</v>
      </c>
      <c r="AH99" s="122">
        <f t="shared" si="45"/>
        <v>0</v>
      </c>
      <c r="AI99" s="122">
        <f t="shared" si="46"/>
        <v>0</v>
      </c>
      <c r="AJ99" s="122">
        <f t="shared" si="47"/>
        <v>0</v>
      </c>
      <c r="AK99" s="133">
        <v>0</v>
      </c>
      <c r="AL99" s="133">
        <v>0</v>
      </c>
      <c r="AM99" s="121">
        <f t="shared" si="48"/>
        <v>0</v>
      </c>
      <c r="AN99" s="122">
        <f t="shared" si="49"/>
        <v>0</v>
      </c>
      <c r="AO99" s="122">
        <f t="shared" si="50"/>
        <v>0</v>
      </c>
      <c r="AP99" s="122">
        <f t="shared" si="51"/>
        <v>0</v>
      </c>
      <c r="AQ99" s="124">
        <f t="shared" si="52"/>
        <v>0</v>
      </c>
      <c r="AR99" s="125">
        <f t="shared" si="53"/>
        <v>0</v>
      </c>
      <c r="AS99" s="126">
        <f t="shared" si="54"/>
        <v>0</v>
      </c>
      <c r="AT99" s="127">
        <f t="shared" si="55"/>
        <v>0</v>
      </c>
      <c r="AU99" s="128">
        <f t="shared" si="56"/>
        <v>0</v>
      </c>
      <c r="AV99" s="129">
        <f t="shared" si="57"/>
        <v>0</v>
      </c>
      <c r="AW99" s="33"/>
      <c r="AX99" s="34">
        <f t="shared" si="58"/>
        <v>0</v>
      </c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</row>
    <row r="100" spans="1:69" s="33" customFormat="1" ht="15" customHeight="1" x14ac:dyDescent="0.25">
      <c r="A100" s="113">
        <v>91</v>
      </c>
      <c r="B100" s="151" t="s">
        <v>134</v>
      </c>
      <c r="C100" s="154" t="s">
        <v>137</v>
      </c>
      <c r="D100" s="154" t="s">
        <v>137</v>
      </c>
      <c r="E100" s="116" t="s">
        <v>16</v>
      </c>
      <c r="F100" s="117">
        <v>100</v>
      </c>
      <c r="G100" s="117">
        <v>150</v>
      </c>
      <c r="H100" s="118">
        <v>30.09</v>
      </c>
      <c r="I100" s="118">
        <v>33.15</v>
      </c>
      <c r="J100" s="119" t="s">
        <v>17</v>
      </c>
      <c r="K100" s="120"/>
      <c r="L100" s="119" t="s">
        <v>18</v>
      </c>
      <c r="M100" s="121"/>
      <c r="N100" s="121"/>
      <c r="O100" s="121">
        <f t="shared" si="32"/>
        <v>0</v>
      </c>
      <c r="P100" s="122">
        <f t="shared" si="33"/>
        <v>0</v>
      </c>
      <c r="Q100" s="122">
        <f t="shared" si="34"/>
        <v>0</v>
      </c>
      <c r="R100" s="122">
        <f t="shared" si="35"/>
        <v>0</v>
      </c>
      <c r="S100" s="133">
        <v>900</v>
      </c>
      <c r="T100" s="133">
        <v>1350</v>
      </c>
      <c r="U100" s="121">
        <f t="shared" si="36"/>
        <v>2250</v>
      </c>
      <c r="V100" s="122">
        <f t="shared" si="37"/>
        <v>27081</v>
      </c>
      <c r="W100" s="122">
        <f t="shared" si="38"/>
        <v>44752.5</v>
      </c>
      <c r="X100" s="122">
        <f t="shared" si="39"/>
        <v>71833.5</v>
      </c>
      <c r="Y100" s="133">
        <v>0</v>
      </c>
      <c r="Z100" s="133">
        <v>0</v>
      </c>
      <c r="AA100" s="121">
        <f t="shared" si="40"/>
        <v>0</v>
      </c>
      <c r="AB100" s="122">
        <f t="shared" si="41"/>
        <v>0</v>
      </c>
      <c r="AC100" s="122">
        <f t="shared" si="42"/>
        <v>0</v>
      </c>
      <c r="AD100" s="122">
        <f t="shared" si="43"/>
        <v>0</v>
      </c>
      <c r="AE100" s="133">
        <v>500</v>
      </c>
      <c r="AF100" s="133">
        <v>750</v>
      </c>
      <c r="AG100" s="121">
        <f t="shared" si="44"/>
        <v>1250</v>
      </c>
      <c r="AH100" s="122">
        <f t="shared" si="45"/>
        <v>15045</v>
      </c>
      <c r="AI100" s="122">
        <f t="shared" si="46"/>
        <v>24862.5</v>
      </c>
      <c r="AJ100" s="122">
        <f t="shared" si="47"/>
        <v>39907.5</v>
      </c>
      <c r="AK100" s="133">
        <v>300</v>
      </c>
      <c r="AL100" s="139">
        <v>450</v>
      </c>
      <c r="AM100" s="121">
        <f t="shared" si="48"/>
        <v>750</v>
      </c>
      <c r="AN100" s="122">
        <f t="shared" si="49"/>
        <v>9027</v>
      </c>
      <c r="AO100" s="122">
        <f t="shared" si="50"/>
        <v>14917.5</v>
      </c>
      <c r="AP100" s="122">
        <f t="shared" si="51"/>
        <v>23944.5</v>
      </c>
      <c r="AQ100" s="124">
        <f t="shared" si="52"/>
        <v>1700</v>
      </c>
      <c r="AR100" s="125">
        <f t="shared" si="53"/>
        <v>2550</v>
      </c>
      <c r="AS100" s="126">
        <f t="shared" si="54"/>
        <v>4250</v>
      </c>
      <c r="AT100" s="127">
        <f t="shared" si="55"/>
        <v>51153</v>
      </c>
      <c r="AU100" s="128">
        <f t="shared" si="56"/>
        <v>84532.5</v>
      </c>
      <c r="AV100" s="129">
        <f t="shared" si="57"/>
        <v>135685.5</v>
      </c>
      <c r="AX100" s="34">
        <f t="shared" si="58"/>
        <v>135685.5</v>
      </c>
    </row>
    <row r="101" spans="1:69" s="33" customFormat="1" ht="15" customHeight="1" x14ac:dyDescent="0.25">
      <c r="A101" s="113">
        <v>92</v>
      </c>
      <c r="B101" s="130" t="s">
        <v>134</v>
      </c>
      <c r="C101" s="131" t="s">
        <v>138</v>
      </c>
      <c r="D101" s="131" t="s">
        <v>138</v>
      </c>
      <c r="E101" s="116" t="s">
        <v>16</v>
      </c>
      <c r="F101" s="117">
        <v>100</v>
      </c>
      <c r="G101" s="117">
        <v>150</v>
      </c>
      <c r="H101" s="118">
        <v>30.09</v>
      </c>
      <c r="I101" s="118">
        <v>33.15</v>
      </c>
      <c r="J101" s="119" t="s">
        <v>17</v>
      </c>
      <c r="K101" s="120"/>
      <c r="L101" s="119" t="s">
        <v>18</v>
      </c>
      <c r="M101" s="121"/>
      <c r="N101" s="121"/>
      <c r="O101" s="121">
        <f t="shared" si="32"/>
        <v>0</v>
      </c>
      <c r="P101" s="122">
        <f t="shared" si="33"/>
        <v>0</v>
      </c>
      <c r="Q101" s="122">
        <f t="shared" si="34"/>
        <v>0</v>
      </c>
      <c r="R101" s="122">
        <f t="shared" si="35"/>
        <v>0</v>
      </c>
      <c r="S101" s="133">
        <v>900</v>
      </c>
      <c r="T101" s="133">
        <v>1350</v>
      </c>
      <c r="U101" s="121">
        <f t="shared" si="36"/>
        <v>2250</v>
      </c>
      <c r="V101" s="122">
        <f t="shared" si="37"/>
        <v>27081</v>
      </c>
      <c r="W101" s="122">
        <f t="shared" si="38"/>
        <v>44752.5</v>
      </c>
      <c r="X101" s="122">
        <f t="shared" si="39"/>
        <v>71833.5</v>
      </c>
      <c r="Y101" s="133">
        <v>300</v>
      </c>
      <c r="Z101" s="133">
        <v>450</v>
      </c>
      <c r="AA101" s="121">
        <f t="shared" si="40"/>
        <v>750</v>
      </c>
      <c r="AB101" s="122">
        <f t="shared" si="41"/>
        <v>9027</v>
      </c>
      <c r="AC101" s="122">
        <f t="shared" si="42"/>
        <v>14917.5</v>
      </c>
      <c r="AD101" s="122">
        <f t="shared" si="43"/>
        <v>23944.5</v>
      </c>
      <c r="AE101" s="133">
        <v>500</v>
      </c>
      <c r="AF101" s="133">
        <v>750</v>
      </c>
      <c r="AG101" s="121">
        <f t="shared" si="44"/>
        <v>1250</v>
      </c>
      <c r="AH101" s="122">
        <f t="shared" si="45"/>
        <v>15045</v>
      </c>
      <c r="AI101" s="122">
        <f t="shared" si="46"/>
        <v>24862.5</v>
      </c>
      <c r="AJ101" s="122">
        <f t="shared" si="47"/>
        <v>39907.5</v>
      </c>
      <c r="AK101" s="133">
        <v>300</v>
      </c>
      <c r="AL101" s="133">
        <v>450</v>
      </c>
      <c r="AM101" s="121">
        <f t="shared" si="48"/>
        <v>750</v>
      </c>
      <c r="AN101" s="122">
        <f t="shared" si="49"/>
        <v>9027</v>
      </c>
      <c r="AO101" s="122">
        <f t="shared" si="50"/>
        <v>14917.5</v>
      </c>
      <c r="AP101" s="122">
        <f t="shared" si="51"/>
        <v>23944.5</v>
      </c>
      <c r="AQ101" s="124">
        <f t="shared" si="52"/>
        <v>2000</v>
      </c>
      <c r="AR101" s="125">
        <f t="shared" si="53"/>
        <v>3000</v>
      </c>
      <c r="AS101" s="126">
        <f t="shared" si="54"/>
        <v>5000</v>
      </c>
      <c r="AT101" s="127">
        <f t="shared" si="55"/>
        <v>60180</v>
      </c>
      <c r="AU101" s="128">
        <f t="shared" si="56"/>
        <v>99450</v>
      </c>
      <c r="AV101" s="129">
        <f t="shared" si="57"/>
        <v>159630</v>
      </c>
      <c r="AX101" s="34">
        <f t="shared" si="58"/>
        <v>159630</v>
      </c>
    </row>
    <row r="102" spans="1:69" s="37" customFormat="1" ht="15" customHeight="1" x14ac:dyDescent="0.25">
      <c r="A102" s="113">
        <v>93</v>
      </c>
      <c r="B102" s="161" t="s">
        <v>134</v>
      </c>
      <c r="C102" s="162" t="s">
        <v>139</v>
      </c>
      <c r="D102" s="162" t="s">
        <v>139</v>
      </c>
      <c r="E102" s="116" t="s">
        <v>16</v>
      </c>
      <c r="F102" s="117">
        <v>100</v>
      </c>
      <c r="G102" s="117">
        <v>150</v>
      </c>
      <c r="H102" s="118">
        <v>30.09</v>
      </c>
      <c r="I102" s="118">
        <v>33.15</v>
      </c>
      <c r="J102" s="119" t="s">
        <v>17</v>
      </c>
      <c r="K102" s="120"/>
      <c r="L102" s="119" t="s">
        <v>18</v>
      </c>
      <c r="M102" s="121"/>
      <c r="N102" s="121"/>
      <c r="O102" s="121">
        <f t="shared" si="32"/>
        <v>0</v>
      </c>
      <c r="P102" s="122">
        <f t="shared" si="33"/>
        <v>0</v>
      </c>
      <c r="Q102" s="122">
        <f t="shared" si="34"/>
        <v>0</v>
      </c>
      <c r="R102" s="122">
        <f t="shared" si="35"/>
        <v>0</v>
      </c>
      <c r="S102" s="133">
        <v>900</v>
      </c>
      <c r="T102" s="133">
        <v>1350</v>
      </c>
      <c r="U102" s="121">
        <f t="shared" si="36"/>
        <v>2250</v>
      </c>
      <c r="V102" s="122">
        <f t="shared" si="37"/>
        <v>27081</v>
      </c>
      <c r="W102" s="122">
        <f t="shared" si="38"/>
        <v>44752.5</v>
      </c>
      <c r="X102" s="122">
        <f t="shared" si="39"/>
        <v>71833.5</v>
      </c>
      <c r="Y102" s="133">
        <v>300</v>
      </c>
      <c r="Z102" s="133">
        <v>450</v>
      </c>
      <c r="AA102" s="121">
        <f t="shared" si="40"/>
        <v>750</v>
      </c>
      <c r="AB102" s="122">
        <f t="shared" si="41"/>
        <v>9027</v>
      </c>
      <c r="AC102" s="122">
        <f t="shared" si="42"/>
        <v>14917.5</v>
      </c>
      <c r="AD102" s="122">
        <f t="shared" si="43"/>
        <v>23944.5</v>
      </c>
      <c r="AE102" s="133">
        <v>500</v>
      </c>
      <c r="AF102" s="133">
        <v>750</v>
      </c>
      <c r="AG102" s="121">
        <f t="shared" si="44"/>
        <v>1250</v>
      </c>
      <c r="AH102" s="122">
        <f t="shared" si="45"/>
        <v>15045</v>
      </c>
      <c r="AI102" s="122">
        <f t="shared" si="46"/>
        <v>24862.5</v>
      </c>
      <c r="AJ102" s="122">
        <f t="shared" si="47"/>
        <v>39907.5</v>
      </c>
      <c r="AK102" s="133">
        <v>300</v>
      </c>
      <c r="AL102" s="133">
        <v>450</v>
      </c>
      <c r="AM102" s="121">
        <f t="shared" si="48"/>
        <v>750</v>
      </c>
      <c r="AN102" s="122">
        <f t="shared" si="49"/>
        <v>9027</v>
      </c>
      <c r="AO102" s="122">
        <f t="shared" si="50"/>
        <v>14917.5</v>
      </c>
      <c r="AP102" s="122">
        <f t="shared" si="51"/>
        <v>23944.5</v>
      </c>
      <c r="AQ102" s="124">
        <f t="shared" si="52"/>
        <v>2000</v>
      </c>
      <c r="AR102" s="125">
        <f t="shared" si="53"/>
        <v>3000</v>
      </c>
      <c r="AS102" s="126">
        <f t="shared" si="54"/>
        <v>5000</v>
      </c>
      <c r="AT102" s="127">
        <f t="shared" si="55"/>
        <v>60180</v>
      </c>
      <c r="AU102" s="128">
        <f t="shared" si="56"/>
        <v>99450</v>
      </c>
      <c r="AV102" s="129">
        <f t="shared" si="57"/>
        <v>159630</v>
      </c>
      <c r="AW102" s="33"/>
      <c r="AX102" s="34">
        <f t="shared" si="58"/>
        <v>159630</v>
      </c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</row>
    <row r="103" spans="1:69" s="229" customFormat="1" ht="15" customHeight="1" x14ac:dyDescent="0.25">
      <c r="A103" s="212">
        <v>94</v>
      </c>
      <c r="B103" s="213" t="s">
        <v>134</v>
      </c>
      <c r="C103" s="214" t="s">
        <v>139</v>
      </c>
      <c r="D103" s="214" t="s">
        <v>250</v>
      </c>
      <c r="E103" s="215" t="s">
        <v>41</v>
      </c>
      <c r="F103" s="216">
        <v>200</v>
      </c>
      <c r="G103" s="216">
        <v>250</v>
      </c>
      <c r="H103" s="217">
        <v>28.5</v>
      </c>
      <c r="I103" s="217">
        <v>29.5</v>
      </c>
      <c r="J103" s="218" t="s">
        <v>47</v>
      </c>
      <c r="K103" s="219"/>
      <c r="L103" s="218" t="s">
        <v>48</v>
      </c>
      <c r="M103" s="220"/>
      <c r="N103" s="220"/>
      <c r="O103" s="220">
        <f t="shared" si="32"/>
        <v>0</v>
      </c>
      <c r="P103" s="221">
        <f t="shared" si="33"/>
        <v>0</v>
      </c>
      <c r="Q103" s="221">
        <f t="shared" si="34"/>
        <v>0</v>
      </c>
      <c r="R103" s="221">
        <f t="shared" si="35"/>
        <v>0</v>
      </c>
      <c r="S103" s="222">
        <v>1800</v>
      </c>
      <c r="T103" s="222">
        <v>2220</v>
      </c>
      <c r="U103" s="220">
        <f t="shared" si="36"/>
        <v>4020</v>
      </c>
      <c r="V103" s="221">
        <f t="shared" si="37"/>
        <v>51300</v>
      </c>
      <c r="W103" s="221">
        <f t="shared" si="38"/>
        <v>65490</v>
      </c>
      <c r="X103" s="221">
        <f t="shared" si="39"/>
        <v>116790</v>
      </c>
      <c r="Y103" s="222">
        <v>400</v>
      </c>
      <c r="Z103" s="222">
        <v>500</v>
      </c>
      <c r="AA103" s="220">
        <f t="shared" si="40"/>
        <v>900</v>
      </c>
      <c r="AB103" s="221">
        <f t="shared" si="41"/>
        <v>11400</v>
      </c>
      <c r="AC103" s="221">
        <f t="shared" si="42"/>
        <v>14750</v>
      </c>
      <c r="AD103" s="221">
        <f t="shared" si="43"/>
        <v>26150</v>
      </c>
      <c r="AE103" s="222">
        <v>0</v>
      </c>
      <c r="AF103" s="222">
        <v>0</v>
      </c>
      <c r="AG103" s="220">
        <f t="shared" si="44"/>
        <v>0</v>
      </c>
      <c r="AH103" s="221">
        <f t="shared" si="45"/>
        <v>0</v>
      </c>
      <c r="AI103" s="221">
        <f t="shared" si="46"/>
        <v>0</v>
      </c>
      <c r="AJ103" s="221">
        <f t="shared" si="47"/>
        <v>0</v>
      </c>
      <c r="AK103" s="222">
        <v>0</v>
      </c>
      <c r="AL103" s="222">
        <v>0</v>
      </c>
      <c r="AM103" s="220">
        <f t="shared" si="48"/>
        <v>0</v>
      </c>
      <c r="AN103" s="221">
        <f t="shared" si="49"/>
        <v>0</v>
      </c>
      <c r="AO103" s="221">
        <f t="shared" si="50"/>
        <v>0</v>
      </c>
      <c r="AP103" s="221">
        <f t="shared" si="51"/>
        <v>0</v>
      </c>
      <c r="AQ103" s="223">
        <f t="shared" si="52"/>
        <v>2200</v>
      </c>
      <c r="AR103" s="224">
        <f t="shared" si="53"/>
        <v>2720</v>
      </c>
      <c r="AS103" s="225">
        <f t="shared" si="54"/>
        <v>4920</v>
      </c>
      <c r="AT103" s="226">
        <f t="shared" si="55"/>
        <v>62700</v>
      </c>
      <c r="AU103" s="227">
        <f t="shared" si="56"/>
        <v>80240</v>
      </c>
      <c r="AV103" s="228">
        <f t="shared" si="57"/>
        <v>142940</v>
      </c>
      <c r="AX103" s="230">
        <f t="shared" si="58"/>
        <v>142940</v>
      </c>
    </row>
    <row r="104" spans="1:69" s="33" customFormat="1" ht="12.75" customHeight="1" x14ac:dyDescent="0.25">
      <c r="A104" s="113">
        <v>95</v>
      </c>
      <c r="B104" s="168" t="s">
        <v>134</v>
      </c>
      <c r="C104" s="168" t="s">
        <v>140</v>
      </c>
      <c r="D104" s="168" t="s">
        <v>140</v>
      </c>
      <c r="E104" s="116" t="s">
        <v>32</v>
      </c>
      <c r="F104" s="117">
        <v>160</v>
      </c>
      <c r="G104" s="117">
        <v>200</v>
      </c>
      <c r="H104" s="118">
        <v>30.09</v>
      </c>
      <c r="I104" s="118">
        <v>33.15</v>
      </c>
      <c r="J104" s="119" t="s">
        <v>17</v>
      </c>
      <c r="K104" s="120"/>
      <c r="L104" s="119" t="s">
        <v>18</v>
      </c>
      <c r="M104" s="121"/>
      <c r="N104" s="121"/>
      <c r="O104" s="121">
        <f t="shared" si="32"/>
        <v>0</v>
      </c>
      <c r="P104" s="122">
        <f t="shared" si="33"/>
        <v>0</v>
      </c>
      <c r="Q104" s="122">
        <f t="shared" si="34"/>
        <v>0</v>
      </c>
      <c r="R104" s="122">
        <f t="shared" si="35"/>
        <v>0</v>
      </c>
      <c r="S104" s="138">
        <v>1280</v>
      </c>
      <c r="T104" s="133">
        <v>1800</v>
      </c>
      <c r="U104" s="121">
        <f t="shared" si="36"/>
        <v>3080</v>
      </c>
      <c r="V104" s="122">
        <f t="shared" si="37"/>
        <v>38515.199999999997</v>
      </c>
      <c r="W104" s="122">
        <f t="shared" si="38"/>
        <v>59670</v>
      </c>
      <c r="X104" s="122">
        <f t="shared" si="39"/>
        <v>98185.2</v>
      </c>
      <c r="Y104" s="133">
        <v>480</v>
      </c>
      <c r="Z104" s="133">
        <v>600</v>
      </c>
      <c r="AA104" s="121">
        <f t="shared" si="40"/>
        <v>1080</v>
      </c>
      <c r="AB104" s="122">
        <f t="shared" si="41"/>
        <v>14443.2</v>
      </c>
      <c r="AC104" s="122">
        <f t="shared" si="42"/>
        <v>19890</v>
      </c>
      <c r="AD104" s="122">
        <f t="shared" si="43"/>
        <v>34333.199999999997</v>
      </c>
      <c r="AE104" s="133">
        <v>800</v>
      </c>
      <c r="AF104" s="133">
        <v>1000</v>
      </c>
      <c r="AG104" s="121">
        <f t="shared" si="44"/>
        <v>1800</v>
      </c>
      <c r="AH104" s="122">
        <f t="shared" si="45"/>
        <v>24072</v>
      </c>
      <c r="AI104" s="122">
        <f t="shared" si="46"/>
        <v>33150</v>
      </c>
      <c r="AJ104" s="122">
        <f t="shared" si="47"/>
        <v>57222</v>
      </c>
      <c r="AK104" s="133">
        <v>480</v>
      </c>
      <c r="AL104" s="133">
        <v>600</v>
      </c>
      <c r="AM104" s="121">
        <f t="shared" si="48"/>
        <v>1080</v>
      </c>
      <c r="AN104" s="122">
        <f t="shared" si="49"/>
        <v>14443.2</v>
      </c>
      <c r="AO104" s="122">
        <f t="shared" si="50"/>
        <v>19890</v>
      </c>
      <c r="AP104" s="122">
        <f t="shared" si="51"/>
        <v>34333.199999999997</v>
      </c>
      <c r="AQ104" s="124">
        <f t="shared" si="52"/>
        <v>3040</v>
      </c>
      <c r="AR104" s="125">
        <f t="shared" si="53"/>
        <v>4000</v>
      </c>
      <c r="AS104" s="126">
        <f t="shared" si="54"/>
        <v>7040</v>
      </c>
      <c r="AT104" s="127">
        <f t="shared" si="55"/>
        <v>91473.599999999991</v>
      </c>
      <c r="AU104" s="128">
        <f t="shared" si="56"/>
        <v>132600</v>
      </c>
      <c r="AV104" s="129">
        <f t="shared" si="57"/>
        <v>224073.59999999998</v>
      </c>
      <c r="AX104" s="34">
        <f t="shared" si="58"/>
        <v>224073.59999999998</v>
      </c>
    </row>
    <row r="105" spans="1:69" s="33" customFormat="1" ht="12.75" customHeight="1" x14ac:dyDescent="0.25">
      <c r="A105" s="113">
        <v>96</v>
      </c>
      <c r="B105" s="169" t="s">
        <v>134</v>
      </c>
      <c r="C105" s="169" t="s">
        <v>141</v>
      </c>
      <c r="D105" s="169" t="s">
        <v>141</v>
      </c>
      <c r="E105" s="116" t="s">
        <v>16</v>
      </c>
      <c r="F105" s="117">
        <v>100</v>
      </c>
      <c r="G105" s="117">
        <v>150</v>
      </c>
      <c r="H105" s="118">
        <v>30.09</v>
      </c>
      <c r="I105" s="118">
        <v>33.15</v>
      </c>
      <c r="J105" s="119" t="s">
        <v>17</v>
      </c>
      <c r="K105" s="120"/>
      <c r="L105" s="119" t="s">
        <v>18</v>
      </c>
      <c r="M105" s="121"/>
      <c r="N105" s="121"/>
      <c r="O105" s="121">
        <f t="shared" si="32"/>
        <v>0</v>
      </c>
      <c r="P105" s="122">
        <f t="shared" si="33"/>
        <v>0</v>
      </c>
      <c r="Q105" s="122">
        <f t="shared" si="34"/>
        <v>0</v>
      </c>
      <c r="R105" s="122">
        <f t="shared" si="35"/>
        <v>0</v>
      </c>
      <c r="S105" s="133">
        <v>900</v>
      </c>
      <c r="T105" s="133">
        <v>1350</v>
      </c>
      <c r="U105" s="121">
        <f t="shared" si="36"/>
        <v>2250</v>
      </c>
      <c r="V105" s="122">
        <f t="shared" si="37"/>
        <v>27081</v>
      </c>
      <c r="W105" s="122">
        <f t="shared" si="38"/>
        <v>44752.5</v>
      </c>
      <c r="X105" s="122">
        <f t="shared" si="39"/>
        <v>71833.5</v>
      </c>
      <c r="Y105" s="133">
        <v>300</v>
      </c>
      <c r="Z105" s="133">
        <v>450</v>
      </c>
      <c r="AA105" s="121">
        <f t="shared" si="40"/>
        <v>750</v>
      </c>
      <c r="AB105" s="122">
        <f t="shared" si="41"/>
        <v>9027</v>
      </c>
      <c r="AC105" s="122">
        <f t="shared" si="42"/>
        <v>14917.5</v>
      </c>
      <c r="AD105" s="122">
        <f t="shared" si="43"/>
        <v>23944.5</v>
      </c>
      <c r="AE105" s="133">
        <v>500</v>
      </c>
      <c r="AF105" s="133">
        <v>750</v>
      </c>
      <c r="AG105" s="121">
        <f t="shared" si="44"/>
        <v>1250</v>
      </c>
      <c r="AH105" s="122">
        <f t="shared" si="45"/>
        <v>15045</v>
      </c>
      <c r="AI105" s="122">
        <f t="shared" si="46"/>
        <v>24862.5</v>
      </c>
      <c r="AJ105" s="122">
        <f t="shared" si="47"/>
        <v>39907.5</v>
      </c>
      <c r="AK105" s="133">
        <v>300</v>
      </c>
      <c r="AL105" s="139">
        <v>450</v>
      </c>
      <c r="AM105" s="121">
        <f t="shared" si="48"/>
        <v>750</v>
      </c>
      <c r="AN105" s="122">
        <f t="shared" si="49"/>
        <v>9027</v>
      </c>
      <c r="AO105" s="122">
        <f t="shared" si="50"/>
        <v>14917.5</v>
      </c>
      <c r="AP105" s="122">
        <f t="shared" si="51"/>
        <v>23944.5</v>
      </c>
      <c r="AQ105" s="124">
        <f t="shared" si="52"/>
        <v>2000</v>
      </c>
      <c r="AR105" s="125">
        <f t="shared" si="53"/>
        <v>3000</v>
      </c>
      <c r="AS105" s="126">
        <f t="shared" si="54"/>
        <v>5000</v>
      </c>
      <c r="AT105" s="127">
        <f t="shared" si="55"/>
        <v>60180</v>
      </c>
      <c r="AU105" s="128">
        <f t="shared" si="56"/>
        <v>99450</v>
      </c>
      <c r="AV105" s="129">
        <f t="shared" si="57"/>
        <v>159630</v>
      </c>
      <c r="AX105" s="34">
        <f t="shared" si="58"/>
        <v>159630</v>
      </c>
    </row>
    <row r="106" spans="1:69" s="33" customFormat="1" ht="12.75" customHeight="1" x14ac:dyDescent="0.25">
      <c r="A106" s="113">
        <v>97</v>
      </c>
      <c r="B106" s="169" t="s">
        <v>134</v>
      </c>
      <c r="C106" s="169" t="s">
        <v>142</v>
      </c>
      <c r="D106" s="169" t="s">
        <v>142</v>
      </c>
      <c r="E106" s="116" t="s">
        <v>16</v>
      </c>
      <c r="F106" s="117">
        <v>125</v>
      </c>
      <c r="G106" s="117">
        <v>200</v>
      </c>
      <c r="H106" s="118">
        <v>30.09</v>
      </c>
      <c r="I106" s="118">
        <v>33.15</v>
      </c>
      <c r="J106" s="119" t="s">
        <v>17</v>
      </c>
      <c r="K106" s="120"/>
      <c r="L106" s="119" t="s">
        <v>18</v>
      </c>
      <c r="M106" s="121"/>
      <c r="N106" s="121"/>
      <c r="O106" s="121">
        <f t="shared" si="32"/>
        <v>0</v>
      </c>
      <c r="P106" s="122">
        <f t="shared" si="33"/>
        <v>0</v>
      </c>
      <c r="Q106" s="122">
        <f t="shared" si="34"/>
        <v>0</v>
      </c>
      <c r="R106" s="122">
        <f t="shared" si="35"/>
        <v>0</v>
      </c>
      <c r="S106" s="133">
        <v>1125</v>
      </c>
      <c r="T106" s="133">
        <v>1800</v>
      </c>
      <c r="U106" s="121">
        <f t="shared" si="36"/>
        <v>2925</v>
      </c>
      <c r="V106" s="122">
        <f t="shared" si="37"/>
        <v>33851.25</v>
      </c>
      <c r="W106" s="122">
        <f t="shared" si="38"/>
        <v>59670</v>
      </c>
      <c r="X106" s="122">
        <f t="shared" si="39"/>
        <v>93521.25</v>
      </c>
      <c r="Y106" s="133">
        <v>300</v>
      </c>
      <c r="Z106" s="133">
        <v>510</v>
      </c>
      <c r="AA106" s="121">
        <f t="shared" si="40"/>
        <v>810</v>
      </c>
      <c r="AB106" s="122">
        <f t="shared" si="41"/>
        <v>9027</v>
      </c>
      <c r="AC106" s="122">
        <f t="shared" si="42"/>
        <v>16906.5</v>
      </c>
      <c r="AD106" s="122">
        <f t="shared" si="43"/>
        <v>25933.5</v>
      </c>
      <c r="AE106" s="133">
        <v>500</v>
      </c>
      <c r="AF106" s="133">
        <v>850</v>
      </c>
      <c r="AG106" s="121">
        <f t="shared" si="44"/>
        <v>1350</v>
      </c>
      <c r="AH106" s="122">
        <f t="shared" si="45"/>
        <v>15045</v>
      </c>
      <c r="AI106" s="122">
        <f t="shared" si="46"/>
        <v>28177.5</v>
      </c>
      <c r="AJ106" s="122">
        <f t="shared" si="47"/>
        <v>43222.5</v>
      </c>
      <c r="AK106" s="133">
        <v>300</v>
      </c>
      <c r="AL106" s="133">
        <v>510</v>
      </c>
      <c r="AM106" s="121">
        <f t="shared" si="48"/>
        <v>810</v>
      </c>
      <c r="AN106" s="122">
        <f t="shared" si="49"/>
        <v>9027</v>
      </c>
      <c r="AO106" s="122">
        <f t="shared" si="50"/>
        <v>16906.5</v>
      </c>
      <c r="AP106" s="122">
        <f t="shared" si="51"/>
        <v>25933.5</v>
      </c>
      <c r="AQ106" s="124">
        <f t="shared" si="52"/>
        <v>2225</v>
      </c>
      <c r="AR106" s="125">
        <f t="shared" si="53"/>
        <v>3670</v>
      </c>
      <c r="AS106" s="126">
        <f t="shared" si="54"/>
        <v>5895</v>
      </c>
      <c r="AT106" s="127">
        <f t="shared" si="55"/>
        <v>66950.25</v>
      </c>
      <c r="AU106" s="128">
        <f t="shared" si="56"/>
        <v>121660.5</v>
      </c>
      <c r="AV106" s="129">
        <f t="shared" si="57"/>
        <v>188610.75</v>
      </c>
      <c r="AX106" s="34">
        <f t="shared" si="58"/>
        <v>188610.75</v>
      </c>
    </row>
    <row r="107" spans="1:69" s="37" customFormat="1" ht="12.75" customHeight="1" x14ac:dyDescent="0.25">
      <c r="A107" s="113">
        <v>98</v>
      </c>
      <c r="B107" s="170" t="s">
        <v>134</v>
      </c>
      <c r="C107" s="170" t="s">
        <v>143</v>
      </c>
      <c r="D107" s="170" t="s">
        <v>143</v>
      </c>
      <c r="E107" s="116" t="s">
        <v>16</v>
      </c>
      <c r="F107" s="117">
        <v>100</v>
      </c>
      <c r="G107" s="117">
        <v>150</v>
      </c>
      <c r="H107" s="118">
        <v>30.09</v>
      </c>
      <c r="I107" s="118">
        <v>33.15</v>
      </c>
      <c r="J107" s="119" t="s">
        <v>17</v>
      </c>
      <c r="K107" s="120"/>
      <c r="L107" s="119" t="s">
        <v>18</v>
      </c>
      <c r="M107" s="121"/>
      <c r="N107" s="121"/>
      <c r="O107" s="121">
        <f t="shared" si="32"/>
        <v>0</v>
      </c>
      <c r="P107" s="122">
        <f t="shared" si="33"/>
        <v>0</v>
      </c>
      <c r="Q107" s="122">
        <f t="shared" si="34"/>
        <v>0</v>
      </c>
      <c r="R107" s="122">
        <f t="shared" si="35"/>
        <v>0</v>
      </c>
      <c r="S107" s="133">
        <v>900</v>
      </c>
      <c r="T107" s="133">
        <v>1350</v>
      </c>
      <c r="U107" s="121">
        <f t="shared" si="36"/>
        <v>2250</v>
      </c>
      <c r="V107" s="122">
        <f t="shared" si="37"/>
        <v>27081</v>
      </c>
      <c r="W107" s="122">
        <f t="shared" si="38"/>
        <v>44752.5</v>
      </c>
      <c r="X107" s="122">
        <f t="shared" si="39"/>
        <v>71833.5</v>
      </c>
      <c r="Y107" s="133">
        <v>300</v>
      </c>
      <c r="Z107" s="133">
        <v>450</v>
      </c>
      <c r="AA107" s="121">
        <f t="shared" si="40"/>
        <v>750</v>
      </c>
      <c r="AB107" s="122">
        <f t="shared" si="41"/>
        <v>9027</v>
      </c>
      <c r="AC107" s="122">
        <f t="shared" si="42"/>
        <v>14917.5</v>
      </c>
      <c r="AD107" s="122">
        <f t="shared" si="43"/>
        <v>23944.5</v>
      </c>
      <c r="AE107" s="133">
        <v>500</v>
      </c>
      <c r="AF107" s="133">
        <v>750</v>
      </c>
      <c r="AG107" s="121">
        <f t="shared" si="44"/>
        <v>1250</v>
      </c>
      <c r="AH107" s="122">
        <f t="shared" si="45"/>
        <v>15045</v>
      </c>
      <c r="AI107" s="122">
        <f t="shared" si="46"/>
        <v>24862.5</v>
      </c>
      <c r="AJ107" s="122">
        <f t="shared" si="47"/>
        <v>39907.5</v>
      </c>
      <c r="AK107" s="133">
        <v>300</v>
      </c>
      <c r="AL107" s="133">
        <v>450</v>
      </c>
      <c r="AM107" s="121">
        <f t="shared" si="48"/>
        <v>750</v>
      </c>
      <c r="AN107" s="122">
        <f t="shared" si="49"/>
        <v>9027</v>
      </c>
      <c r="AO107" s="122">
        <f t="shared" si="50"/>
        <v>14917.5</v>
      </c>
      <c r="AP107" s="122">
        <f t="shared" si="51"/>
        <v>23944.5</v>
      </c>
      <c r="AQ107" s="124">
        <f t="shared" si="52"/>
        <v>2000</v>
      </c>
      <c r="AR107" s="125">
        <f t="shared" si="53"/>
        <v>3000</v>
      </c>
      <c r="AS107" s="126">
        <f t="shared" si="54"/>
        <v>5000</v>
      </c>
      <c r="AT107" s="127">
        <f t="shared" si="55"/>
        <v>60180</v>
      </c>
      <c r="AU107" s="128">
        <f t="shared" si="56"/>
        <v>99450</v>
      </c>
      <c r="AV107" s="129">
        <f t="shared" si="57"/>
        <v>159630</v>
      </c>
      <c r="AW107" s="33"/>
      <c r="AX107" s="34">
        <f t="shared" si="58"/>
        <v>159630</v>
      </c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</row>
    <row r="108" spans="1:69" s="33" customFormat="1" ht="15" customHeight="1" x14ac:dyDescent="0.25">
      <c r="A108" s="113">
        <v>99</v>
      </c>
      <c r="B108" s="149" t="s">
        <v>144</v>
      </c>
      <c r="C108" s="169" t="s">
        <v>145</v>
      </c>
      <c r="D108" s="169" t="s">
        <v>145</v>
      </c>
      <c r="E108" s="116" t="s">
        <v>16</v>
      </c>
      <c r="F108" s="117">
        <v>100</v>
      </c>
      <c r="G108" s="117">
        <v>150</v>
      </c>
      <c r="H108" s="118">
        <v>33.630000000000003</v>
      </c>
      <c r="I108" s="118">
        <v>37.049999999999997</v>
      </c>
      <c r="J108" s="119" t="s">
        <v>17</v>
      </c>
      <c r="K108" s="120"/>
      <c r="L108" s="119" t="s">
        <v>18</v>
      </c>
      <c r="M108" s="121"/>
      <c r="N108" s="121"/>
      <c r="O108" s="121">
        <f t="shared" si="32"/>
        <v>0</v>
      </c>
      <c r="P108" s="122">
        <f t="shared" si="33"/>
        <v>0</v>
      </c>
      <c r="Q108" s="122">
        <f t="shared" si="34"/>
        <v>0</v>
      </c>
      <c r="R108" s="122">
        <f t="shared" si="35"/>
        <v>0</v>
      </c>
      <c r="S108" s="133">
        <v>900</v>
      </c>
      <c r="T108" s="133">
        <v>1350</v>
      </c>
      <c r="U108" s="121">
        <f t="shared" si="36"/>
        <v>2250</v>
      </c>
      <c r="V108" s="122">
        <f t="shared" si="37"/>
        <v>30267.000000000004</v>
      </c>
      <c r="W108" s="122">
        <f t="shared" si="38"/>
        <v>50017.499999999993</v>
      </c>
      <c r="X108" s="122">
        <f t="shared" si="39"/>
        <v>80284.5</v>
      </c>
      <c r="Y108" s="133">
        <v>300</v>
      </c>
      <c r="Z108" s="133">
        <v>450</v>
      </c>
      <c r="AA108" s="121">
        <f t="shared" si="40"/>
        <v>750</v>
      </c>
      <c r="AB108" s="122">
        <f t="shared" si="41"/>
        <v>10089</v>
      </c>
      <c r="AC108" s="122">
        <f t="shared" si="42"/>
        <v>16672.5</v>
      </c>
      <c r="AD108" s="122">
        <f t="shared" si="43"/>
        <v>26761.5</v>
      </c>
      <c r="AE108" s="133">
        <v>500</v>
      </c>
      <c r="AF108" s="133">
        <v>750</v>
      </c>
      <c r="AG108" s="121">
        <f t="shared" si="44"/>
        <v>1250</v>
      </c>
      <c r="AH108" s="122">
        <f t="shared" si="45"/>
        <v>16815</v>
      </c>
      <c r="AI108" s="122">
        <f t="shared" si="46"/>
        <v>27787.499999999996</v>
      </c>
      <c r="AJ108" s="122">
        <f t="shared" si="47"/>
        <v>44602.5</v>
      </c>
      <c r="AK108" s="133">
        <v>300</v>
      </c>
      <c r="AL108" s="133">
        <v>450</v>
      </c>
      <c r="AM108" s="121">
        <f t="shared" si="48"/>
        <v>750</v>
      </c>
      <c r="AN108" s="122">
        <f t="shared" si="49"/>
        <v>10089</v>
      </c>
      <c r="AO108" s="122">
        <f t="shared" si="50"/>
        <v>16672.5</v>
      </c>
      <c r="AP108" s="122">
        <f t="shared" si="51"/>
        <v>26761.5</v>
      </c>
      <c r="AQ108" s="124">
        <f t="shared" si="52"/>
        <v>2000</v>
      </c>
      <c r="AR108" s="125">
        <f t="shared" si="53"/>
        <v>3000</v>
      </c>
      <c r="AS108" s="126">
        <f t="shared" si="54"/>
        <v>5000</v>
      </c>
      <c r="AT108" s="127">
        <f t="shared" si="55"/>
        <v>67260</v>
      </c>
      <c r="AU108" s="128">
        <f t="shared" si="56"/>
        <v>111150</v>
      </c>
      <c r="AV108" s="129">
        <f t="shared" si="57"/>
        <v>178410</v>
      </c>
      <c r="AX108" s="34">
        <f t="shared" si="58"/>
        <v>178410</v>
      </c>
    </row>
    <row r="109" spans="1:69" s="33" customFormat="1" ht="15" customHeight="1" x14ac:dyDescent="0.25">
      <c r="A109" s="113">
        <v>100</v>
      </c>
      <c r="B109" s="130" t="s">
        <v>144</v>
      </c>
      <c r="C109" s="131" t="s">
        <v>146</v>
      </c>
      <c r="D109" s="131" t="s">
        <v>146</v>
      </c>
      <c r="E109" s="116" t="s">
        <v>16</v>
      </c>
      <c r="F109" s="117">
        <v>150</v>
      </c>
      <c r="G109" s="117">
        <v>200</v>
      </c>
      <c r="H109" s="118">
        <v>33.630000000000003</v>
      </c>
      <c r="I109" s="118">
        <v>37.049999999999997</v>
      </c>
      <c r="J109" s="119" t="s">
        <v>17</v>
      </c>
      <c r="K109" s="120"/>
      <c r="L109" s="119" t="s">
        <v>18</v>
      </c>
      <c r="M109" s="121"/>
      <c r="N109" s="121"/>
      <c r="O109" s="121">
        <f t="shared" si="32"/>
        <v>0</v>
      </c>
      <c r="P109" s="122">
        <f t="shared" si="33"/>
        <v>0</v>
      </c>
      <c r="Q109" s="122">
        <f t="shared" si="34"/>
        <v>0</v>
      </c>
      <c r="R109" s="122">
        <f t="shared" si="35"/>
        <v>0</v>
      </c>
      <c r="S109" s="133">
        <v>1350</v>
      </c>
      <c r="T109" s="133">
        <v>1800</v>
      </c>
      <c r="U109" s="121">
        <f t="shared" si="36"/>
        <v>3150</v>
      </c>
      <c r="V109" s="122">
        <f t="shared" si="37"/>
        <v>45400.5</v>
      </c>
      <c r="W109" s="122">
        <f t="shared" si="38"/>
        <v>66690</v>
      </c>
      <c r="X109" s="122">
        <f t="shared" si="39"/>
        <v>112090.5</v>
      </c>
      <c r="Y109" s="133">
        <v>450</v>
      </c>
      <c r="Z109" s="133">
        <v>600</v>
      </c>
      <c r="AA109" s="121">
        <f t="shared" si="40"/>
        <v>1050</v>
      </c>
      <c r="AB109" s="122">
        <f t="shared" si="41"/>
        <v>15133.500000000002</v>
      </c>
      <c r="AC109" s="122">
        <f t="shared" si="42"/>
        <v>22230</v>
      </c>
      <c r="AD109" s="122">
        <f t="shared" si="43"/>
        <v>37363.5</v>
      </c>
      <c r="AE109" s="133">
        <v>750</v>
      </c>
      <c r="AF109" s="133">
        <v>1000</v>
      </c>
      <c r="AG109" s="121">
        <f t="shared" si="44"/>
        <v>1750</v>
      </c>
      <c r="AH109" s="122">
        <f t="shared" si="45"/>
        <v>25222.500000000004</v>
      </c>
      <c r="AI109" s="122">
        <f t="shared" si="46"/>
        <v>37050</v>
      </c>
      <c r="AJ109" s="122">
        <f t="shared" si="47"/>
        <v>62272.5</v>
      </c>
      <c r="AK109" s="133">
        <v>450</v>
      </c>
      <c r="AL109" s="133">
        <v>600</v>
      </c>
      <c r="AM109" s="121">
        <f t="shared" si="48"/>
        <v>1050</v>
      </c>
      <c r="AN109" s="122">
        <f t="shared" si="49"/>
        <v>15133.500000000002</v>
      </c>
      <c r="AO109" s="122">
        <f t="shared" si="50"/>
        <v>22230</v>
      </c>
      <c r="AP109" s="122">
        <f t="shared" si="51"/>
        <v>37363.5</v>
      </c>
      <c r="AQ109" s="124">
        <f t="shared" si="52"/>
        <v>3000</v>
      </c>
      <c r="AR109" s="125">
        <f t="shared" si="53"/>
        <v>4000</v>
      </c>
      <c r="AS109" s="126">
        <f t="shared" si="54"/>
        <v>7000</v>
      </c>
      <c r="AT109" s="127">
        <f t="shared" si="55"/>
        <v>100890</v>
      </c>
      <c r="AU109" s="128">
        <f t="shared" si="56"/>
        <v>148200</v>
      </c>
      <c r="AV109" s="129">
        <f t="shared" si="57"/>
        <v>249090</v>
      </c>
      <c r="AX109" s="34">
        <f t="shared" si="58"/>
        <v>249090</v>
      </c>
    </row>
    <row r="110" spans="1:69" s="33" customFormat="1" ht="15" customHeight="1" x14ac:dyDescent="0.25">
      <c r="A110" s="113">
        <v>101</v>
      </c>
      <c r="B110" s="130" t="s">
        <v>144</v>
      </c>
      <c r="C110" s="131" t="s">
        <v>147</v>
      </c>
      <c r="D110" s="131" t="s">
        <v>147</v>
      </c>
      <c r="E110" s="116" t="s">
        <v>16</v>
      </c>
      <c r="F110" s="117">
        <v>150</v>
      </c>
      <c r="G110" s="117">
        <v>200</v>
      </c>
      <c r="H110" s="118">
        <v>33.630000000000003</v>
      </c>
      <c r="I110" s="118">
        <v>37.049999999999997</v>
      </c>
      <c r="J110" s="119" t="s">
        <v>17</v>
      </c>
      <c r="K110" s="120"/>
      <c r="L110" s="119" t="s">
        <v>18</v>
      </c>
      <c r="M110" s="121"/>
      <c r="N110" s="121"/>
      <c r="O110" s="121">
        <f t="shared" si="32"/>
        <v>0</v>
      </c>
      <c r="P110" s="122">
        <f t="shared" si="33"/>
        <v>0</v>
      </c>
      <c r="Q110" s="122">
        <f t="shared" si="34"/>
        <v>0</v>
      </c>
      <c r="R110" s="122">
        <f t="shared" si="35"/>
        <v>0</v>
      </c>
      <c r="S110" s="133">
        <v>1350</v>
      </c>
      <c r="T110" s="133">
        <v>1800</v>
      </c>
      <c r="U110" s="121">
        <f t="shared" si="36"/>
        <v>3150</v>
      </c>
      <c r="V110" s="122">
        <f t="shared" si="37"/>
        <v>45400.5</v>
      </c>
      <c r="W110" s="122">
        <f t="shared" si="38"/>
        <v>66690</v>
      </c>
      <c r="X110" s="122">
        <f t="shared" si="39"/>
        <v>112090.5</v>
      </c>
      <c r="Y110" s="133">
        <v>450</v>
      </c>
      <c r="Z110" s="133">
        <v>600</v>
      </c>
      <c r="AA110" s="121">
        <f t="shared" si="40"/>
        <v>1050</v>
      </c>
      <c r="AB110" s="122">
        <f t="shared" si="41"/>
        <v>15133.500000000002</v>
      </c>
      <c r="AC110" s="122">
        <f t="shared" si="42"/>
        <v>22230</v>
      </c>
      <c r="AD110" s="122">
        <f t="shared" si="43"/>
        <v>37363.5</v>
      </c>
      <c r="AE110" s="133">
        <v>750</v>
      </c>
      <c r="AF110" s="133">
        <v>1000</v>
      </c>
      <c r="AG110" s="121">
        <f t="shared" si="44"/>
        <v>1750</v>
      </c>
      <c r="AH110" s="122">
        <f t="shared" si="45"/>
        <v>25222.500000000004</v>
      </c>
      <c r="AI110" s="122">
        <f t="shared" si="46"/>
        <v>37050</v>
      </c>
      <c r="AJ110" s="122">
        <f t="shared" si="47"/>
        <v>62272.5</v>
      </c>
      <c r="AK110" s="133">
        <v>450</v>
      </c>
      <c r="AL110" s="133">
        <v>600</v>
      </c>
      <c r="AM110" s="121">
        <f t="shared" si="48"/>
        <v>1050</v>
      </c>
      <c r="AN110" s="122">
        <f t="shared" si="49"/>
        <v>15133.500000000002</v>
      </c>
      <c r="AO110" s="122">
        <f t="shared" si="50"/>
        <v>22230</v>
      </c>
      <c r="AP110" s="122">
        <f t="shared" si="51"/>
        <v>37363.5</v>
      </c>
      <c r="AQ110" s="124">
        <f t="shared" si="52"/>
        <v>3000</v>
      </c>
      <c r="AR110" s="125">
        <f t="shared" si="53"/>
        <v>4000</v>
      </c>
      <c r="AS110" s="126">
        <f t="shared" si="54"/>
        <v>7000</v>
      </c>
      <c r="AT110" s="127">
        <f t="shared" si="55"/>
        <v>100890</v>
      </c>
      <c r="AU110" s="128">
        <f t="shared" si="56"/>
        <v>148200</v>
      </c>
      <c r="AV110" s="129">
        <f t="shared" si="57"/>
        <v>249090</v>
      </c>
      <c r="AX110" s="34">
        <f t="shared" si="58"/>
        <v>249090</v>
      </c>
    </row>
    <row r="111" spans="1:69" s="33" customFormat="1" ht="15" customHeight="1" x14ac:dyDescent="0.25">
      <c r="A111" s="113">
        <v>102</v>
      </c>
      <c r="B111" s="114" t="s">
        <v>144</v>
      </c>
      <c r="C111" s="115" t="s">
        <v>148</v>
      </c>
      <c r="D111" s="115" t="s">
        <v>148</v>
      </c>
      <c r="E111" s="116" t="s">
        <v>16</v>
      </c>
      <c r="F111" s="117">
        <v>100</v>
      </c>
      <c r="G111" s="117">
        <v>150</v>
      </c>
      <c r="H111" s="118">
        <v>33.630000000000003</v>
      </c>
      <c r="I111" s="118">
        <v>37.049999999999997</v>
      </c>
      <c r="J111" s="119" t="s">
        <v>17</v>
      </c>
      <c r="K111" s="120"/>
      <c r="L111" s="119" t="s">
        <v>18</v>
      </c>
      <c r="M111" s="121"/>
      <c r="N111" s="121"/>
      <c r="O111" s="121">
        <f t="shared" si="32"/>
        <v>0</v>
      </c>
      <c r="P111" s="122">
        <f t="shared" si="33"/>
        <v>0</v>
      </c>
      <c r="Q111" s="122">
        <f t="shared" si="34"/>
        <v>0</v>
      </c>
      <c r="R111" s="122">
        <f t="shared" si="35"/>
        <v>0</v>
      </c>
      <c r="S111" s="133">
        <v>900</v>
      </c>
      <c r="T111" s="133">
        <v>1350</v>
      </c>
      <c r="U111" s="121">
        <f t="shared" si="36"/>
        <v>2250</v>
      </c>
      <c r="V111" s="122">
        <f t="shared" si="37"/>
        <v>30267.000000000004</v>
      </c>
      <c r="W111" s="122">
        <f t="shared" si="38"/>
        <v>50017.499999999993</v>
      </c>
      <c r="X111" s="122">
        <f t="shared" si="39"/>
        <v>80284.5</v>
      </c>
      <c r="Y111" s="133">
        <v>300</v>
      </c>
      <c r="Z111" s="138">
        <v>431</v>
      </c>
      <c r="AA111" s="121">
        <f t="shared" si="40"/>
        <v>731</v>
      </c>
      <c r="AB111" s="122">
        <f t="shared" si="41"/>
        <v>10089</v>
      </c>
      <c r="AC111" s="122">
        <f t="shared" si="42"/>
        <v>15968.55</v>
      </c>
      <c r="AD111" s="122">
        <f t="shared" si="43"/>
        <v>26057.55</v>
      </c>
      <c r="AE111" s="133">
        <v>500</v>
      </c>
      <c r="AF111" s="133">
        <v>750</v>
      </c>
      <c r="AG111" s="121">
        <f t="shared" si="44"/>
        <v>1250</v>
      </c>
      <c r="AH111" s="122">
        <f t="shared" si="45"/>
        <v>16815</v>
      </c>
      <c r="AI111" s="122">
        <f t="shared" si="46"/>
        <v>27787.499999999996</v>
      </c>
      <c r="AJ111" s="122">
        <f t="shared" si="47"/>
        <v>44602.5</v>
      </c>
      <c r="AK111" s="133">
        <v>300</v>
      </c>
      <c r="AL111" s="133">
        <v>450</v>
      </c>
      <c r="AM111" s="121">
        <f t="shared" si="48"/>
        <v>750</v>
      </c>
      <c r="AN111" s="122">
        <f t="shared" si="49"/>
        <v>10089</v>
      </c>
      <c r="AO111" s="122">
        <f t="shared" si="50"/>
        <v>16672.5</v>
      </c>
      <c r="AP111" s="122">
        <f t="shared" si="51"/>
        <v>26761.5</v>
      </c>
      <c r="AQ111" s="124">
        <f t="shared" si="52"/>
        <v>2000</v>
      </c>
      <c r="AR111" s="125">
        <f t="shared" si="53"/>
        <v>2981</v>
      </c>
      <c r="AS111" s="126">
        <f t="shared" si="54"/>
        <v>4981</v>
      </c>
      <c r="AT111" s="127">
        <f t="shared" si="55"/>
        <v>67260</v>
      </c>
      <c r="AU111" s="128">
        <f t="shared" si="56"/>
        <v>110446.04999999999</v>
      </c>
      <c r="AV111" s="129">
        <f t="shared" si="57"/>
        <v>177706.05</v>
      </c>
      <c r="AX111" s="34">
        <f t="shared" si="58"/>
        <v>177706.05</v>
      </c>
    </row>
    <row r="112" spans="1:69" s="33" customFormat="1" ht="15" customHeight="1" x14ac:dyDescent="0.25">
      <c r="A112" s="113">
        <v>103</v>
      </c>
      <c r="B112" s="130" t="s">
        <v>144</v>
      </c>
      <c r="C112" s="131" t="s">
        <v>149</v>
      </c>
      <c r="D112" s="131" t="s">
        <v>149</v>
      </c>
      <c r="E112" s="116" t="s">
        <v>16</v>
      </c>
      <c r="F112" s="117">
        <v>125</v>
      </c>
      <c r="G112" s="117">
        <v>175</v>
      </c>
      <c r="H112" s="118">
        <v>33.630000000000003</v>
      </c>
      <c r="I112" s="118">
        <v>37.049999999999997</v>
      </c>
      <c r="J112" s="119" t="s">
        <v>17</v>
      </c>
      <c r="K112" s="120"/>
      <c r="L112" s="119" t="s">
        <v>18</v>
      </c>
      <c r="M112" s="121"/>
      <c r="N112" s="121"/>
      <c r="O112" s="121">
        <f t="shared" si="32"/>
        <v>0</v>
      </c>
      <c r="P112" s="122">
        <f t="shared" si="33"/>
        <v>0</v>
      </c>
      <c r="Q112" s="122">
        <f t="shared" si="34"/>
        <v>0</v>
      </c>
      <c r="R112" s="122">
        <f t="shared" si="35"/>
        <v>0</v>
      </c>
      <c r="S112" s="133">
        <v>1125</v>
      </c>
      <c r="T112" s="139">
        <v>1575</v>
      </c>
      <c r="U112" s="121">
        <f t="shared" si="36"/>
        <v>2700</v>
      </c>
      <c r="V112" s="122">
        <f t="shared" si="37"/>
        <v>37833.75</v>
      </c>
      <c r="W112" s="122">
        <f t="shared" si="38"/>
        <v>58353.749999999993</v>
      </c>
      <c r="X112" s="122">
        <f t="shared" si="39"/>
        <v>96187.5</v>
      </c>
      <c r="Y112" s="139">
        <v>375</v>
      </c>
      <c r="Z112" s="139">
        <v>525</v>
      </c>
      <c r="AA112" s="121">
        <f t="shared" si="40"/>
        <v>900</v>
      </c>
      <c r="AB112" s="122">
        <f t="shared" si="41"/>
        <v>12611.250000000002</v>
      </c>
      <c r="AC112" s="122">
        <f t="shared" si="42"/>
        <v>19451.25</v>
      </c>
      <c r="AD112" s="122">
        <f t="shared" si="43"/>
        <v>32062.5</v>
      </c>
      <c r="AE112" s="133">
        <v>625</v>
      </c>
      <c r="AF112" s="133">
        <v>875</v>
      </c>
      <c r="AG112" s="121">
        <f t="shared" si="44"/>
        <v>1500</v>
      </c>
      <c r="AH112" s="122">
        <f t="shared" si="45"/>
        <v>21018.75</v>
      </c>
      <c r="AI112" s="122">
        <f t="shared" si="46"/>
        <v>32418.749999999996</v>
      </c>
      <c r="AJ112" s="122">
        <f t="shared" si="47"/>
        <v>53437.5</v>
      </c>
      <c r="AK112" s="133">
        <v>375</v>
      </c>
      <c r="AL112" s="139">
        <v>525</v>
      </c>
      <c r="AM112" s="121">
        <f t="shared" si="48"/>
        <v>900</v>
      </c>
      <c r="AN112" s="122">
        <f t="shared" si="49"/>
        <v>12611.250000000002</v>
      </c>
      <c r="AO112" s="122">
        <f t="shared" si="50"/>
        <v>19451.25</v>
      </c>
      <c r="AP112" s="122">
        <f t="shared" si="51"/>
        <v>32062.5</v>
      </c>
      <c r="AQ112" s="124">
        <f t="shared" si="52"/>
        <v>2500</v>
      </c>
      <c r="AR112" s="125">
        <f t="shared" si="53"/>
        <v>3500</v>
      </c>
      <c r="AS112" s="126">
        <f t="shared" si="54"/>
        <v>6000</v>
      </c>
      <c r="AT112" s="127">
        <f t="shared" si="55"/>
        <v>84075</v>
      </c>
      <c r="AU112" s="128">
        <f t="shared" si="56"/>
        <v>129675</v>
      </c>
      <c r="AV112" s="129">
        <f t="shared" si="57"/>
        <v>213750</v>
      </c>
      <c r="AX112" s="34">
        <f t="shared" si="58"/>
        <v>213750</v>
      </c>
    </row>
    <row r="113" spans="1:69" s="33" customFormat="1" ht="15" customHeight="1" x14ac:dyDescent="0.25">
      <c r="A113" s="113">
        <v>104</v>
      </c>
      <c r="B113" s="130" t="s">
        <v>144</v>
      </c>
      <c r="C113" s="131" t="s">
        <v>150</v>
      </c>
      <c r="D113" s="131" t="s">
        <v>150</v>
      </c>
      <c r="E113" s="116" t="s">
        <v>16</v>
      </c>
      <c r="F113" s="117">
        <v>100</v>
      </c>
      <c r="G113" s="117">
        <v>150</v>
      </c>
      <c r="H113" s="118">
        <v>33.630000000000003</v>
      </c>
      <c r="I113" s="118">
        <v>37.049999999999997</v>
      </c>
      <c r="J113" s="119" t="s">
        <v>17</v>
      </c>
      <c r="K113" s="120"/>
      <c r="L113" s="119" t="s">
        <v>18</v>
      </c>
      <c r="M113" s="121"/>
      <c r="N113" s="121"/>
      <c r="O113" s="121">
        <f t="shared" si="32"/>
        <v>0</v>
      </c>
      <c r="P113" s="122">
        <f t="shared" si="33"/>
        <v>0</v>
      </c>
      <c r="Q113" s="122">
        <f t="shared" si="34"/>
        <v>0</v>
      </c>
      <c r="R113" s="122">
        <f t="shared" si="35"/>
        <v>0</v>
      </c>
      <c r="S113" s="133">
        <v>900</v>
      </c>
      <c r="T113" s="133">
        <v>1350</v>
      </c>
      <c r="U113" s="121">
        <f t="shared" si="36"/>
        <v>2250</v>
      </c>
      <c r="V113" s="122">
        <f t="shared" si="37"/>
        <v>30267.000000000004</v>
      </c>
      <c r="W113" s="122">
        <f t="shared" si="38"/>
        <v>50017.499999999993</v>
      </c>
      <c r="X113" s="122">
        <f t="shared" si="39"/>
        <v>80284.5</v>
      </c>
      <c r="Y113" s="133">
        <v>300</v>
      </c>
      <c r="Z113" s="133">
        <v>450</v>
      </c>
      <c r="AA113" s="121">
        <f t="shared" si="40"/>
        <v>750</v>
      </c>
      <c r="AB113" s="122">
        <f t="shared" si="41"/>
        <v>10089</v>
      </c>
      <c r="AC113" s="122">
        <f t="shared" si="42"/>
        <v>16672.5</v>
      </c>
      <c r="AD113" s="122">
        <f t="shared" si="43"/>
        <v>26761.5</v>
      </c>
      <c r="AE113" s="133">
        <v>500</v>
      </c>
      <c r="AF113" s="133">
        <v>750</v>
      </c>
      <c r="AG113" s="121">
        <f t="shared" si="44"/>
        <v>1250</v>
      </c>
      <c r="AH113" s="122">
        <f t="shared" si="45"/>
        <v>16815</v>
      </c>
      <c r="AI113" s="122">
        <f t="shared" si="46"/>
        <v>27787.499999999996</v>
      </c>
      <c r="AJ113" s="122">
        <f t="shared" si="47"/>
        <v>44602.5</v>
      </c>
      <c r="AK113" s="133">
        <v>300</v>
      </c>
      <c r="AL113" s="133">
        <v>450</v>
      </c>
      <c r="AM113" s="121">
        <f t="shared" si="48"/>
        <v>750</v>
      </c>
      <c r="AN113" s="122">
        <f t="shared" si="49"/>
        <v>10089</v>
      </c>
      <c r="AO113" s="122">
        <f t="shared" si="50"/>
        <v>16672.5</v>
      </c>
      <c r="AP113" s="122">
        <f t="shared" si="51"/>
        <v>26761.5</v>
      </c>
      <c r="AQ113" s="124">
        <f t="shared" si="52"/>
        <v>2000</v>
      </c>
      <c r="AR113" s="125">
        <f t="shared" si="53"/>
        <v>3000</v>
      </c>
      <c r="AS113" s="126">
        <f t="shared" si="54"/>
        <v>5000</v>
      </c>
      <c r="AT113" s="127">
        <f t="shared" si="55"/>
        <v>67260</v>
      </c>
      <c r="AU113" s="128">
        <f t="shared" si="56"/>
        <v>111150</v>
      </c>
      <c r="AV113" s="129">
        <f t="shared" si="57"/>
        <v>178410</v>
      </c>
      <c r="AX113" s="34">
        <f t="shared" si="58"/>
        <v>178410</v>
      </c>
    </row>
    <row r="114" spans="1:69" s="33" customFormat="1" ht="12.75" customHeight="1" x14ac:dyDescent="0.25">
      <c r="A114" s="113">
        <v>105</v>
      </c>
      <c r="B114" s="130" t="s">
        <v>144</v>
      </c>
      <c r="C114" s="131" t="s">
        <v>151</v>
      </c>
      <c r="D114" s="131" t="s">
        <v>151</v>
      </c>
      <c r="E114" s="116" t="s">
        <v>16</v>
      </c>
      <c r="F114" s="117">
        <v>60</v>
      </c>
      <c r="G114" s="117">
        <v>90</v>
      </c>
      <c r="H114" s="118">
        <v>33.630000000000003</v>
      </c>
      <c r="I114" s="118">
        <v>37.049999999999997</v>
      </c>
      <c r="J114" s="119" t="s">
        <v>17</v>
      </c>
      <c r="K114" s="120"/>
      <c r="L114" s="119" t="s">
        <v>18</v>
      </c>
      <c r="M114" s="121"/>
      <c r="N114" s="121"/>
      <c r="O114" s="121">
        <f t="shared" si="32"/>
        <v>0</v>
      </c>
      <c r="P114" s="122">
        <f t="shared" si="33"/>
        <v>0</v>
      </c>
      <c r="Q114" s="122">
        <f t="shared" si="34"/>
        <v>0</v>
      </c>
      <c r="R114" s="122">
        <f t="shared" si="35"/>
        <v>0</v>
      </c>
      <c r="S114" s="139">
        <v>540</v>
      </c>
      <c r="T114" s="133">
        <v>810</v>
      </c>
      <c r="U114" s="121">
        <f t="shared" si="36"/>
        <v>1350</v>
      </c>
      <c r="V114" s="122">
        <f t="shared" si="37"/>
        <v>18160.2</v>
      </c>
      <c r="W114" s="122">
        <f t="shared" si="38"/>
        <v>30010.499999999996</v>
      </c>
      <c r="X114" s="122">
        <f t="shared" si="39"/>
        <v>48170.7</v>
      </c>
      <c r="Y114" s="133">
        <v>180</v>
      </c>
      <c r="Z114" s="133">
        <v>270</v>
      </c>
      <c r="AA114" s="121">
        <f t="shared" si="40"/>
        <v>450</v>
      </c>
      <c r="AB114" s="122">
        <f t="shared" si="41"/>
        <v>6053.4000000000005</v>
      </c>
      <c r="AC114" s="122">
        <f t="shared" si="42"/>
        <v>10003.5</v>
      </c>
      <c r="AD114" s="122">
        <f t="shared" si="43"/>
        <v>16056.900000000001</v>
      </c>
      <c r="AE114" s="133">
        <v>300</v>
      </c>
      <c r="AF114" s="133">
        <v>450</v>
      </c>
      <c r="AG114" s="121">
        <f t="shared" si="44"/>
        <v>750</v>
      </c>
      <c r="AH114" s="122">
        <f t="shared" si="45"/>
        <v>10089</v>
      </c>
      <c r="AI114" s="122">
        <f t="shared" si="46"/>
        <v>16672.5</v>
      </c>
      <c r="AJ114" s="122">
        <f t="shared" si="47"/>
        <v>26761.5</v>
      </c>
      <c r="AK114" s="133">
        <v>180</v>
      </c>
      <c r="AL114" s="133">
        <v>270</v>
      </c>
      <c r="AM114" s="121">
        <f t="shared" si="48"/>
        <v>450</v>
      </c>
      <c r="AN114" s="122">
        <f t="shared" si="49"/>
        <v>6053.4000000000005</v>
      </c>
      <c r="AO114" s="122">
        <f t="shared" si="50"/>
        <v>10003.5</v>
      </c>
      <c r="AP114" s="122">
        <f t="shared" si="51"/>
        <v>16056.900000000001</v>
      </c>
      <c r="AQ114" s="124">
        <f t="shared" si="52"/>
        <v>1200</v>
      </c>
      <c r="AR114" s="125">
        <f t="shared" si="53"/>
        <v>1800</v>
      </c>
      <c r="AS114" s="126">
        <f t="shared" si="54"/>
        <v>3000</v>
      </c>
      <c r="AT114" s="127">
        <f t="shared" si="55"/>
        <v>40356.000000000007</v>
      </c>
      <c r="AU114" s="128">
        <f t="shared" si="56"/>
        <v>66690</v>
      </c>
      <c r="AV114" s="129">
        <f t="shared" si="57"/>
        <v>107046</v>
      </c>
      <c r="AX114" s="34">
        <f t="shared" si="58"/>
        <v>107046</v>
      </c>
    </row>
    <row r="115" spans="1:69" s="33" customFormat="1" ht="15" customHeight="1" x14ac:dyDescent="0.25">
      <c r="A115" s="113">
        <v>106</v>
      </c>
      <c r="B115" s="130" t="s">
        <v>144</v>
      </c>
      <c r="C115" s="131" t="s">
        <v>152</v>
      </c>
      <c r="D115" s="131" t="s">
        <v>152</v>
      </c>
      <c r="E115" s="116" t="s">
        <v>16</v>
      </c>
      <c r="F115" s="117">
        <v>100</v>
      </c>
      <c r="G115" s="117">
        <v>150</v>
      </c>
      <c r="H115" s="118">
        <v>33.630000000000003</v>
      </c>
      <c r="I115" s="118">
        <v>37.049999999999997</v>
      </c>
      <c r="J115" s="119" t="s">
        <v>17</v>
      </c>
      <c r="K115" s="120"/>
      <c r="L115" s="119" t="s">
        <v>18</v>
      </c>
      <c r="M115" s="121"/>
      <c r="N115" s="121"/>
      <c r="O115" s="121">
        <f t="shared" si="32"/>
        <v>0</v>
      </c>
      <c r="P115" s="122">
        <f t="shared" si="33"/>
        <v>0</v>
      </c>
      <c r="Q115" s="122">
        <f t="shared" si="34"/>
        <v>0</v>
      </c>
      <c r="R115" s="122">
        <f t="shared" si="35"/>
        <v>0</v>
      </c>
      <c r="S115" s="133">
        <v>900</v>
      </c>
      <c r="T115" s="133">
        <v>1350</v>
      </c>
      <c r="U115" s="121">
        <f t="shared" si="36"/>
        <v>2250</v>
      </c>
      <c r="V115" s="122">
        <f t="shared" si="37"/>
        <v>30267.000000000004</v>
      </c>
      <c r="W115" s="122">
        <f t="shared" si="38"/>
        <v>50017.499999999993</v>
      </c>
      <c r="X115" s="122">
        <f t="shared" si="39"/>
        <v>80284.5</v>
      </c>
      <c r="Y115" s="133">
        <v>300</v>
      </c>
      <c r="Z115" s="133">
        <v>450</v>
      </c>
      <c r="AA115" s="121">
        <f t="shared" si="40"/>
        <v>750</v>
      </c>
      <c r="AB115" s="122">
        <f t="shared" si="41"/>
        <v>10089</v>
      </c>
      <c r="AC115" s="122">
        <f t="shared" si="42"/>
        <v>16672.5</v>
      </c>
      <c r="AD115" s="122">
        <f t="shared" si="43"/>
        <v>26761.5</v>
      </c>
      <c r="AE115" s="139">
        <v>500</v>
      </c>
      <c r="AF115" s="139">
        <v>750</v>
      </c>
      <c r="AG115" s="121">
        <f t="shared" si="44"/>
        <v>1250</v>
      </c>
      <c r="AH115" s="122">
        <f t="shared" si="45"/>
        <v>16815</v>
      </c>
      <c r="AI115" s="122">
        <f t="shared" si="46"/>
        <v>27787.499999999996</v>
      </c>
      <c r="AJ115" s="122">
        <f t="shared" si="47"/>
        <v>44602.5</v>
      </c>
      <c r="AK115" s="133">
        <v>300</v>
      </c>
      <c r="AL115" s="133">
        <v>450</v>
      </c>
      <c r="AM115" s="121">
        <f t="shared" si="48"/>
        <v>750</v>
      </c>
      <c r="AN115" s="122">
        <f t="shared" si="49"/>
        <v>10089</v>
      </c>
      <c r="AO115" s="122">
        <f t="shared" si="50"/>
        <v>16672.5</v>
      </c>
      <c r="AP115" s="122">
        <f t="shared" si="51"/>
        <v>26761.5</v>
      </c>
      <c r="AQ115" s="124">
        <f t="shared" si="52"/>
        <v>2000</v>
      </c>
      <c r="AR115" s="125">
        <f t="shared" si="53"/>
        <v>3000</v>
      </c>
      <c r="AS115" s="126">
        <f t="shared" si="54"/>
        <v>5000</v>
      </c>
      <c r="AT115" s="127">
        <f t="shared" si="55"/>
        <v>67260</v>
      </c>
      <c r="AU115" s="128">
        <f t="shared" si="56"/>
        <v>111150</v>
      </c>
      <c r="AV115" s="129">
        <f t="shared" si="57"/>
        <v>178410</v>
      </c>
      <c r="AX115" s="34">
        <f t="shared" si="58"/>
        <v>178410</v>
      </c>
    </row>
    <row r="116" spans="1:69" s="33" customFormat="1" ht="15" customHeight="1" x14ac:dyDescent="0.25">
      <c r="A116" s="113">
        <v>107</v>
      </c>
      <c r="B116" s="130" t="s">
        <v>144</v>
      </c>
      <c r="C116" s="131" t="s">
        <v>153</v>
      </c>
      <c r="D116" s="131" t="s">
        <v>153</v>
      </c>
      <c r="E116" s="116" t="s">
        <v>16</v>
      </c>
      <c r="F116" s="117">
        <v>100</v>
      </c>
      <c r="G116" s="117">
        <v>150</v>
      </c>
      <c r="H116" s="118">
        <v>33.630000000000003</v>
      </c>
      <c r="I116" s="118">
        <v>37.049999999999997</v>
      </c>
      <c r="J116" s="119" t="s">
        <v>17</v>
      </c>
      <c r="K116" s="120"/>
      <c r="L116" s="119" t="s">
        <v>18</v>
      </c>
      <c r="M116" s="121"/>
      <c r="N116" s="121"/>
      <c r="O116" s="121">
        <f t="shared" si="32"/>
        <v>0</v>
      </c>
      <c r="P116" s="122">
        <f t="shared" si="33"/>
        <v>0</v>
      </c>
      <c r="Q116" s="122">
        <f t="shared" si="34"/>
        <v>0</v>
      </c>
      <c r="R116" s="122">
        <f t="shared" si="35"/>
        <v>0</v>
      </c>
      <c r="S116" s="133">
        <v>900</v>
      </c>
      <c r="T116" s="133">
        <v>1350</v>
      </c>
      <c r="U116" s="121">
        <f t="shared" si="36"/>
        <v>2250</v>
      </c>
      <c r="V116" s="122">
        <f t="shared" si="37"/>
        <v>30267.000000000004</v>
      </c>
      <c r="W116" s="122">
        <f t="shared" si="38"/>
        <v>50017.499999999993</v>
      </c>
      <c r="X116" s="122">
        <f t="shared" si="39"/>
        <v>80284.5</v>
      </c>
      <c r="Y116" s="133">
        <v>300</v>
      </c>
      <c r="Z116" s="133">
        <v>450</v>
      </c>
      <c r="AA116" s="121">
        <f t="shared" si="40"/>
        <v>750</v>
      </c>
      <c r="AB116" s="122">
        <f t="shared" si="41"/>
        <v>10089</v>
      </c>
      <c r="AC116" s="122">
        <f t="shared" si="42"/>
        <v>16672.5</v>
      </c>
      <c r="AD116" s="122">
        <f t="shared" si="43"/>
        <v>26761.5</v>
      </c>
      <c r="AE116" s="139">
        <v>500</v>
      </c>
      <c r="AF116" s="139">
        <v>750</v>
      </c>
      <c r="AG116" s="121">
        <f t="shared" si="44"/>
        <v>1250</v>
      </c>
      <c r="AH116" s="122">
        <f t="shared" si="45"/>
        <v>16815</v>
      </c>
      <c r="AI116" s="122">
        <f t="shared" si="46"/>
        <v>27787.499999999996</v>
      </c>
      <c r="AJ116" s="122">
        <f t="shared" si="47"/>
        <v>44602.5</v>
      </c>
      <c r="AK116" s="133">
        <v>300</v>
      </c>
      <c r="AL116" s="133">
        <v>450</v>
      </c>
      <c r="AM116" s="121">
        <f t="shared" si="48"/>
        <v>750</v>
      </c>
      <c r="AN116" s="122">
        <f t="shared" si="49"/>
        <v>10089</v>
      </c>
      <c r="AO116" s="122">
        <f t="shared" si="50"/>
        <v>16672.5</v>
      </c>
      <c r="AP116" s="122">
        <f t="shared" si="51"/>
        <v>26761.5</v>
      </c>
      <c r="AQ116" s="124">
        <f t="shared" si="52"/>
        <v>2000</v>
      </c>
      <c r="AR116" s="125">
        <f t="shared" si="53"/>
        <v>3000</v>
      </c>
      <c r="AS116" s="126">
        <f t="shared" si="54"/>
        <v>5000</v>
      </c>
      <c r="AT116" s="127">
        <f t="shared" si="55"/>
        <v>67260</v>
      </c>
      <c r="AU116" s="128">
        <f t="shared" si="56"/>
        <v>111150</v>
      </c>
      <c r="AV116" s="129">
        <f t="shared" si="57"/>
        <v>178410</v>
      </c>
      <c r="AX116" s="34">
        <f t="shared" si="58"/>
        <v>178410</v>
      </c>
    </row>
    <row r="117" spans="1:69" s="33" customFormat="1" ht="15" customHeight="1" x14ac:dyDescent="0.25">
      <c r="A117" s="113">
        <v>108</v>
      </c>
      <c r="B117" s="130" t="s">
        <v>154</v>
      </c>
      <c r="C117" s="131" t="s">
        <v>156</v>
      </c>
      <c r="D117" s="131" t="s">
        <v>156</v>
      </c>
      <c r="E117" s="116" t="s">
        <v>16</v>
      </c>
      <c r="F117" s="117">
        <v>100</v>
      </c>
      <c r="G117" s="117">
        <v>150</v>
      </c>
      <c r="H117" s="118">
        <v>23</v>
      </c>
      <c r="I117" s="118">
        <v>27</v>
      </c>
      <c r="J117" s="119" t="s">
        <v>23</v>
      </c>
      <c r="K117" s="119" t="s">
        <v>157</v>
      </c>
      <c r="L117" s="119" t="s">
        <v>25</v>
      </c>
      <c r="M117" s="121"/>
      <c r="N117" s="121"/>
      <c r="O117" s="121">
        <f t="shared" si="32"/>
        <v>0</v>
      </c>
      <c r="P117" s="122">
        <f t="shared" si="33"/>
        <v>0</v>
      </c>
      <c r="Q117" s="122">
        <f t="shared" si="34"/>
        <v>0</v>
      </c>
      <c r="R117" s="122">
        <f t="shared" si="35"/>
        <v>0</v>
      </c>
      <c r="S117" s="133">
        <v>900</v>
      </c>
      <c r="T117" s="133">
        <v>1350</v>
      </c>
      <c r="U117" s="121">
        <f t="shared" si="36"/>
        <v>2250</v>
      </c>
      <c r="V117" s="122">
        <f t="shared" si="37"/>
        <v>20700</v>
      </c>
      <c r="W117" s="122">
        <f t="shared" si="38"/>
        <v>36450</v>
      </c>
      <c r="X117" s="122">
        <f t="shared" si="39"/>
        <v>57150</v>
      </c>
      <c r="Y117" s="133">
        <v>300</v>
      </c>
      <c r="Z117" s="133">
        <v>450</v>
      </c>
      <c r="AA117" s="121">
        <f t="shared" si="40"/>
        <v>750</v>
      </c>
      <c r="AB117" s="122">
        <f t="shared" si="41"/>
        <v>6900</v>
      </c>
      <c r="AC117" s="122">
        <f t="shared" si="42"/>
        <v>12150</v>
      </c>
      <c r="AD117" s="122">
        <f t="shared" si="43"/>
        <v>19050</v>
      </c>
      <c r="AE117" s="133">
        <v>500</v>
      </c>
      <c r="AF117" s="133">
        <v>750</v>
      </c>
      <c r="AG117" s="121">
        <f t="shared" si="44"/>
        <v>1250</v>
      </c>
      <c r="AH117" s="122">
        <f t="shared" si="45"/>
        <v>11500</v>
      </c>
      <c r="AI117" s="122">
        <f t="shared" si="46"/>
        <v>20250</v>
      </c>
      <c r="AJ117" s="122">
        <f t="shared" si="47"/>
        <v>31750</v>
      </c>
      <c r="AK117" s="133">
        <v>300</v>
      </c>
      <c r="AL117" s="133">
        <v>450</v>
      </c>
      <c r="AM117" s="121">
        <f t="shared" si="48"/>
        <v>750</v>
      </c>
      <c r="AN117" s="122">
        <f t="shared" si="49"/>
        <v>6900</v>
      </c>
      <c r="AO117" s="122">
        <f t="shared" si="50"/>
        <v>12150</v>
      </c>
      <c r="AP117" s="122">
        <f t="shared" si="51"/>
        <v>19050</v>
      </c>
      <c r="AQ117" s="124">
        <f t="shared" si="52"/>
        <v>2000</v>
      </c>
      <c r="AR117" s="125">
        <f t="shared" si="53"/>
        <v>3000</v>
      </c>
      <c r="AS117" s="126">
        <f t="shared" si="54"/>
        <v>5000</v>
      </c>
      <c r="AT117" s="127">
        <f t="shared" si="55"/>
        <v>46000</v>
      </c>
      <c r="AU117" s="128">
        <f t="shared" si="56"/>
        <v>81000</v>
      </c>
      <c r="AV117" s="129">
        <f t="shared" si="57"/>
        <v>127000</v>
      </c>
      <c r="AX117" s="34">
        <f t="shared" si="58"/>
        <v>127000</v>
      </c>
    </row>
    <row r="118" spans="1:69" s="33" customFormat="1" ht="15" customHeight="1" x14ac:dyDescent="0.25">
      <c r="A118" s="113">
        <v>109</v>
      </c>
      <c r="B118" s="130" t="s">
        <v>154</v>
      </c>
      <c r="C118" s="131" t="s">
        <v>158</v>
      </c>
      <c r="D118" s="131" t="s">
        <v>158</v>
      </c>
      <c r="E118" s="116" t="s">
        <v>41</v>
      </c>
      <c r="F118" s="117">
        <v>150</v>
      </c>
      <c r="G118" s="117">
        <v>200</v>
      </c>
      <c r="H118" s="118">
        <v>33.04</v>
      </c>
      <c r="I118" s="118">
        <v>36.4</v>
      </c>
      <c r="J118" s="119" t="s">
        <v>17</v>
      </c>
      <c r="K118" s="120" t="s">
        <v>155</v>
      </c>
      <c r="L118" s="119" t="s">
        <v>18</v>
      </c>
      <c r="M118" s="121"/>
      <c r="N118" s="121"/>
      <c r="O118" s="121">
        <f t="shared" si="32"/>
        <v>0</v>
      </c>
      <c r="P118" s="122">
        <f t="shared" si="33"/>
        <v>0</v>
      </c>
      <c r="Q118" s="122">
        <f t="shared" si="34"/>
        <v>0</v>
      </c>
      <c r="R118" s="122">
        <f t="shared" si="35"/>
        <v>0</v>
      </c>
      <c r="S118" s="133">
        <v>1350</v>
      </c>
      <c r="T118" s="133">
        <v>1800</v>
      </c>
      <c r="U118" s="121">
        <f t="shared" si="36"/>
        <v>3150</v>
      </c>
      <c r="V118" s="122">
        <f t="shared" si="37"/>
        <v>44604</v>
      </c>
      <c r="W118" s="122">
        <f t="shared" si="38"/>
        <v>65520</v>
      </c>
      <c r="X118" s="122">
        <f t="shared" si="39"/>
        <v>110124</v>
      </c>
      <c r="Y118" s="133">
        <v>450</v>
      </c>
      <c r="Z118" s="133">
        <v>600</v>
      </c>
      <c r="AA118" s="121">
        <f t="shared" si="40"/>
        <v>1050</v>
      </c>
      <c r="AB118" s="122">
        <f t="shared" si="41"/>
        <v>14868</v>
      </c>
      <c r="AC118" s="122">
        <f t="shared" si="42"/>
        <v>21840</v>
      </c>
      <c r="AD118" s="122">
        <f t="shared" si="43"/>
        <v>36708</v>
      </c>
      <c r="AE118" s="133">
        <v>750</v>
      </c>
      <c r="AF118" s="133">
        <v>1000</v>
      </c>
      <c r="AG118" s="121">
        <f t="shared" si="44"/>
        <v>1750</v>
      </c>
      <c r="AH118" s="122">
        <f t="shared" si="45"/>
        <v>24780</v>
      </c>
      <c r="AI118" s="122">
        <f t="shared" si="46"/>
        <v>36400</v>
      </c>
      <c r="AJ118" s="122">
        <f t="shared" si="47"/>
        <v>61180</v>
      </c>
      <c r="AK118" s="133">
        <v>450</v>
      </c>
      <c r="AL118" s="133">
        <v>600</v>
      </c>
      <c r="AM118" s="121">
        <f t="shared" si="48"/>
        <v>1050</v>
      </c>
      <c r="AN118" s="122">
        <f t="shared" si="49"/>
        <v>14868</v>
      </c>
      <c r="AO118" s="122">
        <f t="shared" si="50"/>
        <v>21840</v>
      </c>
      <c r="AP118" s="122">
        <f t="shared" si="51"/>
        <v>36708</v>
      </c>
      <c r="AQ118" s="124">
        <f t="shared" si="52"/>
        <v>3000</v>
      </c>
      <c r="AR118" s="125">
        <f t="shared" si="53"/>
        <v>4000</v>
      </c>
      <c r="AS118" s="126">
        <f t="shared" si="54"/>
        <v>7000</v>
      </c>
      <c r="AT118" s="127">
        <f t="shared" si="55"/>
        <v>99120</v>
      </c>
      <c r="AU118" s="128">
        <f t="shared" si="56"/>
        <v>145600</v>
      </c>
      <c r="AV118" s="129">
        <f t="shared" si="57"/>
        <v>244720</v>
      </c>
      <c r="AX118" s="34">
        <f t="shared" si="58"/>
        <v>244720</v>
      </c>
    </row>
    <row r="119" spans="1:69" s="78" customFormat="1" ht="13.5" customHeight="1" x14ac:dyDescent="0.25">
      <c r="A119" s="113">
        <v>110</v>
      </c>
      <c r="B119" s="145" t="s">
        <v>159</v>
      </c>
      <c r="C119" s="171" t="s">
        <v>160</v>
      </c>
      <c r="D119" s="171" t="s">
        <v>160</v>
      </c>
      <c r="E119" s="116" t="s">
        <v>41</v>
      </c>
      <c r="F119" s="117">
        <v>150</v>
      </c>
      <c r="G119" s="117">
        <v>200</v>
      </c>
      <c r="H119" s="118">
        <v>28.5</v>
      </c>
      <c r="I119" s="118">
        <v>28.12</v>
      </c>
      <c r="J119" s="119" t="s">
        <v>47</v>
      </c>
      <c r="K119" s="120"/>
      <c r="L119" s="119" t="s">
        <v>109</v>
      </c>
      <c r="M119" s="123"/>
      <c r="N119" s="123"/>
      <c r="O119" s="121">
        <f t="shared" si="32"/>
        <v>0</v>
      </c>
      <c r="P119" s="122">
        <f t="shared" si="33"/>
        <v>0</v>
      </c>
      <c r="Q119" s="122">
        <f t="shared" si="34"/>
        <v>0</v>
      </c>
      <c r="R119" s="122">
        <f t="shared" si="35"/>
        <v>0</v>
      </c>
      <c r="S119" s="138">
        <v>1343</v>
      </c>
      <c r="T119" s="133">
        <v>1800</v>
      </c>
      <c r="U119" s="121">
        <f t="shared" si="36"/>
        <v>3143</v>
      </c>
      <c r="V119" s="122">
        <f t="shared" si="37"/>
        <v>38275.5</v>
      </c>
      <c r="W119" s="122">
        <f t="shared" si="38"/>
        <v>50616</v>
      </c>
      <c r="X119" s="122">
        <f t="shared" si="39"/>
        <v>88891.5</v>
      </c>
      <c r="Y119" s="133">
        <v>450</v>
      </c>
      <c r="Z119" s="133">
        <v>600</v>
      </c>
      <c r="AA119" s="121">
        <f t="shared" si="40"/>
        <v>1050</v>
      </c>
      <c r="AB119" s="122">
        <f t="shared" si="41"/>
        <v>12825</v>
      </c>
      <c r="AC119" s="122">
        <f t="shared" si="42"/>
        <v>16872</v>
      </c>
      <c r="AD119" s="122">
        <f t="shared" si="43"/>
        <v>29697</v>
      </c>
      <c r="AE119" s="133">
        <v>0</v>
      </c>
      <c r="AF119" s="133">
        <v>0</v>
      </c>
      <c r="AG119" s="121">
        <f t="shared" si="44"/>
        <v>0</v>
      </c>
      <c r="AH119" s="122">
        <f t="shared" si="45"/>
        <v>0</v>
      </c>
      <c r="AI119" s="122">
        <f t="shared" si="46"/>
        <v>0</v>
      </c>
      <c r="AJ119" s="122">
        <f t="shared" si="47"/>
        <v>0</v>
      </c>
      <c r="AK119" s="133">
        <v>0</v>
      </c>
      <c r="AL119" s="138">
        <v>0</v>
      </c>
      <c r="AM119" s="121">
        <f t="shared" si="48"/>
        <v>0</v>
      </c>
      <c r="AN119" s="122">
        <f t="shared" si="49"/>
        <v>0</v>
      </c>
      <c r="AO119" s="122">
        <f t="shared" si="50"/>
        <v>0</v>
      </c>
      <c r="AP119" s="122">
        <f t="shared" si="51"/>
        <v>0</v>
      </c>
      <c r="AQ119" s="124">
        <f t="shared" si="52"/>
        <v>1793</v>
      </c>
      <c r="AR119" s="125">
        <f t="shared" si="53"/>
        <v>2400</v>
      </c>
      <c r="AS119" s="126">
        <f t="shared" si="54"/>
        <v>4193</v>
      </c>
      <c r="AT119" s="127">
        <f t="shared" si="55"/>
        <v>51100.5</v>
      </c>
      <c r="AU119" s="128">
        <f t="shared" si="56"/>
        <v>67488</v>
      </c>
      <c r="AV119" s="129">
        <f t="shared" si="57"/>
        <v>118588.5</v>
      </c>
      <c r="AW119" s="33"/>
      <c r="AX119" s="34">
        <f t="shared" si="58"/>
        <v>118588.5</v>
      </c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</row>
    <row r="120" spans="1:69" s="33" customFormat="1" ht="12.75" customHeight="1" x14ac:dyDescent="0.25">
      <c r="A120" s="113">
        <v>111</v>
      </c>
      <c r="B120" s="149" t="s">
        <v>159</v>
      </c>
      <c r="C120" s="153" t="s">
        <v>161</v>
      </c>
      <c r="D120" s="153" t="s">
        <v>161</v>
      </c>
      <c r="E120" s="116" t="s">
        <v>16</v>
      </c>
      <c r="F120" s="117">
        <v>75</v>
      </c>
      <c r="G120" s="117">
        <v>100</v>
      </c>
      <c r="H120" s="118">
        <v>33.630000000000003</v>
      </c>
      <c r="I120" s="118">
        <v>37.049999999999997</v>
      </c>
      <c r="J120" s="119" t="s">
        <v>17</v>
      </c>
      <c r="K120" s="120" t="s">
        <v>106</v>
      </c>
      <c r="L120" s="119" t="s">
        <v>18</v>
      </c>
      <c r="M120" s="121"/>
      <c r="N120" s="121"/>
      <c r="O120" s="121">
        <f t="shared" si="32"/>
        <v>0</v>
      </c>
      <c r="P120" s="122">
        <f t="shared" si="33"/>
        <v>0</v>
      </c>
      <c r="Q120" s="122">
        <f t="shared" si="34"/>
        <v>0</v>
      </c>
      <c r="R120" s="122">
        <f t="shared" si="35"/>
        <v>0</v>
      </c>
      <c r="S120" s="133">
        <v>675</v>
      </c>
      <c r="T120" s="139">
        <v>900</v>
      </c>
      <c r="U120" s="121">
        <f t="shared" si="36"/>
        <v>1575</v>
      </c>
      <c r="V120" s="122">
        <f t="shared" si="37"/>
        <v>22700.25</v>
      </c>
      <c r="W120" s="122">
        <f t="shared" si="38"/>
        <v>33345</v>
      </c>
      <c r="X120" s="122">
        <f t="shared" si="39"/>
        <v>56045.25</v>
      </c>
      <c r="Y120" s="133">
        <v>225</v>
      </c>
      <c r="Z120" s="133">
        <v>300</v>
      </c>
      <c r="AA120" s="121">
        <f t="shared" si="40"/>
        <v>525</v>
      </c>
      <c r="AB120" s="122">
        <f t="shared" si="41"/>
        <v>7566.7500000000009</v>
      </c>
      <c r="AC120" s="122">
        <f t="shared" si="42"/>
        <v>11115</v>
      </c>
      <c r="AD120" s="122">
        <f t="shared" si="43"/>
        <v>18681.75</v>
      </c>
      <c r="AE120" s="133">
        <v>375</v>
      </c>
      <c r="AF120" s="133">
        <v>500</v>
      </c>
      <c r="AG120" s="121">
        <f t="shared" si="44"/>
        <v>875</v>
      </c>
      <c r="AH120" s="122">
        <f t="shared" si="45"/>
        <v>12611.250000000002</v>
      </c>
      <c r="AI120" s="122">
        <f t="shared" si="46"/>
        <v>18525</v>
      </c>
      <c r="AJ120" s="122">
        <f t="shared" si="47"/>
        <v>31136.25</v>
      </c>
      <c r="AK120" s="133">
        <v>225</v>
      </c>
      <c r="AL120" s="133">
        <v>300</v>
      </c>
      <c r="AM120" s="121">
        <f t="shared" si="48"/>
        <v>525</v>
      </c>
      <c r="AN120" s="122">
        <f t="shared" si="49"/>
        <v>7566.7500000000009</v>
      </c>
      <c r="AO120" s="122">
        <f t="shared" si="50"/>
        <v>11115</v>
      </c>
      <c r="AP120" s="122">
        <f t="shared" si="51"/>
        <v>18681.75</v>
      </c>
      <c r="AQ120" s="124">
        <f t="shared" si="52"/>
        <v>1500</v>
      </c>
      <c r="AR120" s="125">
        <f t="shared" si="53"/>
        <v>2000</v>
      </c>
      <c r="AS120" s="126">
        <f t="shared" si="54"/>
        <v>3500</v>
      </c>
      <c r="AT120" s="127">
        <f t="shared" si="55"/>
        <v>50445</v>
      </c>
      <c r="AU120" s="128">
        <f t="shared" si="56"/>
        <v>74100</v>
      </c>
      <c r="AV120" s="129">
        <f t="shared" si="57"/>
        <v>124545</v>
      </c>
      <c r="AX120" s="34">
        <f t="shared" si="58"/>
        <v>124545</v>
      </c>
    </row>
    <row r="121" spans="1:69" s="33" customFormat="1" ht="12.75" customHeight="1" x14ac:dyDescent="0.25">
      <c r="A121" s="113">
        <v>112</v>
      </c>
      <c r="B121" s="130" t="s">
        <v>159</v>
      </c>
      <c r="C121" s="131" t="s">
        <v>162</v>
      </c>
      <c r="D121" s="131" t="s">
        <v>162</v>
      </c>
      <c r="E121" s="116" t="s">
        <v>41</v>
      </c>
      <c r="F121" s="117" t="s">
        <v>262</v>
      </c>
      <c r="G121" s="117">
        <v>200</v>
      </c>
      <c r="H121" s="118">
        <v>33.630000000000003</v>
      </c>
      <c r="I121" s="118">
        <v>37.049999999999997</v>
      </c>
      <c r="J121" s="119" t="s">
        <v>17</v>
      </c>
      <c r="K121" s="120" t="s">
        <v>106</v>
      </c>
      <c r="L121" s="119" t="s">
        <v>18</v>
      </c>
      <c r="M121" s="121"/>
      <c r="N121" s="121"/>
      <c r="O121" s="121">
        <f t="shared" si="32"/>
        <v>0</v>
      </c>
      <c r="P121" s="122">
        <f t="shared" si="33"/>
        <v>0</v>
      </c>
      <c r="Q121" s="122">
        <f t="shared" si="34"/>
        <v>0</v>
      </c>
      <c r="R121" s="122">
        <f t="shared" si="35"/>
        <v>0</v>
      </c>
      <c r="S121" s="139">
        <v>1125</v>
      </c>
      <c r="T121" s="133">
        <v>1800</v>
      </c>
      <c r="U121" s="121">
        <f t="shared" si="36"/>
        <v>2925</v>
      </c>
      <c r="V121" s="122">
        <f t="shared" si="37"/>
        <v>37833.75</v>
      </c>
      <c r="W121" s="122">
        <f t="shared" si="38"/>
        <v>66690</v>
      </c>
      <c r="X121" s="122">
        <f t="shared" si="39"/>
        <v>104523.75</v>
      </c>
      <c r="Y121" s="133">
        <v>375</v>
      </c>
      <c r="Z121" s="133">
        <v>600</v>
      </c>
      <c r="AA121" s="121">
        <f t="shared" si="40"/>
        <v>975</v>
      </c>
      <c r="AB121" s="122">
        <f t="shared" si="41"/>
        <v>12611.250000000002</v>
      </c>
      <c r="AC121" s="122">
        <f t="shared" si="42"/>
        <v>22230</v>
      </c>
      <c r="AD121" s="122">
        <f t="shared" si="43"/>
        <v>34841.25</v>
      </c>
      <c r="AE121" s="133">
        <v>625</v>
      </c>
      <c r="AF121" s="133">
        <v>1000</v>
      </c>
      <c r="AG121" s="121">
        <f t="shared" si="44"/>
        <v>1625</v>
      </c>
      <c r="AH121" s="122">
        <f t="shared" si="45"/>
        <v>21018.75</v>
      </c>
      <c r="AI121" s="122">
        <f t="shared" si="46"/>
        <v>37050</v>
      </c>
      <c r="AJ121" s="122">
        <f t="shared" si="47"/>
        <v>58068.75</v>
      </c>
      <c r="AK121" s="139">
        <v>375</v>
      </c>
      <c r="AL121" s="139">
        <v>600</v>
      </c>
      <c r="AM121" s="121">
        <f t="shared" si="48"/>
        <v>975</v>
      </c>
      <c r="AN121" s="122">
        <f t="shared" si="49"/>
        <v>12611.250000000002</v>
      </c>
      <c r="AO121" s="122">
        <f t="shared" si="50"/>
        <v>22230</v>
      </c>
      <c r="AP121" s="122">
        <f t="shared" si="51"/>
        <v>34841.25</v>
      </c>
      <c r="AQ121" s="124">
        <f t="shared" si="52"/>
        <v>2500</v>
      </c>
      <c r="AR121" s="125">
        <f t="shared" si="53"/>
        <v>4000</v>
      </c>
      <c r="AS121" s="126">
        <f t="shared" si="54"/>
        <v>6500</v>
      </c>
      <c r="AT121" s="127">
        <f t="shared" si="55"/>
        <v>84075</v>
      </c>
      <c r="AU121" s="128">
        <f t="shared" si="56"/>
        <v>148200</v>
      </c>
      <c r="AV121" s="129">
        <f t="shared" si="57"/>
        <v>232275</v>
      </c>
      <c r="AX121" s="34">
        <f t="shared" si="58"/>
        <v>232275</v>
      </c>
    </row>
    <row r="122" spans="1:69" s="33" customFormat="1" ht="15" customHeight="1" x14ac:dyDescent="0.25">
      <c r="A122" s="113">
        <v>113</v>
      </c>
      <c r="B122" s="149" t="s">
        <v>159</v>
      </c>
      <c r="C122" s="153" t="s">
        <v>163</v>
      </c>
      <c r="D122" s="153" t="s">
        <v>163</v>
      </c>
      <c r="E122" s="116" t="s">
        <v>16</v>
      </c>
      <c r="F122" s="117">
        <v>100</v>
      </c>
      <c r="G122" s="117">
        <v>125</v>
      </c>
      <c r="H122" s="118">
        <v>33.630000000000003</v>
      </c>
      <c r="I122" s="118">
        <v>37.049999999999997</v>
      </c>
      <c r="J122" s="119" t="s">
        <v>17</v>
      </c>
      <c r="K122" s="120" t="s">
        <v>106</v>
      </c>
      <c r="L122" s="119" t="s">
        <v>18</v>
      </c>
      <c r="M122" s="121"/>
      <c r="N122" s="121"/>
      <c r="O122" s="121">
        <f t="shared" si="32"/>
        <v>0</v>
      </c>
      <c r="P122" s="122">
        <f t="shared" si="33"/>
        <v>0</v>
      </c>
      <c r="Q122" s="122">
        <f t="shared" si="34"/>
        <v>0</v>
      </c>
      <c r="R122" s="122">
        <f t="shared" si="35"/>
        <v>0</v>
      </c>
      <c r="S122" s="133">
        <v>900</v>
      </c>
      <c r="T122" s="139">
        <v>1125</v>
      </c>
      <c r="U122" s="121">
        <f t="shared" si="36"/>
        <v>2025</v>
      </c>
      <c r="V122" s="122">
        <f t="shared" si="37"/>
        <v>30267.000000000004</v>
      </c>
      <c r="W122" s="122">
        <f t="shared" si="38"/>
        <v>41681.25</v>
      </c>
      <c r="X122" s="122">
        <f t="shared" si="39"/>
        <v>71948.25</v>
      </c>
      <c r="Y122" s="133">
        <v>300</v>
      </c>
      <c r="Z122" s="133">
        <v>375</v>
      </c>
      <c r="AA122" s="121">
        <f t="shared" si="40"/>
        <v>675</v>
      </c>
      <c r="AB122" s="122">
        <f t="shared" si="41"/>
        <v>10089</v>
      </c>
      <c r="AC122" s="122">
        <f t="shared" si="42"/>
        <v>13893.749999999998</v>
      </c>
      <c r="AD122" s="122">
        <f t="shared" si="43"/>
        <v>23982.75</v>
      </c>
      <c r="AE122" s="133">
        <v>500</v>
      </c>
      <c r="AF122" s="133">
        <v>625</v>
      </c>
      <c r="AG122" s="121">
        <f t="shared" si="44"/>
        <v>1125</v>
      </c>
      <c r="AH122" s="122">
        <f t="shared" si="45"/>
        <v>16815</v>
      </c>
      <c r="AI122" s="122">
        <f t="shared" si="46"/>
        <v>23156.25</v>
      </c>
      <c r="AJ122" s="122">
        <f t="shared" si="47"/>
        <v>39971.25</v>
      </c>
      <c r="AK122" s="139">
        <v>300</v>
      </c>
      <c r="AL122" s="139">
        <v>375</v>
      </c>
      <c r="AM122" s="121">
        <f t="shared" si="48"/>
        <v>675</v>
      </c>
      <c r="AN122" s="122">
        <f t="shared" si="49"/>
        <v>10089</v>
      </c>
      <c r="AO122" s="122">
        <f t="shared" si="50"/>
        <v>13893.749999999998</v>
      </c>
      <c r="AP122" s="122">
        <f t="shared" si="51"/>
        <v>23982.75</v>
      </c>
      <c r="AQ122" s="124">
        <f t="shared" si="52"/>
        <v>2000</v>
      </c>
      <c r="AR122" s="125">
        <f t="shared" si="53"/>
        <v>2500</v>
      </c>
      <c r="AS122" s="126">
        <f t="shared" si="54"/>
        <v>4500</v>
      </c>
      <c r="AT122" s="127">
        <f t="shared" si="55"/>
        <v>67260</v>
      </c>
      <c r="AU122" s="128">
        <f t="shared" si="56"/>
        <v>92625</v>
      </c>
      <c r="AV122" s="129">
        <f t="shared" si="57"/>
        <v>159885</v>
      </c>
      <c r="AX122" s="34">
        <f t="shared" si="58"/>
        <v>159885</v>
      </c>
    </row>
    <row r="123" spans="1:69" s="35" customFormat="1" ht="15.75" customHeight="1" x14ac:dyDescent="0.25">
      <c r="A123" s="113">
        <v>114</v>
      </c>
      <c r="B123" s="114" t="s">
        <v>159</v>
      </c>
      <c r="C123" s="115" t="s">
        <v>164</v>
      </c>
      <c r="D123" s="115" t="s">
        <v>164</v>
      </c>
      <c r="E123" s="116" t="s">
        <v>16</v>
      </c>
      <c r="F123" s="117">
        <v>100</v>
      </c>
      <c r="G123" s="117">
        <v>150</v>
      </c>
      <c r="H123" s="118">
        <v>33.630000000000003</v>
      </c>
      <c r="I123" s="118">
        <v>37.049999999999997</v>
      </c>
      <c r="J123" s="119" t="s">
        <v>17</v>
      </c>
      <c r="K123" s="120" t="s">
        <v>106</v>
      </c>
      <c r="L123" s="119" t="s">
        <v>18</v>
      </c>
      <c r="M123" s="121"/>
      <c r="N123" s="121"/>
      <c r="O123" s="121">
        <f t="shared" si="32"/>
        <v>0</v>
      </c>
      <c r="P123" s="122">
        <f t="shared" si="33"/>
        <v>0</v>
      </c>
      <c r="Q123" s="122">
        <f t="shared" si="34"/>
        <v>0</v>
      </c>
      <c r="R123" s="122">
        <f t="shared" si="35"/>
        <v>0</v>
      </c>
      <c r="S123" s="139">
        <v>900</v>
      </c>
      <c r="T123" s="133">
        <v>1350</v>
      </c>
      <c r="U123" s="121">
        <f t="shared" si="36"/>
        <v>2250</v>
      </c>
      <c r="V123" s="122">
        <f t="shared" si="37"/>
        <v>30267.000000000004</v>
      </c>
      <c r="W123" s="122">
        <f t="shared" si="38"/>
        <v>50017.499999999993</v>
      </c>
      <c r="X123" s="122">
        <f t="shared" si="39"/>
        <v>80284.5</v>
      </c>
      <c r="Y123" s="133">
        <v>300</v>
      </c>
      <c r="Z123" s="138">
        <v>400</v>
      </c>
      <c r="AA123" s="121">
        <f t="shared" si="40"/>
        <v>700</v>
      </c>
      <c r="AB123" s="122">
        <f t="shared" si="41"/>
        <v>10089</v>
      </c>
      <c r="AC123" s="122">
        <f t="shared" si="42"/>
        <v>14819.999999999998</v>
      </c>
      <c r="AD123" s="122">
        <f t="shared" si="43"/>
        <v>24909</v>
      </c>
      <c r="AE123" s="133">
        <v>500</v>
      </c>
      <c r="AF123" s="133">
        <v>750</v>
      </c>
      <c r="AG123" s="121">
        <f t="shared" si="44"/>
        <v>1250</v>
      </c>
      <c r="AH123" s="122">
        <f t="shared" si="45"/>
        <v>16815</v>
      </c>
      <c r="AI123" s="122">
        <f t="shared" si="46"/>
        <v>27787.499999999996</v>
      </c>
      <c r="AJ123" s="122">
        <f t="shared" si="47"/>
        <v>44602.5</v>
      </c>
      <c r="AK123" s="139">
        <v>300</v>
      </c>
      <c r="AL123" s="133">
        <v>450</v>
      </c>
      <c r="AM123" s="121">
        <f t="shared" si="48"/>
        <v>750</v>
      </c>
      <c r="AN123" s="122">
        <f t="shared" si="49"/>
        <v>10089</v>
      </c>
      <c r="AO123" s="122">
        <f t="shared" si="50"/>
        <v>16672.5</v>
      </c>
      <c r="AP123" s="122">
        <f t="shared" si="51"/>
        <v>26761.5</v>
      </c>
      <c r="AQ123" s="124">
        <f t="shared" si="52"/>
        <v>2000</v>
      </c>
      <c r="AR123" s="125">
        <f t="shared" si="53"/>
        <v>2950</v>
      </c>
      <c r="AS123" s="126">
        <f t="shared" si="54"/>
        <v>4950</v>
      </c>
      <c r="AT123" s="127">
        <f t="shared" si="55"/>
        <v>67260</v>
      </c>
      <c r="AU123" s="128">
        <f t="shared" si="56"/>
        <v>109297.49999999999</v>
      </c>
      <c r="AV123" s="129">
        <f t="shared" si="57"/>
        <v>176557.5</v>
      </c>
      <c r="AW123" s="33"/>
      <c r="AX123" s="34">
        <f t="shared" si="58"/>
        <v>176557.5</v>
      </c>
    </row>
    <row r="124" spans="1:69" s="35" customFormat="1" ht="16.5" customHeight="1" x14ac:dyDescent="0.25">
      <c r="A124" s="113">
        <v>115</v>
      </c>
      <c r="B124" s="149" t="s">
        <v>159</v>
      </c>
      <c r="C124" s="153" t="s">
        <v>165</v>
      </c>
      <c r="D124" s="153" t="s">
        <v>165</v>
      </c>
      <c r="E124" s="116" t="s">
        <v>16</v>
      </c>
      <c r="F124" s="117">
        <v>125</v>
      </c>
      <c r="G124" s="117">
        <v>175</v>
      </c>
      <c r="H124" s="118">
        <v>23</v>
      </c>
      <c r="I124" s="118">
        <v>27</v>
      </c>
      <c r="J124" s="119" t="s">
        <v>23</v>
      </c>
      <c r="K124" s="119" t="s">
        <v>166</v>
      </c>
      <c r="L124" s="119" t="s">
        <v>25</v>
      </c>
      <c r="M124" s="121"/>
      <c r="N124" s="121"/>
      <c r="O124" s="121">
        <f t="shared" si="32"/>
        <v>0</v>
      </c>
      <c r="P124" s="122">
        <f t="shared" si="33"/>
        <v>0</v>
      </c>
      <c r="Q124" s="122">
        <f t="shared" si="34"/>
        <v>0</v>
      </c>
      <c r="R124" s="122">
        <f t="shared" si="35"/>
        <v>0</v>
      </c>
      <c r="S124" s="133">
        <v>1125</v>
      </c>
      <c r="T124" s="139">
        <v>1575</v>
      </c>
      <c r="U124" s="121">
        <f t="shared" si="36"/>
        <v>2700</v>
      </c>
      <c r="V124" s="122">
        <f t="shared" si="37"/>
        <v>25875</v>
      </c>
      <c r="W124" s="122">
        <f t="shared" si="38"/>
        <v>42525</v>
      </c>
      <c r="X124" s="122">
        <f t="shared" si="39"/>
        <v>68400</v>
      </c>
      <c r="Y124" s="133">
        <v>375</v>
      </c>
      <c r="Z124" s="133">
        <v>525</v>
      </c>
      <c r="AA124" s="121">
        <f t="shared" si="40"/>
        <v>900</v>
      </c>
      <c r="AB124" s="122">
        <f t="shared" si="41"/>
        <v>8625</v>
      </c>
      <c r="AC124" s="122">
        <f t="shared" si="42"/>
        <v>14175</v>
      </c>
      <c r="AD124" s="122">
        <f t="shared" si="43"/>
        <v>22800</v>
      </c>
      <c r="AE124" s="139">
        <v>625</v>
      </c>
      <c r="AF124" s="139">
        <v>875</v>
      </c>
      <c r="AG124" s="121">
        <f t="shared" si="44"/>
        <v>1500</v>
      </c>
      <c r="AH124" s="122">
        <f t="shared" si="45"/>
        <v>14375</v>
      </c>
      <c r="AI124" s="122">
        <f t="shared" si="46"/>
        <v>23625</v>
      </c>
      <c r="AJ124" s="122">
        <f t="shared" si="47"/>
        <v>38000</v>
      </c>
      <c r="AK124" s="133">
        <v>375</v>
      </c>
      <c r="AL124" s="133">
        <v>525</v>
      </c>
      <c r="AM124" s="121">
        <f t="shared" si="48"/>
        <v>900</v>
      </c>
      <c r="AN124" s="122">
        <f t="shared" si="49"/>
        <v>8625</v>
      </c>
      <c r="AO124" s="122">
        <f t="shared" si="50"/>
        <v>14175</v>
      </c>
      <c r="AP124" s="122">
        <f t="shared" si="51"/>
        <v>22800</v>
      </c>
      <c r="AQ124" s="124">
        <f t="shared" si="52"/>
        <v>2500</v>
      </c>
      <c r="AR124" s="125">
        <f t="shared" si="53"/>
        <v>3500</v>
      </c>
      <c r="AS124" s="126">
        <f t="shared" si="54"/>
        <v>6000</v>
      </c>
      <c r="AT124" s="127">
        <f t="shared" si="55"/>
        <v>57500</v>
      </c>
      <c r="AU124" s="128">
        <f t="shared" si="56"/>
        <v>94500</v>
      </c>
      <c r="AV124" s="129">
        <f t="shared" si="57"/>
        <v>152000</v>
      </c>
      <c r="AW124" s="33"/>
      <c r="AX124" s="34">
        <f t="shared" si="58"/>
        <v>152000</v>
      </c>
    </row>
    <row r="125" spans="1:69" s="33" customFormat="1" ht="15" customHeight="1" x14ac:dyDescent="0.25">
      <c r="A125" s="113">
        <v>116</v>
      </c>
      <c r="B125" s="114" t="s">
        <v>167</v>
      </c>
      <c r="C125" s="115" t="s">
        <v>168</v>
      </c>
      <c r="D125" s="115" t="s">
        <v>168</v>
      </c>
      <c r="E125" s="116" t="s">
        <v>16</v>
      </c>
      <c r="F125" s="117">
        <v>100</v>
      </c>
      <c r="G125" s="117" t="s">
        <v>273</v>
      </c>
      <c r="H125" s="118">
        <v>31.86</v>
      </c>
      <c r="I125" s="118">
        <v>35.1</v>
      </c>
      <c r="J125" s="119" t="s">
        <v>17</v>
      </c>
      <c r="K125" s="120" t="s">
        <v>169</v>
      </c>
      <c r="L125" s="119" t="s">
        <v>18</v>
      </c>
      <c r="M125" s="121"/>
      <c r="N125" s="121"/>
      <c r="O125" s="121">
        <f t="shared" si="32"/>
        <v>0</v>
      </c>
      <c r="P125" s="122">
        <f t="shared" si="33"/>
        <v>0</v>
      </c>
      <c r="Q125" s="122">
        <f t="shared" si="34"/>
        <v>0</v>
      </c>
      <c r="R125" s="122">
        <f t="shared" si="35"/>
        <v>0</v>
      </c>
      <c r="S125" s="138">
        <v>825</v>
      </c>
      <c r="T125" s="138">
        <v>1472</v>
      </c>
      <c r="U125" s="121">
        <f t="shared" si="36"/>
        <v>2297</v>
      </c>
      <c r="V125" s="122">
        <f t="shared" si="37"/>
        <v>26284.5</v>
      </c>
      <c r="W125" s="122">
        <f t="shared" si="38"/>
        <v>51667.200000000004</v>
      </c>
      <c r="X125" s="122">
        <f t="shared" si="39"/>
        <v>77951.700000000012</v>
      </c>
      <c r="Y125" s="133">
        <v>300</v>
      </c>
      <c r="Z125" s="133">
        <v>525</v>
      </c>
      <c r="AA125" s="121">
        <f t="shared" si="40"/>
        <v>825</v>
      </c>
      <c r="AB125" s="122">
        <f t="shared" si="41"/>
        <v>9558</v>
      </c>
      <c r="AC125" s="122">
        <f t="shared" si="42"/>
        <v>18427.5</v>
      </c>
      <c r="AD125" s="122">
        <f t="shared" si="43"/>
        <v>27985.5</v>
      </c>
      <c r="AE125" s="133">
        <v>500</v>
      </c>
      <c r="AF125" s="139">
        <v>875</v>
      </c>
      <c r="AG125" s="121">
        <f t="shared" si="44"/>
        <v>1375</v>
      </c>
      <c r="AH125" s="122">
        <f t="shared" si="45"/>
        <v>15930</v>
      </c>
      <c r="AI125" s="122">
        <f t="shared" si="46"/>
        <v>30712.5</v>
      </c>
      <c r="AJ125" s="122">
        <f t="shared" si="47"/>
        <v>46642.5</v>
      </c>
      <c r="AK125" s="133">
        <v>300</v>
      </c>
      <c r="AL125" s="133">
        <v>525</v>
      </c>
      <c r="AM125" s="121">
        <f t="shared" si="48"/>
        <v>825</v>
      </c>
      <c r="AN125" s="122">
        <f t="shared" si="49"/>
        <v>9558</v>
      </c>
      <c r="AO125" s="122">
        <f t="shared" si="50"/>
        <v>18427.5</v>
      </c>
      <c r="AP125" s="122">
        <f t="shared" si="51"/>
        <v>27985.5</v>
      </c>
      <c r="AQ125" s="124">
        <f t="shared" si="52"/>
        <v>1925</v>
      </c>
      <c r="AR125" s="125">
        <f t="shared" si="53"/>
        <v>3397</v>
      </c>
      <c r="AS125" s="126">
        <f t="shared" si="54"/>
        <v>5322</v>
      </c>
      <c r="AT125" s="127">
        <f t="shared" si="55"/>
        <v>61330.5</v>
      </c>
      <c r="AU125" s="128">
        <f t="shared" si="56"/>
        <v>119234.70000000001</v>
      </c>
      <c r="AV125" s="129">
        <f t="shared" si="57"/>
        <v>180565.2</v>
      </c>
      <c r="AX125" s="34">
        <f t="shared" si="58"/>
        <v>180565.2</v>
      </c>
    </row>
    <row r="126" spans="1:69" s="33" customFormat="1" ht="15" customHeight="1" x14ac:dyDescent="0.25">
      <c r="A126" s="113">
        <v>117</v>
      </c>
      <c r="B126" s="151" t="s">
        <v>167</v>
      </c>
      <c r="C126" s="154" t="s">
        <v>168</v>
      </c>
      <c r="D126" s="154" t="s">
        <v>170</v>
      </c>
      <c r="E126" s="116" t="s">
        <v>16</v>
      </c>
      <c r="F126" s="117">
        <v>100</v>
      </c>
      <c r="G126" s="117">
        <v>150</v>
      </c>
      <c r="H126" s="118">
        <v>31.86</v>
      </c>
      <c r="I126" s="118">
        <v>35.1</v>
      </c>
      <c r="J126" s="119" t="s">
        <v>17</v>
      </c>
      <c r="K126" s="120" t="s">
        <v>169</v>
      </c>
      <c r="L126" s="119" t="s">
        <v>18</v>
      </c>
      <c r="M126" s="121"/>
      <c r="N126" s="121"/>
      <c r="O126" s="121">
        <f t="shared" si="32"/>
        <v>0</v>
      </c>
      <c r="P126" s="122">
        <f t="shared" si="33"/>
        <v>0</v>
      </c>
      <c r="Q126" s="122">
        <f t="shared" si="34"/>
        <v>0</v>
      </c>
      <c r="R126" s="122">
        <f t="shared" si="35"/>
        <v>0</v>
      </c>
      <c r="S126" s="138">
        <v>842</v>
      </c>
      <c r="T126" s="133">
        <v>1292</v>
      </c>
      <c r="U126" s="121">
        <f t="shared" si="36"/>
        <v>2134</v>
      </c>
      <c r="V126" s="122">
        <f t="shared" si="37"/>
        <v>26826.12</v>
      </c>
      <c r="W126" s="122">
        <f t="shared" si="38"/>
        <v>45349.200000000004</v>
      </c>
      <c r="X126" s="122">
        <f t="shared" si="39"/>
        <v>72175.320000000007</v>
      </c>
      <c r="Y126" s="133">
        <v>300</v>
      </c>
      <c r="Z126" s="133">
        <v>450</v>
      </c>
      <c r="AA126" s="121">
        <f t="shared" si="40"/>
        <v>750</v>
      </c>
      <c r="AB126" s="122">
        <f t="shared" si="41"/>
        <v>9558</v>
      </c>
      <c r="AC126" s="122">
        <f t="shared" si="42"/>
        <v>15795</v>
      </c>
      <c r="AD126" s="122">
        <f t="shared" si="43"/>
        <v>25353</v>
      </c>
      <c r="AE126" s="133">
        <v>500</v>
      </c>
      <c r="AF126" s="139">
        <v>750</v>
      </c>
      <c r="AG126" s="121">
        <f t="shared" si="44"/>
        <v>1250</v>
      </c>
      <c r="AH126" s="122">
        <f t="shared" si="45"/>
        <v>15930</v>
      </c>
      <c r="AI126" s="122">
        <f t="shared" si="46"/>
        <v>26325</v>
      </c>
      <c r="AJ126" s="122">
        <f t="shared" si="47"/>
        <v>42255</v>
      </c>
      <c r="AK126" s="133">
        <v>300</v>
      </c>
      <c r="AL126" s="139">
        <v>450</v>
      </c>
      <c r="AM126" s="121">
        <f t="shared" si="48"/>
        <v>750</v>
      </c>
      <c r="AN126" s="122">
        <f t="shared" si="49"/>
        <v>9558</v>
      </c>
      <c r="AO126" s="122">
        <f t="shared" si="50"/>
        <v>15795</v>
      </c>
      <c r="AP126" s="122">
        <f t="shared" si="51"/>
        <v>25353</v>
      </c>
      <c r="AQ126" s="124">
        <f t="shared" si="52"/>
        <v>1942</v>
      </c>
      <c r="AR126" s="125">
        <f t="shared" si="53"/>
        <v>2942</v>
      </c>
      <c r="AS126" s="126">
        <f t="shared" si="54"/>
        <v>4884</v>
      </c>
      <c r="AT126" s="127">
        <f t="shared" si="55"/>
        <v>61872.119999999995</v>
      </c>
      <c r="AU126" s="128">
        <f t="shared" si="56"/>
        <v>103264.20000000001</v>
      </c>
      <c r="AV126" s="129">
        <f t="shared" si="57"/>
        <v>165136.32000000001</v>
      </c>
      <c r="AX126" s="34">
        <f t="shared" si="58"/>
        <v>165136.32000000001</v>
      </c>
    </row>
    <row r="127" spans="1:69" s="33" customFormat="1" ht="15" customHeight="1" x14ac:dyDescent="0.25">
      <c r="A127" s="113">
        <v>118</v>
      </c>
      <c r="B127" s="151" t="s">
        <v>167</v>
      </c>
      <c r="C127" s="154" t="s">
        <v>171</v>
      </c>
      <c r="D127" s="154" t="s">
        <v>171</v>
      </c>
      <c r="E127" s="116" t="s">
        <v>16</v>
      </c>
      <c r="F127" s="117">
        <v>100</v>
      </c>
      <c r="G127" s="117">
        <v>150</v>
      </c>
      <c r="H127" s="118">
        <v>31.86</v>
      </c>
      <c r="I127" s="118">
        <v>35.1</v>
      </c>
      <c r="J127" s="119" t="s">
        <v>17</v>
      </c>
      <c r="K127" s="120" t="s">
        <v>169</v>
      </c>
      <c r="L127" s="119" t="s">
        <v>18</v>
      </c>
      <c r="M127" s="121"/>
      <c r="N127" s="121"/>
      <c r="O127" s="121">
        <f t="shared" si="32"/>
        <v>0</v>
      </c>
      <c r="P127" s="122">
        <f t="shared" si="33"/>
        <v>0</v>
      </c>
      <c r="Q127" s="122">
        <f t="shared" si="34"/>
        <v>0</v>
      </c>
      <c r="R127" s="122">
        <f t="shared" si="35"/>
        <v>0</v>
      </c>
      <c r="S127" s="133">
        <v>900</v>
      </c>
      <c r="T127" s="138">
        <v>1349</v>
      </c>
      <c r="U127" s="121">
        <f t="shared" si="36"/>
        <v>2249</v>
      </c>
      <c r="V127" s="122">
        <f t="shared" si="37"/>
        <v>28674</v>
      </c>
      <c r="W127" s="122">
        <f t="shared" si="38"/>
        <v>47349.9</v>
      </c>
      <c r="X127" s="122">
        <f t="shared" si="39"/>
        <v>76023.899999999994</v>
      </c>
      <c r="Y127" s="133">
        <v>300</v>
      </c>
      <c r="Z127" s="139">
        <v>450</v>
      </c>
      <c r="AA127" s="121">
        <f t="shared" si="40"/>
        <v>750</v>
      </c>
      <c r="AB127" s="122">
        <f t="shared" si="41"/>
        <v>9558</v>
      </c>
      <c r="AC127" s="122">
        <f t="shared" si="42"/>
        <v>15795</v>
      </c>
      <c r="AD127" s="122">
        <f t="shared" si="43"/>
        <v>25353</v>
      </c>
      <c r="AE127" s="133">
        <v>500</v>
      </c>
      <c r="AF127" s="133">
        <v>750</v>
      </c>
      <c r="AG127" s="121">
        <f t="shared" si="44"/>
        <v>1250</v>
      </c>
      <c r="AH127" s="122">
        <f t="shared" si="45"/>
        <v>15930</v>
      </c>
      <c r="AI127" s="122">
        <f t="shared" si="46"/>
        <v>26325</v>
      </c>
      <c r="AJ127" s="122">
        <f t="shared" si="47"/>
        <v>42255</v>
      </c>
      <c r="AK127" s="133">
        <v>300</v>
      </c>
      <c r="AL127" s="138">
        <v>437</v>
      </c>
      <c r="AM127" s="121">
        <f t="shared" si="48"/>
        <v>737</v>
      </c>
      <c r="AN127" s="122">
        <f t="shared" si="49"/>
        <v>9558</v>
      </c>
      <c r="AO127" s="122">
        <f t="shared" si="50"/>
        <v>15338.7</v>
      </c>
      <c r="AP127" s="122">
        <f t="shared" si="51"/>
        <v>24896.7</v>
      </c>
      <c r="AQ127" s="124">
        <f t="shared" si="52"/>
        <v>2000</v>
      </c>
      <c r="AR127" s="125">
        <f t="shared" si="53"/>
        <v>2986</v>
      </c>
      <c r="AS127" s="126">
        <f t="shared" si="54"/>
        <v>4986</v>
      </c>
      <c r="AT127" s="127">
        <f t="shared" si="55"/>
        <v>63720</v>
      </c>
      <c r="AU127" s="128">
        <f t="shared" si="56"/>
        <v>104808.59999999999</v>
      </c>
      <c r="AV127" s="129">
        <f t="shared" si="57"/>
        <v>168528.59999999998</v>
      </c>
      <c r="AX127" s="34">
        <f t="shared" si="58"/>
        <v>168528.6</v>
      </c>
    </row>
    <row r="128" spans="1:69" s="33" customFormat="1" ht="15" customHeight="1" x14ac:dyDescent="0.25">
      <c r="A128" s="113">
        <v>119</v>
      </c>
      <c r="B128" s="114" t="s">
        <v>167</v>
      </c>
      <c r="C128" s="115" t="s">
        <v>172</v>
      </c>
      <c r="D128" s="115" t="s">
        <v>172</v>
      </c>
      <c r="E128" s="116" t="s">
        <v>16</v>
      </c>
      <c r="F128" s="117">
        <v>100</v>
      </c>
      <c r="G128" s="117">
        <v>150</v>
      </c>
      <c r="H128" s="118">
        <v>31.86</v>
      </c>
      <c r="I128" s="118">
        <v>35.1</v>
      </c>
      <c r="J128" s="119" t="s">
        <v>17</v>
      </c>
      <c r="K128" s="120" t="s">
        <v>169</v>
      </c>
      <c r="L128" s="119" t="s">
        <v>18</v>
      </c>
      <c r="M128" s="121"/>
      <c r="N128" s="121"/>
      <c r="O128" s="121">
        <f t="shared" si="32"/>
        <v>0</v>
      </c>
      <c r="P128" s="122">
        <f t="shared" si="33"/>
        <v>0</v>
      </c>
      <c r="Q128" s="122">
        <f t="shared" si="34"/>
        <v>0</v>
      </c>
      <c r="R128" s="122">
        <f t="shared" si="35"/>
        <v>0</v>
      </c>
      <c r="S128" s="133">
        <v>900</v>
      </c>
      <c r="T128" s="138">
        <v>1183</v>
      </c>
      <c r="U128" s="121">
        <f t="shared" si="36"/>
        <v>2083</v>
      </c>
      <c r="V128" s="122">
        <f t="shared" si="37"/>
        <v>28674</v>
      </c>
      <c r="W128" s="122">
        <f t="shared" si="38"/>
        <v>41523.300000000003</v>
      </c>
      <c r="X128" s="122">
        <f t="shared" si="39"/>
        <v>70197.3</v>
      </c>
      <c r="Y128" s="133">
        <v>300</v>
      </c>
      <c r="Z128" s="139">
        <v>450</v>
      </c>
      <c r="AA128" s="121">
        <f t="shared" si="40"/>
        <v>750</v>
      </c>
      <c r="AB128" s="122">
        <f t="shared" si="41"/>
        <v>9558</v>
      </c>
      <c r="AC128" s="122">
        <f t="shared" si="42"/>
        <v>15795</v>
      </c>
      <c r="AD128" s="122">
        <f t="shared" si="43"/>
        <v>25353</v>
      </c>
      <c r="AE128" s="139">
        <v>500</v>
      </c>
      <c r="AF128" s="133">
        <v>750</v>
      </c>
      <c r="AG128" s="121">
        <f t="shared" si="44"/>
        <v>1250</v>
      </c>
      <c r="AH128" s="122">
        <f t="shared" si="45"/>
        <v>15930</v>
      </c>
      <c r="AI128" s="122">
        <f t="shared" si="46"/>
        <v>26325</v>
      </c>
      <c r="AJ128" s="122">
        <f t="shared" si="47"/>
        <v>42255</v>
      </c>
      <c r="AK128" s="133">
        <v>300</v>
      </c>
      <c r="AL128" s="139">
        <v>450</v>
      </c>
      <c r="AM128" s="121">
        <f t="shared" si="48"/>
        <v>750</v>
      </c>
      <c r="AN128" s="122">
        <f t="shared" si="49"/>
        <v>9558</v>
      </c>
      <c r="AO128" s="122">
        <f t="shared" si="50"/>
        <v>15795</v>
      </c>
      <c r="AP128" s="122">
        <f t="shared" si="51"/>
        <v>25353</v>
      </c>
      <c r="AQ128" s="124">
        <f t="shared" si="52"/>
        <v>2000</v>
      </c>
      <c r="AR128" s="125">
        <f t="shared" si="53"/>
        <v>2833</v>
      </c>
      <c r="AS128" s="126">
        <f t="shared" si="54"/>
        <v>4833</v>
      </c>
      <c r="AT128" s="127">
        <f t="shared" si="55"/>
        <v>63720</v>
      </c>
      <c r="AU128" s="128">
        <f t="shared" si="56"/>
        <v>99438.3</v>
      </c>
      <c r="AV128" s="129">
        <f t="shared" si="57"/>
        <v>163158.29999999999</v>
      </c>
      <c r="AX128" s="34">
        <f t="shared" si="58"/>
        <v>163158.29999999999</v>
      </c>
    </row>
    <row r="129" spans="1:69" s="33" customFormat="1" ht="15" customHeight="1" x14ac:dyDescent="0.25">
      <c r="A129" s="113">
        <v>120</v>
      </c>
      <c r="B129" s="114" t="s">
        <v>173</v>
      </c>
      <c r="C129" s="115" t="s">
        <v>174</v>
      </c>
      <c r="D129" s="115" t="s">
        <v>174</v>
      </c>
      <c r="E129" s="116" t="s">
        <v>16</v>
      </c>
      <c r="F129" s="117">
        <v>100</v>
      </c>
      <c r="G129" s="117">
        <v>150</v>
      </c>
      <c r="H129" s="118">
        <v>30.09</v>
      </c>
      <c r="I129" s="118">
        <v>33.15</v>
      </c>
      <c r="J129" s="119" t="s">
        <v>17</v>
      </c>
      <c r="K129" s="120" t="s">
        <v>55</v>
      </c>
      <c r="L129" s="119" t="s">
        <v>18</v>
      </c>
      <c r="M129" s="121"/>
      <c r="N129" s="121"/>
      <c r="O129" s="121">
        <f t="shared" si="32"/>
        <v>0</v>
      </c>
      <c r="P129" s="122">
        <f t="shared" si="33"/>
        <v>0</v>
      </c>
      <c r="Q129" s="122">
        <f t="shared" si="34"/>
        <v>0</v>
      </c>
      <c r="R129" s="122">
        <f t="shared" si="35"/>
        <v>0</v>
      </c>
      <c r="S129" s="133">
        <v>900</v>
      </c>
      <c r="T129" s="133">
        <v>1350</v>
      </c>
      <c r="U129" s="121">
        <f t="shared" si="36"/>
        <v>2250</v>
      </c>
      <c r="V129" s="122">
        <f t="shared" si="37"/>
        <v>27081</v>
      </c>
      <c r="W129" s="122">
        <f t="shared" si="38"/>
        <v>44752.5</v>
      </c>
      <c r="X129" s="122">
        <f t="shared" si="39"/>
        <v>71833.5</v>
      </c>
      <c r="Y129" s="133">
        <v>300</v>
      </c>
      <c r="Z129" s="138">
        <v>428</v>
      </c>
      <c r="AA129" s="121">
        <f t="shared" si="40"/>
        <v>728</v>
      </c>
      <c r="AB129" s="122">
        <f t="shared" si="41"/>
        <v>9027</v>
      </c>
      <c r="AC129" s="122">
        <f t="shared" si="42"/>
        <v>14188.199999999999</v>
      </c>
      <c r="AD129" s="122">
        <f t="shared" si="43"/>
        <v>23215.199999999997</v>
      </c>
      <c r="AE129" s="133">
        <v>500</v>
      </c>
      <c r="AF129" s="138">
        <v>750</v>
      </c>
      <c r="AG129" s="121">
        <f t="shared" si="44"/>
        <v>1250</v>
      </c>
      <c r="AH129" s="122">
        <f t="shared" si="45"/>
        <v>15045</v>
      </c>
      <c r="AI129" s="122">
        <f t="shared" si="46"/>
        <v>24862.5</v>
      </c>
      <c r="AJ129" s="122">
        <f t="shared" si="47"/>
        <v>39907.5</v>
      </c>
      <c r="AK129" s="139">
        <v>300</v>
      </c>
      <c r="AL129" s="139">
        <v>450</v>
      </c>
      <c r="AM129" s="121">
        <f t="shared" si="48"/>
        <v>750</v>
      </c>
      <c r="AN129" s="122">
        <f t="shared" si="49"/>
        <v>9027</v>
      </c>
      <c r="AO129" s="122">
        <f t="shared" si="50"/>
        <v>14917.5</v>
      </c>
      <c r="AP129" s="122">
        <f t="shared" si="51"/>
        <v>23944.5</v>
      </c>
      <c r="AQ129" s="124">
        <f t="shared" si="52"/>
        <v>2000</v>
      </c>
      <c r="AR129" s="125">
        <f t="shared" si="53"/>
        <v>2978</v>
      </c>
      <c r="AS129" s="126">
        <f t="shared" si="54"/>
        <v>4978</v>
      </c>
      <c r="AT129" s="127">
        <f t="shared" si="55"/>
        <v>60180</v>
      </c>
      <c r="AU129" s="128">
        <f t="shared" si="56"/>
        <v>98720.7</v>
      </c>
      <c r="AV129" s="129">
        <f t="shared" si="57"/>
        <v>158900.70000000001</v>
      </c>
      <c r="AX129" s="34">
        <f t="shared" si="58"/>
        <v>158900.70000000001</v>
      </c>
    </row>
    <row r="130" spans="1:69" s="33" customFormat="1" ht="15.75" customHeight="1" x14ac:dyDescent="0.25">
      <c r="A130" s="113">
        <v>121</v>
      </c>
      <c r="B130" s="130" t="s">
        <v>173</v>
      </c>
      <c r="C130" s="131" t="s">
        <v>175</v>
      </c>
      <c r="D130" s="131" t="s">
        <v>175</v>
      </c>
      <c r="E130" s="116" t="s">
        <v>16</v>
      </c>
      <c r="F130" s="117">
        <v>100</v>
      </c>
      <c r="G130" s="117">
        <v>150</v>
      </c>
      <c r="H130" s="118">
        <v>30.09</v>
      </c>
      <c r="I130" s="118">
        <v>33.15</v>
      </c>
      <c r="J130" s="119" t="s">
        <v>17</v>
      </c>
      <c r="K130" s="120" t="s">
        <v>55</v>
      </c>
      <c r="L130" s="119" t="s">
        <v>18</v>
      </c>
      <c r="M130" s="121"/>
      <c r="N130" s="121"/>
      <c r="O130" s="121">
        <f t="shared" si="32"/>
        <v>0</v>
      </c>
      <c r="P130" s="122">
        <f t="shared" si="33"/>
        <v>0</v>
      </c>
      <c r="Q130" s="122">
        <f t="shared" si="34"/>
        <v>0</v>
      </c>
      <c r="R130" s="122">
        <f t="shared" si="35"/>
        <v>0</v>
      </c>
      <c r="S130" s="139">
        <v>900</v>
      </c>
      <c r="T130" s="133">
        <v>1350</v>
      </c>
      <c r="U130" s="121">
        <f t="shared" si="36"/>
        <v>2250</v>
      </c>
      <c r="V130" s="122">
        <f t="shared" si="37"/>
        <v>27081</v>
      </c>
      <c r="W130" s="122">
        <f t="shared" si="38"/>
        <v>44752.5</v>
      </c>
      <c r="X130" s="122">
        <f t="shared" si="39"/>
        <v>71833.5</v>
      </c>
      <c r="Y130" s="133">
        <v>300</v>
      </c>
      <c r="Z130" s="139">
        <v>450</v>
      </c>
      <c r="AA130" s="121">
        <f t="shared" si="40"/>
        <v>750</v>
      </c>
      <c r="AB130" s="122">
        <f t="shared" si="41"/>
        <v>9027</v>
      </c>
      <c r="AC130" s="122">
        <f t="shared" si="42"/>
        <v>14917.5</v>
      </c>
      <c r="AD130" s="122">
        <f t="shared" si="43"/>
        <v>23944.5</v>
      </c>
      <c r="AE130" s="133">
        <v>500</v>
      </c>
      <c r="AF130" s="138">
        <v>748</v>
      </c>
      <c r="AG130" s="121">
        <f t="shared" si="44"/>
        <v>1248</v>
      </c>
      <c r="AH130" s="122">
        <f t="shared" si="45"/>
        <v>15045</v>
      </c>
      <c r="AI130" s="122">
        <f t="shared" si="46"/>
        <v>24796.2</v>
      </c>
      <c r="AJ130" s="122">
        <f t="shared" si="47"/>
        <v>39841.199999999997</v>
      </c>
      <c r="AK130" s="133">
        <v>300</v>
      </c>
      <c r="AL130" s="139">
        <v>450</v>
      </c>
      <c r="AM130" s="121">
        <f t="shared" si="48"/>
        <v>750</v>
      </c>
      <c r="AN130" s="122">
        <f t="shared" si="49"/>
        <v>9027</v>
      </c>
      <c r="AO130" s="122">
        <f t="shared" si="50"/>
        <v>14917.5</v>
      </c>
      <c r="AP130" s="122">
        <f t="shared" si="51"/>
        <v>23944.5</v>
      </c>
      <c r="AQ130" s="124">
        <f t="shared" si="52"/>
        <v>2000</v>
      </c>
      <c r="AR130" s="125">
        <f t="shared" si="53"/>
        <v>2998</v>
      </c>
      <c r="AS130" s="126">
        <f t="shared" si="54"/>
        <v>4998</v>
      </c>
      <c r="AT130" s="127">
        <f t="shared" si="55"/>
        <v>60180</v>
      </c>
      <c r="AU130" s="128">
        <f t="shared" si="56"/>
        <v>99383.7</v>
      </c>
      <c r="AV130" s="129">
        <f t="shared" si="57"/>
        <v>159563.70000000001</v>
      </c>
      <c r="AX130" s="34">
        <f t="shared" si="58"/>
        <v>159563.70000000001</v>
      </c>
    </row>
    <row r="131" spans="1:69" s="33" customFormat="1" ht="15" customHeight="1" x14ac:dyDescent="0.25">
      <c r="A131" s="113">
        <v>122</v>
      </c>
      <c r="B131" s="114" t="s">
        <v>173</v>
      </c>
      <c r="C131" s="115" t="s">
        <v>176</v>
      </c>
      <c r="D131" s="115" t="s">
        <v>176</v>
      </c>
      <c r="E131" s="116" t="s">
        <v>32</v>
      </c>
      <c r="F131" s="117">
        <v>150</v>
      </c>
      <c r="G131" s="117">
        <v>200</v>
      </c>
      <c r="H131" s="118">
        <v>30.09</v>
      </c>
      <c r="I131" s="118">
        <v>33.15</v>
      </c>
      <c r="J131" s="119" t="s">
        <v>17</v>
      </c>
      <c r="K131" s="120" t="s">
        <v>55</v>
      </c>
      <c r="L131" s="119" t="s">
        <v>18</v>
      </c>
      <c r="M131" s="121"/>
      <c r="N131" s="121"/>
      <c r="O131" s="121">
        <f t="shared" si="32"/>
        <v>0</v>
      </c>
      <c r="P131" s="122">
        <f t="shared" si="33"/>
        <v>0</v>
      </c>
      <c r="Q131" s="122">
        <f t="shared" si="34"/>
        <v>0</v>
      </c>
      <c r="R131" s="122">
        <f t="shared" si="35"/>
        <v>0</v>
      </c>
      <c r="S131" s="138">
        <v>1200</v>
      </c>
      <c r="T131" s="138">
        <v>1600</v>
      </c>
      <c r="U131" s="121">
        <f t="shared" si="36"/>
        <v>2800</v>
      </c>
      <c r="V131" s="122">
        <f t="shared" si="37"/>
        <v>36108</v>
      </c>
      <c r="W131" s="122">
        <f t="shared" si="38"/>
        <v>53040</v>
      </c>
      <c r="X131" s="122">
        <f t="shared" si="39"/>
        <v>89148</v>
      </c>
      <c r="Y131" s="133">
        <v>450</v>
      </c>
      <c r="Z131" s="133">
        <v>600</v>
      </c>
      <c r="AA131" s="121">
        <f t="shared" si="40"/>
        <v>1050</v>
      </c>
      <c r="AB131" s="122">
        <f t="shared" si="41"/>
        <v>13540.5</v>
      </c>
      <c r="AC131" s="122">
        <f t="shared" si="42"/>
        <v>19890</v>
      </c>
      <c r="AD131" s="122">
        <f t="shared" si="43"/>
        <v>33430.5</v>
      </c>
      <c r="AE131" s="133">
        <v>750</v>
      </c>
      <c r="AF131" s="138">
        <v>800</v>
      </c>
      <c r="AG131" s="121">
        <f t="shared" si="44"/>
        <v>1550</v>
      </c>
      <c r="AH131" s="122">
        <f t="shared" si="45"/>
        <v>22567.5</v>
      </c>
      <c r="AI131" s="122">
        <f t="shared" si="46"/>
        <v>26520</v>
      </c>
      <c r="AJ131" s="122">
        <f t="shared" si="47"/>
        <v>49087.5</v>
      </c>
      <c r="AK131" s="133">
        <v>450</v>
      </c>
      <c r="AL131" s="133">
        <v>600</v>
      </c>
      <c r="AM131" s="121">
        <f t="shared" si="48"/>
        <v>1050</v>
      </c>
      <c r="AN131" s="122">
        <f t="shared" si="49"/>
        <v>13540.5</v>
      </c>
      <c r="AO131" s="122">
        <f t="shared" si="50"/>
        <v>19890</v>
      </c>
      <c r="AP131" s="122">
        <f t="shared" si="51"/>
        <v>33430.5</v>
      </c>
      <c r="AQ131" s="124">
        <f t="shared" si="52"/>
        <v>2850</v>
      </c>
      <c r="AR131" s="125">
        <f t="shared" si="53"/>
        <v>3600</v>
      </c>
      <c r="AS131" s="126">
        <f t="shared" si="54"/>
        <v>6450</v>
      </c>
      <c r="AT131" s="127">
        <f t="shared" si="55"/>
        <v>85756.5</v>
      </c>
      <c r="AU131" s="128">
        <f t="shared" si="56"/>
        <v>119340</v>
      </c>
      <c r="AV131" s="129">
        <f t="shared" si="57"/>
        <v>205096.5</v>
      </c>
      <c r="AX131" s="34">
        <f t="shared" si="58"/>
        <v>205096.5</v>
      </c>
    </row>
    <row r="132" spans="1:69" s="33" customFormat="1" ht="15" customHeight="1" x14ac:dyDescent="0.25">
      <c r="A132" s="113">
        <v>123</v>
      </c>
      <c r="B132" s="130" t="s">
        <v>173</v>
      </c>
      <c r="C132" s="131" t="s">
        <v>177</v>
      </c>
      <c r="D132" s="131" t="s">
        <v>177</v>
      </c>
      <c r="E132" s="116" t="s">
        <v>16</v>
      </c>
      <c r="F132" s="117">
        <v>100</v>
      </c>
      <c r="G132" s="117">
        <v>150</v>
      </c>
      <c r="H132" s="118">
        <v>30.09</v>
      </c>
      <c r="I132" s="118">
        <v>33.15</v>
      </c>
      <c r="J132" s="119" t="s">
        <v>17</v>
      </c>
      <c r="K132" s="120" t="s">
        <v>155</v>
      </c>
      <c r="L132" s="119" t="s">
        <v>18</v>
      </c>
      <c r="M132" s="121"/>
      <c r="N132" s="121"/>
      <c r="O132" s="121">
        <f t="shared" si="32"/>
        <v>0</v>
      </c>
      <c r="P132" s="122">
        <f t="shared" si="33"/>
        <v>0</v>
      </c>
      <c r="Q132" s="122">
        <f t="shared" si="34"/>
        <v>0</v>
      </c>
      <c r="R132" s="122">
        <f t="shared" si="35"/>
        <v>0</v>
      </c>
      <c r="S132" s="139">
        <v>900</v>
      </c>
      <c r="T132" s="133">
        <v>1350</v>
      </c>
      <c r="U132" s="121">
        <f t="shared" si="36"/>
        <v>2250</v>
      </c>
      <c r="V132" s="122">
        <f t="shared" si="37"/>
        <v>27081</v>
      </c>
      <c r="W132" s="122">
        <f t="shared" si="38"/>
        <v>44752.5</v>
      </c>
      <c r="X132" s="122">
        <f t="shared" si="39"/>
        <v>71833.5</v>
      </c>
      <c r="Y132" s="133">
        <v>300</v>
      </c>
      <c r="Z132" s="133">
        <v>450</v>
      </c>
      <c r="AA132" s="121">
        <f t="shared" si="40"/>
        <v>750</v>
      </c>
      <c r="AB132" s="122">
        <f t="shared" si="41"/>
        <v>9027</v>
      </c>
      <c r="AC132" s="122">
        <f t="shared" si="42"/>
        <v>14917.5</v>
      </c>
      <c r="AD132" s="122">
        <f t="shared" si="43"/>
        <v>23944.5</v>
      </c>
      <c r="AE132" s="133">
        <v>500</v>
      </c>
      <c r="AF132" s="133">
        <v>750</v>
      </c>
      <c r="AG132" s="121">
        <f t="shared" si="44"/>
        <v>1250</v>
      </c>
      <c r="AH132" s="122">
        <f t="shared" si="45"/>
        <v>15045</v>
      </c>
      <c r="AI132" s="122">
        <f t="shared" si="46"/>
        <v>24862.5</v>
      </c>
      <c r="AJ132" s="122">
        <f t="shared" si="47"/>
        <v>39907.5</v>
      </c>
      <c r="AK132" s="133">
        <v>300</v>
      </c>
      <c r="AL132" s="133">
        <v>450</v>
      </c>
      <c r="AM132" s="121">
        <f t="shared" si="48"/>
        <v>750</v>
      </c>
      <c r="AN132" s="122">
        <f t="shared" si="49"/>
        <v>9027</v>
      </c>
      <c r="AO132" s="122">
        <f t="shared" si="50"/>
        <v>14917.5</v>
      </c>
      <c r="AP132" s="122">
        <f t="shared" si="51"/>
        <v>23944.5</v>
      </c>
      <c r="AQ132" s="124">
        <f t="shared" si="52"/>
        <v>2000</v>
      </c>
      <c r="AR132" s="125">
        <f t="shared" si="53"/>
        <v>3000</v>
      </c>
      <c r="AS132" s="126">
        <f t="shared" si="54"/>
        <v>5000</v>
      </c>
      <c r="AT132" s="127">
        <f t="shared" si="55"/>
        <v>60180</v>
      </c>
      <c r="AU132" s="128">
        <f t="shared" si="56"/>
        <v>99450</v>
      </c>
      <c r="AV132" s="129">
        <f t="shared" si="57"/>
        <v>159630</v>
      </c>
      <c r="AX132" s="34">
        <f t="shared" si="58"/>
        <v>159630</v>
      </c>
    </row>
    <row r="133" spans="1:69" s="33" customFormat="1" ht="15" customHeight="1" x14ac:dyDescent="0.25">
      <c r="A133" s="113">
        <v>124</v>
      </c>
      <c r="B133" s="130" t="s">
        <v>178</v>
      </c>
      <c r="C133" s="131" t="s">
        <v>179</v>
      </c>
      <c r="D133" s="131" t="s">
        <v>179</v>
      </c>
      <c r="E133" s="116" t="s">
        <v>16</v>
      </c>
      <c r="F133" s="117">
        <v>60</v>
      </c>
      <c r="G133" s="117">
        <v>125</v>
      </c>
      <c r="H133" s="118">
        <v>33.04</v>
      </c>
      <c r="I133" s="118">
        <v>36.4</v>
      </c>
      <c r="J133" s="119" t="s">
        <v>17</v>
      </c>
      <c r="K133" s="120" t="s">
        <v>155</v>
      </c>
      <c r="L133" s="119" t="s">
        <v>18</v>
      </c>
      <c r="M133" s="121"/>
      <c r="N133" s="121"/>
      <c r="O133" s="121">
        <f t="shared" si="32"/>
        <v>0</v>
      </c>
      <c r="P133" s="122">
        <f t="shared" si="33"/>
        <v>0</v>
      </c>
      <c r="Q133" s="122">
        <f t="shared" si="34"/>
        <v>0</v>
      </c>
      <c r="R133" s="122">
        <f t="shared" si="35"/>
        <v>0</v>
      </c>
      <c r="S133" s="133">
        <v>540</v>
      </c>
      <c r="T133" s="133">
        <v>1125</v>
      </c>
      <c r="U133" s="121">
        <f t="shared" si="36"/>
        <v>1665</v>
      </c>
      <c r="V133" s="122">
        <f t="shared" si="37"/>
        <v>17841.599999999999</v>
      </c>
      <c r="W133" s="122">
        <f t="shared" si="38"/>
        <v>40950</v>
      </c>
      <c r="X133" s="122">
        <f t="shared" si="39"/>
        <v>58791.6</v>
      </c>
      <c r="Y133" s="133">
        <v>180</v>
      </c>
      <c r="Z133" s="133">
        <v>375</v>
      </c>
      <c r="AA133" s="121">
        <f t="shared" si="40"/>
        <v>555</v>
      </c>
      <c r="AB133" s="122">
        <f t="shared" si="41"/>
        <v>5947.2</v>
      </c>
      <c r="AC133" s="122">
        <f t="shared" si="42"/>
        <v>13650</v>
      </c>
      <c r="AD133" s="122">
        <f t="shared" si="43"/>
        <v>19597.2</v>
      </c>
      <c r="AE133" s="133">
        <v>300</v>
      </c>
      <c r="AF133" s="133">
        <v>625</v>
      </c>
      <c r="AG133" s="121">
        <f t="shared" si="44"/>
        <v>925</v>
      </c>
      <c r="AH133" s="122">
        <f t="shared" si="45"/>
        <v>9912</v>
      </c>
      <c r="AI133" s="122">
        <f t="shared" si="46"/>
        <v>22750</v>
      </c>
      <c r="AJ133" s="122">
        <f t="shared" si="47"/>
        <v>32662</v>
      </c>
      <c r="AK133" s="133">
        <v>180</v>
      </c>
      <c r="AL133" s="133">
        <v>375</v>
      </c>
      <c r="AM133" s="121">
        <f t="shared" si="48"/>
        <v>555</v>
      </c>
      <c r="AN133" s="122">
        <f t="shared" si="49"/>
        <v>5947.2</v>
      </c>
      <c r="AO133" s="122">
        <f t="shared" si="50"/>
        <v>13650</v>
      </c>
      <c r="AP133" s="122">
        <f t="shared" si="51"/>
        <v>19597.2</v>
      </c>
      <c r="AQ133" s="124">
        <f t="shared" si="52"/>
        <v>1200</v>
      </c>
      <c r="AR133" s="125">
        <f t="shared" si="53"/>
        <v>2500</v>
      </c>
      <c r="AS133" s="126">
        <f t="shared" si="54"/>
        <v>3700</v>
      </c>
      <c r="AT133" s="127">
        <f t="shared" si="55"/>
        <v>39648</v>
      </c>
      <c r="AU133" s="128">
        <f t="shared" si="56"/>
        <v>91000</v>
      </c>
      <c r="AV133" s="129">
        <f t="shared" si="57"/>
        <v>130648</v>
      </c>
      <c r="AX133" s="34">
        <f t="shared" si="58"/>
        <v>130648</v>
      </c>
    </row>
    <row r="134" spans="1:69" s="33" customFormat="1" ht="15" customHeight="1" x14ac:dyDescent="0.25">
      <c r="A134" s="113">
        <v>125</v>
      </c>
      <c r="B134" s="114" t="s">
        <v>178</v>
      </c>
      <c r="C134" s="115" t="s">
        <v>180</v>
      </c>
      <c r="D134" s="115" t="s">
        <v>180</v>
      </c>
      <c r="E134" s="116" t="s">
        <v>16</v>
      </c>
      <c r="F134" s="117">
        <v>100</v>
      </c>
      <c r="G134" s="117">
        <v>150</v>
      </c>
      <c r="H134" s="118">
        <v>33.04</v>
      </c>
      <c r="I134" s="118">
        <v>36.4</v>
      </c>
      <c r="J134" s="119" t="s">
        <v>17</v>
      </c>
      <c r="K134" s="120" t="s">
        <v>155</v>
      </c>
      <c r="L134" s="119" t="s">
        <v>18</v>
      </c>
      <c r="M134" s="121"/>
      <c r="N134" s="121"/>
      <c r="O134" s="121">
        <f t="shared" si="32"/>
        <v>0</v>
      </c>
      <c r="P134" s="122">
        <f t="shared" si="33"/>
        <v>0</v>
      </c>
      <c r="Q134" s="122">
        <f t="shared" si="34"/>
        <v>0</v>
      </c>
      <c r="R134" s="122">
        <f t="shared" si="35"/>
        <v>0</v>
      </c>
      <c r="S134" s="138">
        <v>800</v>
      </c>
      <c r="T134" s="138">
        <v>1050</v>
      </c>
      <c r="U134" s="121">
        <f t="shared" si="36"/>
        <v>1850</v>
      </c>
      <c r="V134" s="122">
        <f t="shared" si="37"/>
        <v>26432</v>
      </c>
      <c r="W134" s="122">
        <f t="shared" si="38"/>
        <v>38220</v>
      </c>
      <c r="X134" s="122">
        <f t="shared" si="39"/>
        <v>64652</v>
      </c>
      <c r="Y134" s="138">
        <v>200</v>
      </c>
      <c r="Z134" s="133">
        <v>450</v>
      </c>
      <c r="AA134" s="121">
        <f t="shared" si="40"/>
        <v>650</v>
      </c>
      <c r="AB134" s="122">
        <f t="shared" si="41"/>
        <v>6608</v>
      </c>
      <c r="AC134" s="122">
        <f t="shared" si="42"/>
        <v>16380</v>
      </c>
      <c r="AD134" s="122">
        <f t="shared" si="43"/>
        <v>22988</v>
      </c>
      <c r="AE134" s="133">
        <v>375</v>
      </c>
      <c r="AF134" s="133">
        <v>599</v>
      </c>
      <c r="AG134" s="121">
        <f t="shared" si="44"/>
        <v>974</v>
      </c>
      <c r="AH134" s="122">
        <f t="shared" si="45"/>
        <v>12390</v>
      </c>
      <c r="AI134" s="122">
        <f t="shared" si="46"/>
        <v>21803.599999999999</v>
      </c>
      <c r="AJ134" s="122">
        <f t="shared" si="47"/>
        <v>34193.599999999999</v>
      </c>
      <c r="AK134" s="133">
        <v>225</v>
      </c>
      <c r="AL134" s="138">
        <v>345</v>
      </c>
      <c r="AM134" s="121">
        <f t="shared" si="48"/>
        <v>570</v>
      </c>
      <c r="AN134" s="122">
        <f t="shared" si="49"/>
        <v>7434</v>
      </c>
      <c r="AO134" s="122">
        <f t="shared" si="50"/>
        <v>12558</v>
      </c>
      <c r="AP134" s="122">
        <f t="shared" si="51"/>
        <v>19992</v>
      </c>
      <c r="AQ134" s="124">
        <f t="shared" si="52"/>
        <v>1600</v>
      </c>
      <c r="AR134" s="125">
        <f t="shared" si="53"/>
        <v>2444</v>
      </c>
      <c r="AS134" s="126">
        <f t="shared" si="54"/>
        <v>4044</v>
      </c>
      <c r="AT134" s="127">
        <f t="shared" si="55"/>
        <v>52864</v>
      </c>
      <c r="AU134" s="128">
        <f t="shared" si="56"/>
        <v>88961.600000000006</v>
      </c>
      <c r="AV134" s="129">
        <f t="shared" si="57"/>
        <v>141825.60000000001</v>
      </c>
      <c r="AX134" s="34">
        <f t="shared" ref="AX134:AX184" si="61">X134+AD134+AJ134+AP134+R134</f>
        <v>141825.60000000001</v>
      </c>
    </row>
    <row r="135" spans="1:69" s="37" customFormat="1" ht="15" customHeight="1" x14ac:dyDescent="0.25">
      <c r="A135" s="113">
        <v>126</v>
      </c>
      <c r="B135" s="161" t="s">
        <v>178</v>
      </c>
      <c r="C135" s="162" t="s">
        <v>181</v>
      </c>
      <c r="D135" s="162" t="s">
        <v>181</v>
      </c>
      <c r="E135" s="116" t="s">
        <v>16</v>
      </c>
      <c r="F135" s="117">
        <v>100</v>
      </c>
      <c r="G135" s="117">
        <v>150</v>
      </c>
      <c r="H135" s="118">
        <v>33.04</v>
      </c>
      <c r="I135" s="118">
        <v>36.4</v>
      </c>
      <c r="J135" s="119" t="s">
        <v>17</v>
      </c>
      <c r="K135" s="120" t="s">
        <v>155</v>
      </c>
      <c r="L135" s="119" t="s">
        <v>18</v>
      </c>
      <c r="M135" s="121"/>
      <c r="N135" s="121"/>
      <c r="O135" s="121">
        <f t="shared" si="32"/>
        <v>0</v>
      </c>
      <c r="P135" s="122">
        <f t="shared" si="33"/>
        <v>0</v>
      </c>
      <c r="Q135" s="122">
        <f t="shared" si="34"/>
        <v>0</v>
      </c>
      <c r="R135" s="122">
        <f t="shared" si="35"/>
        <v>0</v>
      </c>
      <c r="S135" s="133">
        <v>0</v>
      </c>
      <c r="T135" s="133">
        <v>0</v>
      </c>
      <c r="U135" s="121">
        <f t="shared" si="36"/>
        <v>0</v>
      </c>
      <c r="V135" s="122">
        <f t="shared" si="37"/>
        <v>0</v>
      </c>
      <c r="W135" s="122">
        <f t="shared" si="38"/>
        <v>0</v>
      </c>
      <c r="X135" s="122">
        <f t="shared" si="39"/>
        <v>0</v>
      </c>
      <c r="Y135" s="133">
        <v>0</v>
      </c>
      <c r="Z135" s="133">
        <v>0</v>
      </c>
      <c r="AA135" s="121">
        <f t="shared" si="40"/>
        <v>0</v>
      </c>
      <c r="AB135" s="122">
        <f t="shared" si="41"/>
        <v>0</v>
      </c>
      <c r="AC135" s="122">
        <f t="shared" si="42"/>
        <v>0</v>
      </c>
      <c r="AD135" s="122">
        <f t="shared" si="43"/>
        <v>0</v>
      </c>
      <c r="AE135" s="133">
        <v>0</v>
      </c>
      <c r="AF135" s="133">
        <v>0</v>
      </c>
      <c r="AG135" s="121">
        <f t="shared" si="44"/>
        <v>0</v>
      </c>
      <c r="AH135" s="122">
        <f t="shared" si="45"/>
        <v>0</v>
      </c>
      <c r="AI135" s="122">
        <f t="shared" si="46"/>
        <v>0</v>
      </c>
      <c r="AJ135" s="122">
        <f t="shared" si="47"/>
        <v>0</v>
      </c>
      <c r="AK135" s="133">
        <v>0</v>
      </c>
      <c r="AL135" s="133">
        <v>0</v>
      </c>
      <c r="AM135" s="121">
        <f t="shared" si="48"/>
        <v>0</v>
      </c>
      <c r="AN135" s="122">
        <f t="shared" si="49"/>
        <v>0</v>
      </c>
      <c r="AO135" s="122">
        <f t="shared" si="50"/>
        <v>0</v>
      </c>
      <c r="AP135" s="122">
        <f t="shared" si="51"/>
        <v>0</v>
      </c>
      <c r="AQ135" s="124">
        <f t="shared" si="52"/>
        <v>0</v>
      </c>
      <c r="AR135" s="125">
        <f t="shared" si="53"/>
        <v>0</v>
      </c>
      <c r="AS135" s="126">
        <f t="shared" si="54"/>
        <v>0</v>
      </c>
      <c r="AT135" s="127">
        <f t="shared" si="55"/>
        <v>0</v>
      </c>
      <c r="AU135" s="128">
        <f t="shared" si="56"/>
        <v>0</v>
      </c>
      <c r="AV135" s="129">
        <f t="shared" si="57"/>
        <v>0</v>
      </c>
      <c r="AW135" s="33"/>
      <c r="AX135" s="34">
        <f t="shared" si="61"/>
        <v>0</v>
      </c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</row>
    <row r="136" spans="1:69" s="33" customFormat="1" ht="15" customHeight="1" x14ac:dyDescent="0.25">
      <c r="A136" s="113">
        <v>127</v>
      </c>
      <c r="B136" s="130" t="s">
        <v>178</v>
      </c>
      <c r="C136" s="131" t="s">
        <v>182</v>
      </c>
      <c r="D136" s="131" t="s">
        <v>182</v>
      </c>
      <c r="E136" s="116" t="s">
        <v>41</v>
      </c>
      <c r="F136" s="117">
        <v>200</v>
      </c>
      <c r="G136" s="117">
        <v>250</v>
      </c>
      <c r="H136" s="118">
        <v>33.04</v>
      </c>
      <c r="I136" s="118">
        <v>36.4</v>
      </c>
      <c r="J136" s="119" t="s">
        <v>17</v>
      </c>
      <c r="K136" s="120" t="s">
        <v>155</v>
      </c>
      <c r="L136" s="119" t="s">
        <v>18</v>
      </c>
      <c r="M136" s="121"/>
      <c r="N136" s="121"/>
      <c r="O136" s="121">
        <f t="shared" si="32"/>
        <v>0</v>
      </c>
      <c r="P136" s="122">
        <f t="shared" si="33"/>
        <v>0</v>
      </c>
      <c r="Q136" s="122">
        <f t="shared" si="34"/>
        <v>0</v>
      </c>
      <c r="R136" s="122">
        <f t="shared" si="35"/>
        <v>0</v>
      </c>
      <c r="S136" s="133">
        <v>1503</v>
      </c>
      <c r="T136" s="133">
        <v>2250</v>
      </c>
      <c r="U136" s="121">
        <f t="shared" si="36"/>
        <v>3753</v>
      </c>
      <c r="V136" s="122">
        <f t="shared" si="37"/>
        <v>49659.119999999995</v>
      </c>
      <c r="W136" s="122">
        <f t="shared" si="38"/>
        <v>81900</v>
      </c>
      <c r="X136" s="122">
        <f t="shared" si="39"/>
        <v>131559.12</v>
      </c>
      <c r="Y136" s="133">
        <v>600</v>
      </c>
      <c r="Z136" s="133">
        <v>750</v>
      </c>
      <c r="AA136" s="121">
        <f t="shared" si="40"/>
        <v>1350</v>
      </c>
      <c r="AB136" s="122">
        <f t="shared" si="41"/>
        <v>19824</v>
      </c>
      <c r="AC136" s="122">
        <f t="shared" si="42"/>
        <v>27300</v>
      </c>
      <c r="AD136" s="122">
        <f t="shared" si="43"/>
        <v>47124</v>
      </c>
      <c r="AE136" s="139">
        <v>1000</v>
      </c>
      <c r="AF136" s="139">
        <v>1250</v>
      </c>
      <c r="AG136" s="121">
        <f t="shared" si="44"/>
        <v>2250</v>
      </c>
      <c r="AH136" s="122">
        <f t="shared" si="45"/>
        <v>33040</v>
      </c>
      <c r="AI136" s="122">
        <f t="shared" si="46"/>
        <v>45500</v>
      </c>
      <c r="AJ136" s="122">
        <f t="shared" si="47"/>
        <v>78540</v>
      </c>
      <c r="AK136" s="139">
        <v>600</v>
      </c>
      <c r="AL136" s="139">
        <v>750</v>
      </c>
      <c r="AM136" s="121">
        <f t="shared" si="48"/>
        <v>1350</v>
      </c>
      <c r="AN136" s="122">
        <f t="shared" si="49"/>
        <v>19824</v>
      </c>
      <c r="AO136" s="122">
        <f t="shared" si="50"/>
        <v>27300</v>
      </c>
      <c r="AP136" s="122">
        <f t="shared" si="51"/>
        <v>47124</v>
      </c>
      <c r="AQ136" s="124">
        <f t="shared" si="52"/>
        <v>3703</v>
      </c>
      <c r="AR136" s="125">
        <f t="shared" si="53"/>
        <v>5000</v>
      </c>
      <c r="AS136" s="126">
        <f t="shared" si="54"/>
        <v>8703</v>
      </c>
      <c r="AT136" s="127">
        <f t="shared" si="55"/>
        <v>122347.12</v>
      </c>
      <c r="AU136" s="128">
        <f t="shared" si="56"/>
        <v>182000</v>
      </c>
      <c r="AV136" s="129">
        <f t="shared" si="57"/>
        <v>304347.12</v>
      </c>
      <c r="AX136" s="34">
        <f t="shared" si="61"/>
        <v>304347.12</v>
      </c>
    </row>
    <row r="137" spans="1:69" s="33" customFormat="1" ht="15" customHeight="1" x14ac:dyDescent="0.25">
      <c r="A137" s="113">
        <v>128</v>
      </c>
      <c r="B137" s="130" t="s">
        <v>178</v>
      </c>
      <c r="C137" s="131" t="s">
        <v>271</v>
      </c>
      <c r="D137" s="131" t="s">
        <v>271</v>
      </c>
      <c r="E137" s="116" t="s">
        <v>41</v>
      </c>
      <c r="F137" s="117">
        <v>150</v>
      </c>
      <c r="G137" s="117">
        <v>200</v>
      </c>
      <c r="H137" s="118">
        <v>28.5</v>
      </c>
      <c r="I137" s="118">
        <v>29.5</v>
      </c>
      <c r="J137" s="119" t="s">
        <v>47</v>
      </c>
      <c r="K137" s="120"/>
      <c r="L137" s="119" t="s">
        <v>48</v>
      </c>
      <c r="M137" s="121">
        <v>150</v>
      </c>
      <c r="N137" s="121">
        <v>200</v>
      </c>
      <c r="O137" s="121">
        <f t="shared" si="32"/>
        <v>350</v>
      </c>
      <c r="P137" s="122">
        <f t="shared" si="33"/>
        <v>4275</v>
      </c>
      <c r="Q137" s="122">
        <f t="shared" si="34"/>
        <v>5900</v>
      </c>
      <c r="R137" s="122">
        <f t="shared" si="35"/>
        <v>10175</v>
      </c>
      <c r="S137" s="133">
        <v>0</v>
      </c>
      <c r="T137" s="133">
        <v>0</v>
      </c>
      <c r="U137" s="121">
        <f t="shared" si="36"/>
        <v>0</v>
      </c>
      <c r="V137" s="122">
        <f t="shared" si="37"/>
        <v>0</v>
      </c>
      <c r="W137" s="122">
        <f t="shared" si="38"/>
        <v>0</v>
      </c>
      <c r="X137" s="122">
        <f t="shared" si="39"/>
        <v>0</v>
      </c>
      <c r="Y137" s="133">
        <v>0</v>
      </c>
      <c r="Z137" s="133">
        <v>0</v>
      </c>
      <c r="AA137" s="121">
        <f t="shared" si="40"/>
        <v>0</v>
      </c>
      <c r="AB137" s="122">
        <f t="shared" si="41"/>
        <v>0</v>
      </c>
      <c r="AC137" s="122">
        <f t="shared" si="42"/>
        <v>0</v>
      </c>
      <c r="AD137" s="122">
        <f t="shared" si="43"/>
        <v>0</v>
      </c>
      <c r="AE137" s="139">
        <v>0</v>
      </c>
      <c r="AF137" s="139">
        <v>0</v>
      </c>
      <c r="AG137" s="121">
        <f t="shared" si="44"/>
        <v>0</v>
      </c>
      <c r="AH137" s="122">
        <f t="shared" si="45"/>
        <v>0</v>
      </c>
      <c r="AI137" s="122">
        <f t="shared" si="46"/>
        <v>0</v>
      </c>
      <c r="AJ137" s="122">
        <f t="shared" si="47"/>
        <v>0</v>
      </c>
      <c r="AK137" s="139">
        <v>0</v>
      </c>
      <c r="AL137" s="139">
        <v>0</v>
      </c>
      <c r="AM137" s="121">
        <f t="shared" si="48"/>
        <v>0</v>
      </c>
      <c r="AN137" s="122">
        <f t="shared" si="49"/>
        <v>0</v>
      </c>
      <c r="AO137" s="122">
        <f t="shared" si="50"/>
        <v>0</v>
      </c>
      <c r="AP137" s="122">
        <f t="shared" si="51"/>
        <v>0</v>
      </c>
      <c r="AQ137" s="124">
        <f t="shared" si="52"/>
        <v>150</v>
      </c>
      <c r="AR137" s="125">
        <f t="shared" si="53"/>
        <v>200</v>
      </c>
      <c r="AS137" s="126">
        <f t="shared" si="54"/>
        <v>350</v>
      </c>
      <c r="AT137" s="127">
        <f t="shared" si="55"/>
        <v>4275</v>
      </c>
      <c r="AU137" s="128">
        <f t="shared" si="56"/>
        <v>5900</v>
      </c>
      <c r="AV137" s="129">
        <f t="shared" si="57"/>
        <v>10175</v>
      </c>
      <c r="AX137" s="34">
        <f t="shared" si="61"/>
        <v>10175</v>
      </c>
    </row>
    <row r="138" spans="1:69" s="78" customFormat="1" ht="15" customHeight="1" x14ac:dyDescent="0.25">
      <c r="A138" s="113">
        <v>129</v>
      </c>
      <c r="B138" s="147" t="s">
        <v>178</v>
      </c>
      <c r="C138" s="167" t="s">
        <v>183</v>
      </c>
      <c r="D138" s="167" t="s">
        <v>183</v>
      </c>
      <c r="E138" s="116" t="s">
        <v>16</v>
      </c>
      <c r="F138" s="117">
        <v>100</v>
      </c>
      <c r="G138" s="117">
        <v>150</v>
      </c>
      <c r="H138" s="118">
        <v>28.5</v>
      </c>
      <c r="I138" s="118">
        <v>29.5</v>
      </c>
      <c r="J138" s="119" t="s">
        <v>47</v>
      </c>
      <c r="K138" s="120"/>
      <c r="L138" s="119" t="s">
        <v>48</v>
      </c>
      <c r="M138" s="121">
        <v>800</v>
      </c>
      <c r="N138" s="121">
        <v>1200</v>
      </c>
      <c r="O138" s="121">
        <f t="shared" si="32"/>
        <v>2000</v>
      </c>
      <c r="P138" s="122">
        <f t="shared" si="33"/>
        <v>22800</v>
      </c>
      <c r="Q138" s="122">
        <f t="shared" si="34"/>
        <v>35400</v>
      </c>
      <c r="R138" s="122">
        <f t="shared" si="35"/>
        <v>58200</v>
      </c>
      <c r="S138" s="133">
        <v>900</v>
      </c>
      <c r="T138" s="133">
        <v>1350</v>
      </c>
      <c r="U138" s="121">
        <f t="shared" si="36"/>
        <v>2250</v>
      </c>
      <c r="V138" s="122">
        <f t="shared" si="37"/>
        <v>25650</v>
      </c>
      <c r="W138" s="122">
        <f t="shared" si="38"/>
        <v>39825</v>
      </c>
      <c r="X138" s="122">
        <f t="shared" si="39"/>
        <v>65475</v>
      </c>
      <c r="Y138" s="133">
        <v>200</v>
      </c>
      <c r="Z138" s="133">
        <v>300</v>
      </c>
      <c r="AA138" s="121">
        <f t="shared" si="40"/>
        <v>500</v>
      </c>
      <c r="AB138" s="122">
        <f t="shared" si="41"/>
        <v>5700</v>
      </c>
      <c r="AC138" s="122">
        <f t="shared" si="42"/>
        <v>8850</v>
      </c>
      <c r="AD138" s="122">
        <f t="shared" si="43"/>
        <v>14550</v>
      </c>
      <c r="AE138" s="133">
        <v>0</v>
      </c>
      <c r="AF138" s="133">
        <v>0</v>
      </c>
      <c r="AG138" s="121">
        <f t="shared" si="44"/>
        <v>0</v>
      </c>
      <c r="AH138" s="122">
        <f t="shared" si="45"/>
        <v>0</v>
      </c>
      <c r="AI138" s="122">
        <f t="shared" si="46"/>
        <v>0</v>
      </c>
      <c r="AJ138" s="122">
        <f t="shared" si="47"/>
        <v>0</v>
      </c>
      <c r="AK138" s="133">
        <v>0</v>
      </c>
      <c r="AL138" s="133">
        <v>0</v>
      </c>
      <c r="AM138" s="121">
        <f t="shared" si="48"/>
        <v>0</v>
      </c>
      <c r="AN138" s="122">
        <f t="shared" si="49"/>
        <v>0</v>
      </c>
      <c r="AO138" s="122">
        <f t="shared" si="50"/>
        <v>0</v>
      </c>
      <c r="AP138" s="122">
        <f t="shared" si="51"/>
        <v>0</v>
      </c>
      <c r="AQ138" s="124">
        <f t="shared" si="52"/>
        <v>1900</v>
      </c>
      <c r="AR138" s="125">
        <f t="shared" si="53"/>
        <v>2850</v>
      </c>
      <c r="AS138" s="126">
        <f t="shared" si="54"/>
        <v>4750</v>
      </c>
      <c r="AT138" s="127">
        <f t="shared" si="55"/>
        <v>54150</v>
      </c>
      <c r="AU138" s="128">
        <f t="shared" si="56"/>
        <v>84075</v>
      </c>
      <c r="AV138" s="129">
        <f t="shared" si="57"/>
        <v>138225</v>
      </c>
      <c r="AW138" s="33"/>
      <c r="AX138" s="34">
        <f t="shared" si="61"/>
        <v>138225</v>
      </c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</row>
    <row r="139" spans="1:69" s="78" customFormat="1" ht="15" customHeight="1" x14ac:dyDescent="0.25">
      <c r="A139" s="113">
        <v>130</v>
      </c>
      <c r="B139" s="147" t="s">
        <v>178</v>
      </c>
      <c r="C139" s="167" t="s">
        <v>184</v>
      </c>
      <c r="D139" s="167" t="s">
        <v>184</v>
      </c>
      <c r="E139" s="116" t="s">
        <v>16</v>
      </c>
      <c r="F139" s="117">
        <v>100</v>
      </c>
      <c r="G139" s="117">
        <v>150</v>
      </c>
      <c r="H139" s="118">
        <v>28.5</v>
      </c>
      <c r="I139" s="118">
        <v>29.5</v>
      </c>
      <c r="J139" s="119" t="s">
        <v>47</v>
      </c>
      <c r="K139" s="120"/>
      <c r="L139" s="119" t="s">
        <v>48</v>
      </c>
      <c r="M139" s="121"/>
      <c r="N139" s="121"/>
      <c r="O139" s="121">
        <f t="shared" ref="O139:O184" si="62">M139+N139</f>
        <v>0</v>
      </c>
      <c r="P139" s="122">
        <f t="shared" ref="P139:P184" si="63">M139*H139</f>
        <v>0</v>
      </c>
      <c r="Q139" s="122">
        <f t="shared" ref="Q139:Q184" si="64">N139*I139</f>
        <v>0</v>
      </c>
      <c r="R139" s="122">
        <f t="shared" ref="R139:R184" si="65">P139+Q139</f>
        <v>0</v>
      </c>
      <c r="S139" s="133">
        <v>900</v>
      </c>
      <c r="T139" s="133">
        <v>1350</v>
      </c>
      <c r="U139" s="121">
        <f t="shared" ref="U139:U184" si="66">S139+T139</f>
        <v>2250</v>
      </c>
      <c r="V139" s="122">
        <f t="shared" ref="V139:V184" si="67">S139*H139</f>
        <v>25650</v>
      </c>
      <c r="W139" s="122">
        <f t="shared" ref="W139:W184" si="68">T139*I139</f>
        <v>39825</v>
      </c>
      <c r="X139" s="122">
        <f t="shared" ref="X139:X184" si="69">V139+W139</f>
        <v>65475</v>
      </c>
      <c r="Y139" s="133">
        <v>300</v>
      </c>
      <c r="Z139" s="133">
        <v>450</v>
      </c>
      <c r="AA139" s="121">
        <f t="shared" ref="AA139:AA184" si="70">Y139+Z139</f>
        <v>750</v>
      </c>
      <c r="AB139" s="122">
        <f t="shared" ref="AB139:AB184" si="71">Y139*H139</f>
        <v>8550</v>
      </c>
      <c r="AC139" s="122">
        <f t="shared" ref="AC139:AC184" si="72">Z139*I139</f>
        <v>13275</v>
      </c>
      <c r="AD139" s="122">
        <f t="shared" ref="AD139:AD184" si="73">AB139+AC139</f>
        <v>21825</v>
      </c>
      <c r="AE139" s="133">
        <v>100</v>
      </c>
      <c r="AF139" s="139">
        <v>150</v>
      </c>
      <c r="AG139" s="121">
        <f t="shared" ref="AG139:AG184" si="74">AE139+AF139</f>
        <v>250</v>
      </c>
      <c r="AH139" s="122">
        <f t="shared" ref="AH139:AH184" si="75">AE139*H139</f>
        <v>2850</v>
      </c>
      <c r="AI139" s="122">
        <f t="shared" ref="AI139:AI184" si="76">AF139*I139</f>
        <v>4425</v>
      </c>
      <c r="AJ139" s="122">
        <f t="shared" ref="AJ139:AJ184" si="77">AH139+AI139</f>
        <v>7275</v>
      </c>
      <c r="AK139" s="133">
        <v>0</v>
      </c>
      <c r="AL139" s="133">
        <v>0</v>
      </c>
      <c r="AM139" s="121">
        <f t="shared" ref="AM139:AM184" si="78">AK139+AL139</f>
        <v>0</v>
      </c>
      <c r="AN139" s="122">
        <f t="shared" ref="AN139:AN184" si="79">AK139*H139</f>
        <v>0</v>
      </c>
      <c r="AO139" s="122">
        <f t="shared" ref="AO139:AO184" si="80">AL139*I139</f>
        <v>0</v>
      </c>
      <c r="AP139" s="122">
        <f t="shared" ref="AP139:AP184" si="81">AN139+AO139</f>
        <v>0</v>
      </c>
      <c r="AQ139" s="124">
        <f t="shared" ref="AQ139:AQ184" si="82">S139+Y139+AE139+AK139+M139</f>
        <v>1300</v>
      </c>
      <c r="AR139" s="125">
        <f t="shared" ref="AR139:AR184" si="83">T139+Z139+AF139+AL139+N139</f>
        <v>1950</v>
      </c>
      <c r="AS139" s="126">
        <f t="shared" ref="AS139:AS184" si="84">AQ139+AR139</f>
        <v>3250</v>
      </c>
      <c r="AT139" s="127">
        <f t="shared" ref="AT139:AT184" si="85">V139+AB139+AH139+AN139+P139</f>
        <v>37050</v>
      </c>
      <c r="AU139" s="128">
        <f t="shared" ref="AU139:AU184" si="86">W139+AC139+AI139+AO139+Q139</f>
        <v>57525</v>
      </c>
      <c r="AV139" s="129">
        <f t="shared" ref="AV139:AV184" si="87">AT139+AU139</f>
        <v>94575</v>
      </c>
      <c r="AW139" s="33"/>
      <c r="AX139" s="34">
        <f t="shared" si="61"/>
        <v>94575</v>
      </c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</row>
    <row r="140" spans="1:69" s="33" customFormat="1" ht="17.25" customHeight="1" x14ac:dyDescent="0.25">
      <c r="A140" s="113">
        <v>131</v>
      </c>
      <c r="B140" s="114" t="s">
        <v>178</v>
      </c>
      <c r="C140" s="115" t="s">
        <v>185</v>
      </c>
      <c r="D140" s="115" t="s">
        <v>185</v>
      </c>
      <c r="E140" s="116" t="s">
        <v>16</v>
      </c>
      <c r="F140" s="117">
        <v>100</v>
      </c>
      <c r="G140" s="117">
        <v>150</v>
      </c>
      <c r="H140" s="118">
        <v>33.04</v>
      </c>
      <c r="I140" s="118">
        <v>36.4</v>
      </c>
      <c r="J140" s="119" t="s">
        <v>17</v>
      </c>
      <c r="K140" s="120" t="s">
        <v>155</v>
      </c>
      <c r="L140" s="119" t="s">
        <v>18</v>
      </c>
      <c r="M140" s="121"/>
      <c r="N140" s="121"/>
      <c r="O140" s="121">
        <f t="shared" si="62"/>
        <v>0</v>
      </c>
      <c r="P140" s="122">
        <f t="shared" si="63"/>
        <v>0</v>
      </c>
      <c r="Q140" s="122">
        <f t="shared" si="64"/>
        <v>0</v>
      </c>
      <c r="R140" s="122">
        <f t="shared" si="65"/>
        <v>0</v>
      </c>
      <c r="S140" s="133">
        <v>900</v>
      </c>
      <c r="T140" s="133">
        <v>1350</v>
      </c>
      <c r="U140" s="121">
        <f t="shared" si="66"/>
        <v>2250</v>
      </c>
      <c r="V140" s="122">
        <f t="shared" si="67"/>
        <v>29736</v>
      </c>
      <c r="W140" s="122">
        <f t="shared" si="68"/>
        <v>49140</v>
      </c>
      <c r="X140" s="122">
        <f t="shared" si="69"/>
        <v>78876</v>
      </c>
      <c r="Y140" s="138">
        <v>200</v>
      </c>
      <c r="Z140" s="138">
        <v>300</v>
      </c>
      <c r="AA140" s="121">
        <f t="shared" si="70"/>
        <v>500</v>
      </c>
      <c r="AB140" s="122">
        <f t="shared" si="71"/>
        <v>6608</v>
      </c>
      <c r="AC140" s="122">
        <f t="shared" si="72"/>
        <v>10920</v>
      </c>
      <c r="AD140" s="122">
        <f t="shared" si="73"/>
        <v>17528</v>
      </c>
      <c r="AE140" s="139">
        <v>500</v>
      </c>
      <c r="AF140" s="139">
        <v>750</v>
      </c>
      <c r="AG140" s="121">
        <f t="shared" si="74"/>
        <v>1250</v>
      </c>
      <c r="AH140" s="122">
        <f t="shared" si="75"/>
        <v>16520</v>
      </c>
      <c r="AI140" s="122">
        <f t="shared" si="76"/>
        <v>27300</v>
      </c>
      <c r="AJ140" s="122">
        <f t="shared" si="77"/>
        <v>43820</v>
      </c>
      <c r="AK140" s="133">
        <v>300</v>
      </c>
      <c r="AL140" s="133">
        <v>450</v>
      </c>
      <c r="AM140" s="121">
        <f t="shared" si="78"/>
        <v>750</v>
      </c>
      <c r="AN140" s="122">
        <f t="shared" si="79"/>
        <v>9912</v>
      </c>
      <c r="AO140" s="122">
        <f t="shared" si="80"/>
        <v>16380</v>
      </c>
      <c r="AP140" s="122">
        <f t="shared" si="81"/>
        <v>26292</v>
      </c>
      <c r="AQ140" s="124">
        <f t="shared" si="82"/>
        <v>1900</v>
      </c>
      <c r="AR140" s="125">
        <f t="shared" si="83"/>
        <v>2850</v>
      </c>
      <c r="AS140" s="126">
        <f t="shared" si="84"/>
        <v>4750</v>
      </c>
      <c r="AT140" s="127">
        <f t="shared" si="85"/>
        <v>62776</v>
      </c>
      <c r="AU140" s="128">
        <f t="shared" si="86"/>
        <v>103740</v>
      </c>
      <c r="AV140" s="129">
        <f t="shared" si="87"/>
        <v>166516</v>
      </c>
      <c r="AX140" s="34">
        <f t="shared" si="61"/>
        <v>166516</v>
      </c>
    </row>
    <row r="141" spans="1:69" s="33" customFormat="1" ht="13.5" customHeight="1" x14ac:dyDescent="0.25">
      <c r="A141" s="113">
        <v>132</v>
      </c>
      <c r="B141" s="114" t="s">
        <v>178</v>
      </c>
      <c r="C141" s="115" t="s">
        <v>186</v>
      </c>
      <c r="D141" s="115" t="s">
        <v>186</v>
      </c>
      <c r="E141" s="116" t="s">
        <v>16</v>
      </c>
      <c r="F141" s="117">
        <v>75</v>
      </c>
      <c r="G141" s="117">
        <v>100</v>
      </c>
      <c r="H141" s="118">
        <v>33.04</v>
      </c>
      <c r="I141" s="118">
        <v>36.4</v>
      </c>
      <c r="J141" s="119" t="s">
        <v>17</v>
      </c>
      <c r="K141" s="120" t="s">
        <v>155</v>
      </c>
      <c r="L141" s="119" t="s">
        <v>18</v>
      </c>
      <c r="M141" s="121"/>
      <c r="N141" s="121"/>
      <c r="O141" s="121">
        <f t="shared" si="62"/>
        <v>0</v>
      </c>
      <c r="P141" s="122">
        <f t="shared" si="63"/>
        <v>0</v>
      </c>
      <c r="Q141" s="122">
        <f t="shared" si="64"/>
        <v>0</v>
      </c>
      <c r="R141" s="122">
        <f t="shared" si="65"/>
        <v>0</v>
      </c>
      <c r="S141" s="138">
        <v>600</v>
      </c>
      <c r="T141" s="138">
        <v>700</v>
      </c>
      <c r="U141" s="121">
        <f t="shared" si="66"/>
        <v>1300</v>
      </c>
      <c r="V141" s="122">
        <f t="shared" si="67"/>
        <v>19824</v>
      </c>
      <c r="W141" s="122">
        <f t="shared" si="68"/>
        <v>25480</v>
      </c>
      <c r="X141" s="122">
        <f t="shared" si="69"/>
        <v>45304</v>
      </c>
      <c r="Y141" s="133">
        <v>225</v>
      </c>
      <c r="Z141" s="133">
        <v>300</v>
      </c>
      <c r="AA141" s="121">
        <f t="shared" si="70"/>
        <v>525</v>
      </c>
      <c r="AB141" s="122">
        <f t="shared" si="71"/>
        <v>7434</v>
      </c>
      <c r="AC141" s="122">
        <f t="shared" si="72"/>
        <v>10920</v>
      </c>
      <c r="AD141" s="122">
        <f t="shared" si="73"/>
        <v>18354</v>
      </c>
      <c r="AE141" s="133">
        <v>375</v>
      </c>
      <c r="AF141" s="133">
        <v>500</v>
      </c>
      <c r="AG141" s="121">
        <f t="shared" si="74"/>
        <v>875</v>
      </c>
      <c r="AH141" s="122">
        <f t="shared" si="75"/>
        <v>12390</v>
      </c>
      <c r="AI141" s="122">
        <f t="shared" si="76"/>
        <v>18200</v>
      </c>
      <c r="AJ141" s="122">
        <f t="shared" si="77"/>
        <v>30590</v>
      </c>
      <c r="AK141" s="133">
        <v>225</v>
      </c>
      <c r="AL141" s="139">
        <v>300</v>
      </c>
      <c r="AM141" s="121">
        <f t="shared" si="78"/>
        <v>525</v>
      </c>
      <c r="AN141" s="122">
        <f t="shared" si="79"/>
        <v>7434</v>
      </c>
      <c r="AO141" s="122">
        <f t="shared" si="80"/>
        <v>10920</v>
      </c>
      <c r="AP141" s="122">
        <f t="shared" si="81"/>
        <v>18354</v>
      </c>
      <c r="AQ141" s="124">
        <f t="shared" si="82"/>
        <v>1425</v>
      </c>
      <c r="AR141" s="125">
        <f t="shared" si="83"/>
        <v>1800</v>
      </c>
      <c r="AS141" s="126">
        <f t="shared" si="84"/>
        <v>3225</v>
      </c>
      <c r="AT141" s="127">
        <f t="shared" si="85"/>
        <v>47082</v>
      </c>
      <c r="AU141" s="128">
        <f t="shared" si="86"/>
        <v>65520</v>
      </c>
      <c r="AV141" s="129">
        <f t="shared" si="87"/>
        <v>112602</v>
      </c>
      <c r="AX141" s="34">
        <f t="shared" si="61"/>
        <v>112602</v>
      </c>
    </row>
    <row r="142" spans="1:69" s="35" customFormat="1" ht="15" customHeight="1" x14ac:dyDescent="0.25">
      <c r="A142" s="113">
        <v>133</v>
      </c>
      <c r="B142" s="114" t="s">
        <v>178</v>
      </c>
      <c r="C142" s="115" t="s">
        <v>178</v>
      </c>
      <c r="D142" s="115" t="s">
        <v>178</v>
      </c>
      <c r="E142" s="116" t="s">
        <v>16</v>
      </c>
      <c r="F142" s="117">
        <v>150</v>
      </c>
      <c r="G142" s="117">
        <v>200</v>
      </c>
      <c r="H142" s="118">
        <v>33.04</v>
      </c>
      <c r="I142" s="118">
        <v>36.4</v>
      </c>
      <c r="J142" s="119" t="s">
        <v>17</v>
      </c>
      <c r="K142" s="120" t="s">
        <v>155</v>
      </c>
      <c r="L142" s="119" t="s">
        <v>18</v>
      </c>
      <c r="M142" s="121"/>
      <c r="N142" s="121"/>
      <c r="O142" s="121">
        <f t="shared" si="62"/>
        <v>0</v>
      </c>
      <c r="P142" s="122">
        <f t="shared" si="63"/>
        <v>0</v>
      </c>
      <c r="Q142" s="122">
        <f t="shared" si="64"/>
        <v>0</v>
      </c>
      <c r="R142" s="122">
        <f t="shared" si="65"/>
        <v>0</v>
      </c>
      <c r="S142" s="138">
        <v>1200</v>
      </c>
      <c r="T142" s="138">
        <v>1400</v>
      </c>
      <c r="U142" s="121">
        <f t="shared" si="66"/>
        <v>2600</v>
      </c>
      <c r="V142" s="122">
        <f t="shared" si="67"/>
        <v>39648</v>
      </c>
      <c r="W142" s="122">
        <f t="shared" si="68"/>
        <v>50960</v>
      </c>
      <c r="X142" s="122">
        <f t="shared" si="69"/>
        <v>90608</v>
      </c>
      <c r="Y142" s="138">
        <v>300</v>
      </c>
      <c r="Z142" s="133">
        <v>600</v>
      </c>
      <c r="AA142" s="121">
        <f t="shared" si="70"/>
        <v>900</v>
      </c>
      <c r="AB142" s="122">
        <f t="shared" si="71"/>
        <v>9912</v>
      </c>
      <c r="AC142" s="122">
        <f t="shared" si="72"/>
        <v>21840</v>
      </c>
      <c r="AD142" s="122">
        <f t="shared" si="73"/>
        <v>31752</v>
      </c>
      <c r="AE142" s="133">
        <v>750</v>
      </c>
      <c r="AF142" s="133">
        <v>1000</v>
      </c>
      <c r="AG142" s="121">
        <f t="shared" si="74"/>
        <v>1750</v>
      </c>
      <c r="AH142" s="122">
        <f t="shared" si="75"/>
        <v>24780</v>
      </c>
      <c r="AI142" s="122">
        <f t="shared" si="76"/>
        <v>36400</v>
      </c>
      <c r="AJ142" s="122">
        <f t="shared" si="77"/>
        <v>61180</v>
      </c>
      <c r="AK142" s="133">
        <v>450</v>
      </c>
      <c r="AL142" s="133">
        <v>600</v>
      </c>
      <c r="AM142" s="121">
        <f t="shared" si="78"/>
        <v>1050</v>
      </c>
      <c r="AN142" s="122">
        <f t="shared" si="79"/>
        <v>14868</v>
      </c>
      <c r="AO142" s="122">
        <f t="shared" si="80"/>
        <v>21840</v>
      </c>
      <c r="AP142" s="122">
        <f t="shared" si="81"/>
        <v>36708</v>
      </c>
      <c r="AQ142" s="124">
        <f t="shared" si="82"/>
        <v>2700</v>
      </c>
      <c r="AR142" s="125">
        <f t="shared" si="83"/>
        <v>3600</v>
      </c>
      <c r="AS142" s="126">
        <f t="shared" si="84"/>
        <v>6300</v>
      </c>
      <c r="AT142" s="127">
        <f t="shared" si="85"/>
        <v>89208</v>
      </c>
      <c r="AU142" s="128">
        <f t="shared" si="86"/>
        <v>131040</v>
      </c>
      <c r="AV142" s="129">
        <f t="shared" si="87"/>
        <v>220248</v>
      </c>
      <c r="AW142" s="33"/>
      <c r="AX142" s="34">
        <f t="shared" si="61"/>
        <v>220248</v>
      </c>
    </row>
    <row r="143" spans="1:69" s="37" customFormat="1" ht="12.75" customHeight="1" x14ac:dyDescent="0.25">
      <c r="A143" s="113">
        <v>134</v>
      </c>
      <c r="B143" s="161" t="s">
        <v>178</v>
      </c>
      <c r="C143" s="162" t="s">
        <v>187</v>
      </c>
      <c r="D143" s="162" t="s">
        <v>187</v>
      </c>
      <c r="E143" s="116" t="s">
        <v>16</v>
      </c>
      <c r="F143" s="117">
        <v>75</v>
      </c>
      <c r="G143" s="117">
        <v>150</v>
      </c>
      <c r="H143" s="118">
        <v>33.04</v>
      </c>
      <c r="I143" s="118">
        <v>36.4</v>
      </c>
      <c r="J143" s="119" t="s">
        <v>17</v>
      </c>
      <c r="K143" s="120" t="s">
        <v>155</v>
      </c>
      <c r="L143" s="119" t="s">
        <v>18</v>
      </c>
      <c r="M143" s="121"/>
      <c r="N143" s="121"/>
      <c r="O143" s="121">
        <f t="shared" si="62"/>
        <v>0</v>
      </c>
      <c r="P143" s="122">
        <f t="shared" si="63"/>
        <v>0</v>
      </c>
      <c r="Q143" s="122">
        <f t="shared" si="64"/>
        <v>0</v>
      </c>
      <c r="R143" s="122">
        <f t="shared" si="65"/>
        <v>0</v>
      </c>
      <c r="S143" s="133">
        <v>675</v>
      </c>
      <c r="T143" s="133">
        <v>1350</v>
      </c>
      <c r="U143" s="121">
        <f t="shared" si="66"/>
        <v>2025</v>
      </c>
      <c r="V143" s="122">
        <f t="shared" si="67"/>
        <v>22302</v>
      </c>
      <c r="W143" s="122">
        <f t="shared" si="68"/>
        <v>49140</v>
      </c>
      <c r="X143" s="122">
        <f t="shared" si="69"/>
        <v>71442</v>
      </c>
      <c r="Y143" s="133">
        <v>0</v>
      </c>
      <c r="Z143" s="133">
        <v>0</v>
      </c>
      <c r="AA143" s="121">
        <f t="shared" si="70"/>
        <v>0</v>
      </c>
      <c r="AB143" s="122">
        <f t="shared" si="71"/>
        <v>0</v>
      </c>
      <c r="AC143" s="122">
        <f t="shared" si="72"/>
        <v>0</v>
      </c>
      <c r="AD143" s="122">
        <f t="shared" si="73"/>
        <v>0</v>
      </c>
      <c r="AE143" s="133">
        <v>0</v>
      </c>
      <c r="AF143" s="133">
        <v>0</v>
      </c>
      <c r="AG143" s="121">
        <f t="shared" si="74"/>
        <v>0</v>
      </c>
      <c r="AH143" s="122">
        <f t="shared" si="75"/>
        <v>0</v>
      </c>
      <c r="AI143" s="122">
        <f t="shared" si="76"/>
        <v>0</v>
      </c>
      <c r="AJ143" s="122">
        <f t="shared" si="77"/>
        <v>0</v>
      </c>
      <c r="AK143" s="133">
        <v>0</v>
      </c>
      <c r="AL143" s="133">
        <v>0</v>
      </c>
      <c r="AM143" s="121">
        <f t="shared" si="78"/>
        <v>0</v>
      </c>
      <c r="AN143" s="122">
        <f t="shared" si="79"/>
        <v>0</v>
      </c>
      <c r="AO143" s="122">
        <f t="shared" si="80"/>
        <v>0</v>
      </c>
      <c r="AP143" s="122">
        <f t="shared" si="81"/>
        <v>0</v>
      </c>
      <c r="AQ143" s="124">
        <f t="shared" si="82"/>
        <v>675</v>
      </c>
      <c r="AR143" s="125">
        <f t="shared" si="83"/>
        <v>1350</v>
      </c>
      <c r="AS143" s="126">
        <f t="shared" si="84"/>
        <v>2025</v>
      </c>
      <c r="AT143" s="127">
        <f t="shared" si="85"/>
        <v>22302</v>
      </c>
      <c r="AU143" s="128">
        <f t="shared" si="86"/>
        <v>49140</v>
      </c>
      <c r="AV143" s="129">
        <f t="shared" si="87"/>
        <v>71442</v>
      </c>
      <c r="AW143" s="33"/>
      <c r="AX143" s="34">
        <f t="shared" si="61"/>
        <v>71442</v>
      </c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</row>
    <row r="144" spans="1:69" s="78" customFormat="1" ht="12.75" customHeight="1" x14ac:dyDescent="0.25">
      <c r="A144" s="113">
        <v>135</v>
      </c>
      <c r="B144" s="147" t="s">
        <v>178</v>
      </c>
      <c r="C144" s="167" t="s">
        <v>188</v>
      </c>
      <c r="D144" s="167" t="s">
        <v>188</v>
      </c>
      <c r="E144" s="116" t="s">
        <v>16</v>
      </c>
      <c r="F144" s="117">
        <v>100</v>
      </c>
      <c r="G144" s="117">
        <v>150</v>
      </c>
      <c r="H144" s="118">
        <v>28.5</v>
      </c>
      <c r="I144" s="118">
        <v>29.5</v>
      </c>
      <c r="J144" s="119" t="s">
        <v>47</v>
      </c>
      <c r="K144" s="120"/>
      <c r="L144" s="119" t="s">
        <v>48</v>
      </c>
      <c r="M144" s="121">
        <v>800</v>
      </c>
      <c r="N144" s="121">
        <v>1200</v>
      </c>
      <c r="O144" s="121">
        <f t="shared" si="62"/>
        <v>2000</v>
      </c>
      <c r="P144" s="122">
        <f t="shared" si="63"/>
        <v>22800</v>
      </c>
      <c r="Q144" s="122">
        <f t="shared" si="64"/>
        <v>35400</v>
      </c>
      <c r="R144" s="122">
        <f t="shared" si="65"/>
        <v>58200</v>
      </c>
      <c r="S144" s="133">
        <v>900</v>
      </c>
      <c r="T144" s="133">
        <v>1350</v>
      </c>
      <c r="U144" s="121">
        <f t="shared" si="66"/>
        <v>2250</v>
      </c>
      <c r="V144" s="122">
        <f t="shared" si="67"/>
        <v>25650</v>
      </c>
      <c r="W144" s="122">
        <f t="shared" si="68"/>
        <v>39825</v>
      </c>
      <c r="X144" s="122">
        <f t="shared" si="69"/>
        <v>65475</v>
      </c>
      <c r="Y144" s="133">
        <v>200</v>
      </c>
      <c r="Z144" s="133">
        <v>300</v>
      </c>
      <c r="AA144" s="121">
        <f t="shared" si="70"/>
        <v>500</v>
      </c>
      <c r="AB144" s="122">
        <f t="shared" si="71"/>
        <v>5700</v>
      </c>
      <c r="AC144" s="122">
        <f t="shared" si="72"/>
        <v>8850</v>
      </c>
      <c r="AD144" s="122">
        <f t="shared" si="73"/>
        <v>14550</v>
      </c>
      <c r="AE144" s="133">
        <v>0</v>
      </c>
      <c r="AF144" s="133">
        <v>0</v>
      </c>
      <c r="AG144" s="121">
        <f t="shared" si="74"/>
        <v>0</v>
      </c>
      <c r="AH144" s="122">
        <f t="shared" si="75"/>
        <v>0</v>
      </c>
      <c r="AI144" s="122">
        <f t="shared" si="76"/>
        <v>0</v>
      </c>
      <c r="AJ144" s="122">
        <f t="shared" si="77"/>
        <v>0</v>
      </c>
      <c r="AK144" s="133">
        <v>0</v>
      </c>
      <c r="AL144" s="133">
        <v>0</v>
      </c>
      <c r="AM144" s="121">
        <f t="shared" si="78"/>
        <v>0</v>
      </c>
      <c r="AN144" s="122">
        <f t="shared" si="79"/>
        <v>0</v>
      </c>
      <c r="AO144" s="122">
        <f t="shared" si="80"/>
        <v>0</v>
      </c>
      <c r="AP144" s="122">
        <f t="shared" si="81"/>
        <v>0</v>
      </c>
      <c r="AQ144" s="124">
        <f t="shared" si="82"/>
        <v>1900</v>
      </c>
      <c r="AR144" s="125">
        <f t="shared" si="83"/>
        <v>2850</v>
      </c>
      <c r="AS144" s="126">
        <f t="shared" si="84"/>
        <v>4750</v>
      </c>
      <c r="AT144" s="127">
        <f t="shared" si="85"/>
        <v>54150</v>
      </c>
      <c r="AU144" s="128">
        <f t="shared" si="86"/>
        <v>84075</v>
      </c>
      <c r="AV144" s="129">
        <f t="shared" si="87"/>
        <v>138225</v>
      </c>
      <c r="AW144" s="33"/>
      <c r="AX144" s="34">
        <f t="shared" si="61"/>
        <v>138225</v>
      </c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</row>
    <row r="145" spans="1:50" s="33" customFormat="1" ht="12.75" customHeight="1" x14ac:dyDescent="0.25">
      <c r="A145" s="113">
        <v>136</v>
      </c>
      <c r="B145" s="114" t="s">
        <v>178</v>
      </c>
      <c r="C145" s="115" t="s">
        <v>189</v>
      </c>
      <c r="D145" s="115" t="s">
        <v>189</v>
      </c>
      <c r="E145" s="116" t="s">
        <v>16</v>
      </c>
      <c r="F145" s="117">
        <v>100</v>
      </c>
      <c r="G145" s="117">
        <v>150</v>
      </c>
      <c r="H145" s="118">
        <v>33.04</v>
      </c>
      <c r="I145" s="118">
        <v>36.4</v>
      </c>
      <c r="J145" s="119" t="s">
        <v>17</v>
      </c>
      <c r="K145" s="120" t="s">
        <v>155</v>
      </c>
      <c r="L145" s="119" t="s">
        <v>18</v>
      </c>
      <c r="M145" s="121"/>
      <c r="N145" s="121"/>
      <c r="O145" s="121">
        <f t="shared" si="62"/>
        <v>0</v>
      </c>
      <c r="P145" s="122">
        <f t="shared" si="63"/>
        <v>0</v>
      </c>
      <c r="Q145" s="122">
        <f t="shared" si="64"/>
        <v>0</v>
      </c>
      <c r="R145" s="122">
        <f t="shared" si="65"/>
        <v>0</v>
      </c>
      <c r="S145" s="138">
        <v>800</v>
      </c>
      <c r="T145" s="138">
        <v>739</v>
      </c>
      <c r="U145" s="121">
        <f t="shared" si="66"/>
        <v>1539</v>
      </c>
      <c r="V145" s="122">
        <f t="shared" si="67"/>
        <v>26432</v>
      </c>
      <c r="W145" s="122">
        <f t="shared" si="68"/>
        <v>26899.599999999999</v>
      </c>
      <c r="X145" s="122">
        <f t="shared" si="69"/>
        <v>53331.6</v>
      </c>
      <c r="Y145" s="133">
        <v>300</v>
      </c>
      <c r="Z145" s="133">
        <v>450</v>
      </c>
      <c r="AA145" s="121">
        <f t="shared" si="70"/>
        <v>750</v>
      </c>
      <c r="AB145" s="122">
        <f t="shared" si="71"/>
        <v>9912</v>
      </c>
      <c r="AC145" s="122">
        <f t="shared" si="72"/>
        <v>16380</v>
      </c>
      <c r="AD145" s="122">
        <f t="shared" si="73"/>
        <v>26292</v>
      </c>
      <c r="AE145" s="133">
        <v>500</v>
      </c>
      <c r="AF145" s="133">
        <v>750</v>
      </c>
      <c r="AG145" s="121">
        <f t="shared" si="74"/>
        <v>1250</v>
      </c>
      <c r="AH145" s="122">
        <f t="shared" si="75"/>
        <v>16520</v>
      </c>
      <c r="AI145" s="122">
        <f t="shared" si="76"/>
        <v>27300</v>
      </c>
      <c r="AJ145" s="122">
        <f t="shared" si="77"/>
        <v>43820</v>
      </c>
      <c r="AK145" s="133">
        <v>300</v>
      </c>
      <c r="AL145" s="139">
        <v>450</v>
      </c>
      <c r="AM145" s="121">
        <f t="shared" si="78"/>
        <v>750</v>
      </c>
      <c r="AN145" s="122">
        <f t="shared" si="79"/>
        <v>9912</v>
      </c>
      <c r="AO145" s="122">
        <f t="shared" si="80"/>
        <v>16380</v>
      </c>
      <c r="AP145" s="122">
        <f t="shared" si="81"/>
        <v>26292</v>
      </c>
      <c r="AQ145" s="124">
        <f t="shared" si="82"/>
        <v>1900</v>
      </c>
      <c r="AR145" s="125">
        <f t="shared" si="83"/>
        <v>2389</v>
      </c>
      <c r="AS145" s="126">
        <f t="shared" si="84"/>
        <v>4289</v>
      </c>
      <c r="AT145" s="127">
        <f t="shared" si="85"/>
        <v>62776</v>
      </c>
      <c r="AU145" s="128">
        <f t="shared" si="86"/>
        <v>86959.6</v>
      </c>
      <c r="AV145" s="129">
        <f t="shared" si="87"/>
        <v>149735.6</v>
      </c>
      <c r="AX145" s="34">
        <f t="shared" si="61"/>
        <v>149735.6</v>
      </c>
    </row>
    <row r="146" spans="1:50" s="33" customFormat="1" ht="12.75" customHeight="1" x14ac:dyDescent="0.25">
      <c r="A146" s="113">
        <v>137</v>
      </c>
      <c r="B146" s="130" t="s">
        <v>178</v>
      </c>
      <c r="C146" s="131" t="s">
        <v>264</v>
      </c>
      <c r="D146" s="131" t="s">
        <v>264</v>
      </c>
      <c r="E146" s="116" t="s">
        <v>16</v>
      </c>
      <c r="F146" s="117">
        <v>100</v>
      </c>
      <c r="G146" s="117">
        <v>150</v>
      </c>
      <c r="H146" s="118">
        <v>28.5</v>
      </c>
      <c r="I146" s="118">
        <v>29.5</v>
      </c>
      <c r="J146" s="119" t="s">
        <v>47</v>
      </c>
      <c r="K146" s="120"/>
      <c r="L146" s="119" t="s">
        <v>48</v>
      </c>
      <c r="M146" s="121"/>
      <c r="N146" s="121"/>
      <c r="O146" s="121">
        <f t="shared" si="62"/>
        <v>0</v>
      </c>
      <c r="P146" s="122">
        <f t="shared" si="63"/>
        <v>0</v>
      </c>
      <c r="Q146" s="122">
        <f t="shared" si="64"/>
        <v>0</v>
      </c>
      <c r="R146" s="122">
        <f t="shared" si="65"/>
        <v>0</v>
      </c>
      <c r="S146" s="138">
        <v>600</v>
      </c>
      <c r="T146" s="138">
        <v>900</v>
      </c>
      <c r="U146" s="121">
        <f t="shared" si="66"/>
        <v>1500</v>
      </c>
      <c r="V146" s="122">
        <f t="shared" si="67"/>
        <v>17100</v>
      </c>
      <c r="W146" s="122">
        <f t="shared" si="68"/>
        <v>26550</v>
      </c>
      <c r="X146" s="122">
        <f t="shared" si="69"/>
        <v>43650</v>
      </c>
      <c r="Y146" s="133">
        <v>300</v>
      </c>
      <c r="Z146" s="133">
        <v>450</v>
      </c>
      <c r="AA146" s="121">
        <f t="shared" si="70"/>
        <v>750</v>
      </c>
      <c r="AB146" s="122">
        <f t="shared" si="71"/>
        <v>8550</v>
      </c>
      <c r="AC146" s="122">
        <f t="shared" si="72"/>
        <v>13275</v>
      </c>
      <c r="AD146" s="122">
        <f t="shared" si="73"/>
        <v>21825</v>
      </c>
      <c r="AE146" s="133">
        <v>500</v>
      </c>
      <c r="AF146" s="133">
        <v>750</v>
      </c>
      <c r="AG146" s="121">
        <f t="shared" si="74"/>
        <v>1250</v>
      </c>
      <c r="AH146" s="122">
        <f t="shared" si="75"/>
        <v>14250</v>
      </c>
      <c r="AI146" s="122">
        <f t="shared" si="76"/>
        <v>22125</v>
      </c>
      <c r="AJ146" s="122">
        <f t="shared" si="77"/>
        <v>36375</v>
      </c>
      <c r="AK146" s="133">
        <v>500</v>
      </c>
      <c r="AL146" s="139">
        <v>750</v>
      </c>
      <c r="AM146" s="121">
        <f t="shared" si="78"/>
        <v>1250</v>
      </c>
      <c r="AN146" s="122">
        <f t="shared" si="79"/>
        <v>14250</v>
      </c>
      <c r="AO146" s="122">
        <f t="shared" si="80"/>
        <v>22125</v>
      </c>
      <c r="AP146" s="122">
        <f t="shared" si="81"/>
        <v>36375</v>
      </c>
      <c r="AQ146" s="124">
        <f t="shared" si="82"/>
        <v>1900</v>
      </c>
      <c r="AR146" s="125">
        <f t="shared" si="83"/>
        <v>2850</v>
      </c>
      <c r="AS146" s="126">
        <f t="shared" si="84"/>
        <v>4750</v>
      </c>
      <c r="AT146" s="127">
        <f t="shared" si="85"/>
        <v>54150</v>
      </c>
      <c r="AU146" s="128">
        <f t="shared" si="86"/>
        <v>84075</v>
      </c>
      <c r="AV146" s="129">
        <f t="shared" si="87"/>
        <v>138225</v>
      </c>
      <c r="AX146" s="34">
        <f t="shared" si="61"/>
        <v>138225</v>
      </c>
    </row>
    <row r="147" spans="1:50" s="33" customFormat="1" ht="12.75" customHeight="1" x14ac:dyDescent="0.25">
      <c r="A147" s="113">
        <v>138</v>
      </c>
      <c r="B147" s="130" t="s">
        <v>190</v>
      </c>
      <c r="C147" s="131" t="s">
        <v>191</v>
      </c>
      <c r="D147" s="131" t="s">
        <v>191</v>
      </c>
      <c r="E147" s="116" t="s">
        <v>16</v>
      </c>
      <c r="F147" s="117">
        <v>125</v>
      </c>
      <c r="G147" s="117">
        <v>225</v>
      </c>
      <c r="H147" s="118">
        <v>26</v>
      </c>
      <c r="I147" s="118">
        <v>27.5</v>
      </c>
      <c r="J147" s="119" t="s">
        <v>23</v>
      </c>
      <c r="K147" s="119" t="s">
        <v>192</v>
      </c>
      <c r="L147" s="119" t="s">
        <v>48</v>
      </c>
      <c r="M147" s="121"/>
      <c r="N147" s="121"/>
      <c r="O147" s="121">
        <f t="shared" si="62"/>
        <v>0</v>
      </c>
      <c r="P147" s="122">
        <f t="shared" si="63"/>
        <v>0</v>
      </c>
      <c r="Q147" s="122">
        <f t="shared" si="64"/>
        <v>0</v>
      </c>
      <c r="R147" s="122">
        <f t="shared" si="65"/>
        <v>0</v>
      </c>
      <c r="S147" s="133">
        <v>1125</v>
      </c>
      <c r="T147" s="133">
        <v>2025</v>
      </c>
      <c r="U147" s="121">
        <f t="shared" si="66"/>
        <v>3150</v>
      </c>
      <c r="V147" s="122">
        <f t="shared" si="67"/>
        <v>29250</v>
      </c>
      <c r="W147" s="122">
        <f t="shared" si="68"/>
        <v>55687.5</v>
      </c>
      <c r="X147" s="122">
        <f t="shared" si="69"/>
        <v>84937.5</v>
      </c>
      <c r="Y147" s="133">
        <v>375</v>
      </c>
      <c r="Z147" s="139">
        <v>675</v>
      </c>
      <c r="AA147" s="121">
        <f t="shared" si="70"/>
        <v>1050</v>
      </c>
      <c r="AB147" s="122">
        <f t="shared" si="71"/>
        <v>9750</v>
      </c>
      <c r="AC147" s="122">
        <f t="shared" si="72"/>
        <v>18562.5</v>
      </c>
      <c r="AD147" s="122">
        <f t="shared" si="73"/>
        <v>28312.5</v>
      </c>
      <c r="AE147" s="133">
        <v>625</v>
      </c>
      <c r="AF147" s="133">
        <v>1125</v>
      </c>
      <c r="AG147" s="121">
        <f t="shared" si="74"/>
        <v>1750</v>
      </c>
      <c r="AH147" s="122">
        <f t="shared" si="75"/>
        <v>16250</v>
      </c>
      <c r="AI147" s="122">
        <f t="shared" si="76"/>
        <v>30937.5</v>
      </c>
      <c r="AJ147" s="122">
        <f t="shared" si="77"/>
        <v>47187.5</v>
      </c>
      <c r="AK147" s="133">
        <v>375</v>
      </c>
      <c r="AL147" s="133">
        <v>675</v>
      </c>
      <c r="AM147" s="121">
        <f t="shared" si="78"/>
        <v>1050</v>
      </c>
      <c r="AN147" s="122">
        <f t="shared" si="79"/>
        <v>9750</v>
      </c>
      <c r="AO147" s="122">
        <f t="shared" si="80"/>
        <v>18562.5</v>
      </c>
      <c r="AP147" s="122">
        <f t="shared" si="81"/>
        <v>28312.5</v>
      </c>
      <c r="AQ147" s="124">
        <f t="shared" si="82"/>
        <v>2500</v>
      </c>
      <c r="AR147" s="125">
        <f t="shared" si="83"/>
        <v>4500</v>
      </c>
      <c r="AS147" s="126">
        <f t="shared" si="84"/>
        <v>7000</v>
      </c>
      <c r="AT147" s="127">
        <f t="shared" si="85"/>
        <v>65000</v>
      </c>
      <c r="AU147" s="128">
        <f t="shared" si="86"/>
        <v>123750</v>
      </c>
      <c r="AV147" s="129">
        <f t="shared" si="87"/>
        <v>188750</v>
      </c>
      <c r="AX147" s="34">
        <f t="shared" si="61"/>
        <v>188750</v>
      </c>
    </row>
    <row r="148" spans="1:50" s="33" customFormat="1" ht="12.75" customHeight="1" x14ac:dyDescent="0.25">
      <c r="A148" s="113">
        <v>139</v>
      </c>
      <c r="B148" s="130" t="s">
        <v>190</v>
      </c>
      <c r="C148" s="131" t="s">
        <v>193</v>
      </c>
      <c r="D148" s="131" t="s">
        <v>193</v>
      </c>
      <c r="E148" s="116" t="s">
        <v>16</v>
      </c>
      <c r="F148" s="117">
        <v>75</v>
      </c>
      <c r="G148" s="117">
        <v>150</v>
      </c>
      <c r="H148" s="118">
        <v>26</v>
      </c>
      <c r="I148" s="118">
        <v>27.5</v>
      </c>
      <c r="J148" s="119" t="s">
        <v>23</v>
      </c>
      <c r="K148" s="119" t="s">
        <v>192</v>
      </c>
      <c r="L148" s="119" t="s">
        <v>48</v>
      </c>
      <c r="M148" s="121"/>
      <c r="N148" s="121"/>
      <c r="O148" s="121">
        <f t="shared" si="62"/>
        <v>0</v>
      </c>
      <c r="P148" s="122">
        <f t="shared" si="63"/>
        <v>0</v>
      </c>
      <c r="Q148" s="122">
        <f t="shared" si="64"/>
        <v>0</v>
      </c>
      <c r="R148" s="122">
        <f t="shared" si="65"/>
        <v>0</v>
      </c>
      <c r="S148" s="133">
        <v>675</v>
      </c>
      <c r="T148" s="133">
        <v>1350</v>
      </c>
      <c r="U148" s="121">
        <f t="shared" si="66"/>
        <v>2025</v>
      </c>
      <c r="V148" s="122">
        <f t="shared" si="67"/>
        <v>17550</v>
      </c>
      <c r="W148" s="122">
        <f t="shared" si="68"/>
        <v>37125</v>
      </c>
      <c r="X148" s="122">
        <f t="shared" si="69"/>
        <v>54675</v>
      </c>
      <c r="Y148" s="133">
        <v>225</v>
      </c>
      <c r="Z148" s="133">
        <v>450</v>
      </c>
      <c r="AA148" s="121">
        <f t="shared" si="70"/>
        <v>675</v>
      </c>
      <c r="AB148" s="122">
        <f t="shared" si="71"/>
        <v>5850</v>
      </c>
      <c r="AC148" s="122">
        <f t="shared" si="72"/>
        <v>12375</v>
      </c>
      <c r="AD148" s="122">
        <f t="shared" si="73"/>
        <v>18225</v>
      </c>
      <c r="AE148" s="139">
        <v>375</v>
      </c>
      <c r="AF148" s="133">
        <v>750</v>
      </c>
      <c r="AG148" s="121">
        <f t="shared" si="74"/>
        <v>1125</v>
      </c>
      <c r="AH148" s="122">
        <f t="shared" si="75"/>
        <v>9750</v>
      </c>
      <c r="AI148" s="122">
        <f t="shared" si="76"/>
        <v>20625</v>
      </c>
      <c r="AJ148" s="122">
        <f t="shared" si="77"/>
        <v>30375</v>
      </c>
      <c r="AK148" s="133">
        <v>225</v>
      </c>
      <c r="AL148" s="133">
        <v>450</v>
      </c>
      <c r="AM148" s="121">
        <f t="shared" si="78"/>
        <v>675</v>
      </c>
      <c r="AN148" s="122">
        <f t="shared" si="79"/>
        <v>5850</v>
      </c>
      <c r="AO148" s="122">
        <f t="shared" si="80"/>
        <v>12375</v>
      </c>
      <c r="AP148" s="122">
        <f t="shared" si="81"/>
        <v>18225</v>
      </c>
      <c r="AQ148" s="124">
        <f t="shared" si="82"/>
        <v>1500</v>
      </c>
      <c r="AR148" s="125">
        <f t="shared" si="83"/>
        <v>3000</v>
      </c>
      <c r="AS148" s="126">
        <f t="shared" si="84"/>
        <v>4500</v>
      </c>
      <c r="AT148" s="127">
        <f t="shared" si="85"/>
        <v>39000</v>
      </c>
      <c r="AU148" s="128">
        <f t="shared" si="86"/>
        <v>82500</v>
      </c>
      <c r="AV148" s="129">
        <f t="shared" si="87"/>
        <v>121500</v>
      </c>
      <c r="AX148" s="34">
        <f t="shared" si="61"/>
        <v>121500</v>
      </c>
    </row>
    <row r="149" spans="1:50" s="35" customFormat="1" ht="15.75" customHeight="1" x14ac:dyDescent="0.25">
      <c r="A149" s="113">
        <v>140</v>
      </c>
      <c r="B149" s="130" t="s">
        <v>190</v>
      </c>
      <c r="C149" s="131" t="s">
        <v>194</v>
      </c>
      <c r="D149" s="131" t="s">
        <v>194</v>
      </c>
      <c r="E149" s="116" t="s">
        <v>16</v>
      </c>
      <c r="F149" s="117">
        <v>100</v>
      </c>
      <c r="G149" s="117">
        <v>200</v>
      </c>
      <c r="H149" s="118">
        <v>26</v>
      </c>
      <c r="I149" s="118">
        <v>27.5</v>
      </c>
      <c r="J149" s="119" t="s">
        <v>23</v>
      </c>
      <c r="K149" s="119" t="s">
        <v>192</v>
      </c>
      <c r="L149" s="119" t="s">
        <v>48</v>
      </c>
      <c r="M149" s="121"/>
      <c r="N149" s="121"/>
      <c r="O149" s="121">
        <f t="shared" si="62"/>
        <v>0</v>
      </c>
      <c r="P149" s="122">
        <f t="shared" si="63"/>
        <v>0</v>
      </c>
      <c r="Q149" s="122">
        <f t="shared" si="64"/>
        <v>0</v>
      </c>
      <c r="R149" s="122">
        <f t="shared" si="65"/>
        <v>0</v>
      </c>
      <c r="S149" s="133">
        <v>900</v>
      </c>
      <c r="T149" s="133">
        <v>1800</v>
      </c>
      <c r="U149" s="121">
        <f t="shared" si="66"/>
        <v>2700</v>
      </c>
      <c r="V149" s="122">
        <f t="shared" si="67"/>
        <v>23400</v>
      </c>
      <c r="W149" s="122">
        <f t="shared" si="68"/>
        <v>49500</v>
      </c>
      <c r="X149" s="122">
        <f t="shared" si="69"/>
        <v>72900</v>
      </c>
      <c r="Y149" s="133">
        <v>300</v>
      </c>
      <c r="Z149" s="133">
        <v>600</v>
      </c>
      <c r="AA149" s="121">
        <f t="shared" si="70"/>
        <v>900</v>
      </c>
      <c r="AB149" s="122">
        <f t="shared" si="71"/>
        <v>7800</v>
      </c>
      <c r="AC149" s="122">
        <f t="shared" si="72"/>
        <v>16500</v>
      </c>
      <c r="AD149" s="122">
        <f t="shared" si="73"/>
        <v>24300</v>
      </c>
      <c r="AE149" s="133">
        <v>500</v>
      </c>
      <c r="AF149" s="133">
        <v>1000</v>
      </c>
      <c r="AG149" s="121">
        <f t="shared" si="74"/>
        <v>1500</v>
      </c>
      <c r="AH149" s="122">
        <f t="shared" si="75"/>
        <v>13000</v>
      </c>
      <c r="AI149" s="122">
        <f t="shared" si="76"/>
        <v>27500</v>
      </c>
      <c r="AJ149" s="122">
        <f t="shared" si="77"/>
        <v>40500</v>
      </c>
      <c r="AK149" s="133">
        <v>300</v>
      </c>
      <c r="AL149" s="133">
        <v>600</v>
      </c>
      <c r="AM149" s="121">
        <f t="shared" si="78"/>
        <v>900</v>
      </c>
      <c r="AN149" s="122">
        <f t="shared" si="79"/>
        <v>7800</v>
      </c>
      <c r="AO149" s="122">
        <f t="shared" si="80"/>
        <v>16500</v>
      </c>
      <c r="AP149" s="122">
        <f t="shared" si="81"/>
        <v>24300</v>
      </c>
      <c r="AQ149" s="124">
        <f t="shared" si="82"/>
        <v>2000</v>
      </c>
      <c r="AR149" s="125">
        <f t="shared" si="83"/>
        <v>4000</v>
      </c>
      <c r="AS149" s="126">
        <f t="shared" si="84"/>
        <v>6000</v>
      </c>
      <c r="AT149" s="127">
        <f t="shared" si="85"/>
        <v>52000</v>
      </c>
      <c r="AU149" s="128">
        <f t="shared" si="86"/>
        <v>110000</v>
      </c>
      <c r="AV149" s="129">
        <f t="shared" si="87"/>
        <v>162000</v>
      </c>
      <c r="AW149" s="33"/>
      <c r="AX149" s="34">
        <f t="shared" si="61"/>
        <v>162000</v>
      </c>
    </row>
    <row r="150" spans="1:50" s="33" customFormat="1" ht="12.75" customHeight="1" x14ac:dyDescent="0.25">
      <c r="A150" s="113">
        <v>141</v>
      </c>
      <c r="B150" s="130" t="s">
        <v>190</v>
      </c>
      <c r="C150" s="131" t="s">
        <v>195</v>
      </c>
      <c r="D150" s="131" t="s">
        <v>195</v>
      </c>
      <c r="E150" s="116" t="s">
        <v>16</v>
      </c>
      <c r="F150" s="117" t="s">
        <v>196</v>
      </c>
      <c r="G150" s="117" t="s">
        <v>197</v>
      </c>
      <c r="H150" s="118">
        <v>26</v>
      </c>
      <c r="I150" s="118">
        <v>27.5</v>
      </c>
      <c r="J150" s="119" t="s">
        <v>23</v>
      </c>
      <c r="K150" s="119" t="s">
        <v>192</v>
      </c>
      <c r="L150" s="119" t="s">
        <v>48</v>
      </c>
      <c r="M150" s="121"/>
      <c r="N150" s="121"/>
      <c r="O150" s="121">
        <f t="shared" si="62"/>
        <v>0</v>
      </c>
      <c r="P150" s="122">
        <f t="shared" si="63"/>
        <v>0</v>
      </c>
      <c r="Q150" s="122">
        <f t="shared" si="64"/>
        <v>0</v>
      </c>
      <c r="R150" s="122">
        <f t="shared" si="65"/>
        <v>0</v>
      </c>
      <c r="S150" s="139">
        <v>1350</v>
      </c>
      <c r="T150" s="139">
        <v>2025</v>
      </c>
      <c r="U150" s="121">
        <f t="shared" si="66"/>
        <v>3375</v>
      </c>
      <c r="V150" s="122">
        <f t="shared" si="67"/>
        <v>35100</v>
      </c>
      <c r="W150" s="122">
        <f t="shared" si="68"/>
        <v>55687.5</v>
      </c>
      <c r="X150" s="122">
        <f t="shared" si="69"/>
        <v>90787.5</v>
      </c>
      <c r="Y150" s="133">
        <v>450</v>
      </c>
      <c r="Z150" s="133">
        <v>675</v>
      </c>
      <c r="AA150" s="121">
        <f t="shared" si="70"/>
        <v>1125</v>
      </c>
      <c r="AB150" s="122">
        <f t="shared" si="71"/>
        <v>11700</v>
      </c>
      <c r="AC150" s="122">
        <f t="shared" si="72"/>
        <v>18562.5</v>
      </c>
      <c r="AD150" s="122">
        <f t="shared" si="73"/>
        <v>30262.5</v>
      </c>
      <c r="AE150" s="133">
        <v>750</v>
      </c>
      <c r="AF150" s="133">
        <v>1125</v>
      </c>
      <c r="AG150" s="121">
        <f t="shared" si="74"/>
        <v>1875</v>
      </c>
      <c r="AH150" s="122">
        <f t="shared" si="75"/>
        <v>19500</v>
      </c>
      <c r="AI150" s="122">
        <f t="shared" si="76"/>
        <v>30937.5</v>
      </c>
      <c r="AJ150" s="122">
        <f t="shared" si="77"/>
        <v>50437.5</v>
      </c>
      <c r="AK150" s="133">
        <v>450</v>
      </c>
      <c r="AL150" s="133">
        <v>675</v>
      </c>
      <c r="AM150" s="121">
        <f t="shared" si="78"/>
        <v>1125</v>
      </c>
      <c r="AN150" s="122">
        <f t="shared" si="79"/>
        <v>11700</v>
      </c>
      <c r="AO150" s="122">
        <f t="shared" si="80"/>
        <v>18562.5</v>
      </c>
      <c r="AP150" s="122">
        <f t="shared" si="81"/>
        <v>30262.5</v>
      </c>
      <c r="AQ150" s="124">
        <f t="shared" si="82"/>
        <v>3000</v>
      </c>
      <c r="AR150" s="125">
        <f t="shared" si="83"/>
        <v>4500</v>
      </c>
      <c r="AS150" s="126">
        <f t="shared" si="84"/>
        <v>7500</v>
      </c>
      <c r="AT150" s="127">
        <f t="shared" si="85"/>
        <v>78000</v>
      </c>
      <c r="AU150" s="128">
        <f t="shared" si="86"/>
        <v>123750</v>
      </c>
      <c r="AV150" s="129">
        <f t="shared" si="87"/>
        <v>201750</v>
      </c>
      <c r="AX150" s="34">
        <f t="shared" si="61"/>
        <v>201750</v>
      </c>
    </row>
    <row r="151" spans="1:50" s="33" customFormat="1" ht="12.75" customHeight="1" x14ac:dyDescent="0.25">
      <c r="A151" s="113">
        <v>142</v>
      </c>
      <c r="B151" s="114" t="s">
        <v>190</v>
      </c>
      <c r="C151" s="115" t="s">
        <v>198</v>
      </c>
      <c r="D151" s="115" t="s">
        <v>198</v>
      </c>
      <c r="E151" s="116" t="s">
        <v>16</v>
      </c>
      <c r="F151" s="117">
        <v>100</v>
      </c>
      <c r="G151" s="117">
        <v>200</v>
      </c>
      <c r="H151" s="118">
        <v>30.09</v>
      </c>
      <c r="I151" s="118">
        <v>33.15</v>
      </c>
      <c r="J151" s="119" t="s">
        <v>17</v>
      </c>
      <c r="K151" s="120"/>
      <c r="L151" s="119" t="s">
        <v>18</v>
      </c>
      <c r="M151" s="121"/>
      <c r="N151" s="121"/>
      <c r="O151" s="121">
        <f t="shared" si="62"/>
        <v>0</v>
      </c>
      <c r="P151" s="122">
        <f t="shared" si="63"/>
        <v>0</v>
      </c>
      <c r="Q151" s="122">
        <f t="shared" si="64"/>
        <v>0</v>
      </c>
      <c r="R151" s="122">
        <f t="shared" si="65"/>
        <v>0</v>
      </c>
      <c r="S151" s="138">
        <v>800</v>
      </c>
      <c r="T151" s="133">
        <v>1800</v>
      </c>
      <c r="U151" s="121">
        <f t="shared" si="66"/>
        <v>2600</v>
      </c>
      <c r="V151" s="122">
        <f t="shared" si="67"/>
        <v>24072</v>
      </c>
      <c r="W151" s="122">
        <f t="shared" si="68"/>
        <v>59670</v>
      </c>
      <c r="X151" s="122">
        <f t="shared" si="69"/>
        <v>83742</v>
      </c>
      <c r="Y151" s="139">
        <v>300</v>
      </c>
      <c r="Z151" s="139">
        <v>600</v>
      </c>
      <c r="AA151" s="121">
        <f t="shared" si="70"/>
        <v>900</v>
      </c>
      <c r="AB151" s="122">
        <f t="shared" si="71"/>
        <v>9027</v>
      </c>
      <c r="AC151" s="122">
        <f t="shared" si="72"/>
        <v>19890</v>
      </c>
      <c r="AD151" s="122">
        <f t="shared" si="73"/>
        <v>28917</v>
      </c>
      <c r="AE151" s="133">
        <v>500</v>
      </c>
      <c r="AF151" s="133">
        <v>1000</v>
      </c>
      <c r="AG151" s="121">
        <f t="shared" si="74"/>
        <v>1500</v>
      </c>
      <c r="AH151" s="122">
        <f t="shared" si="75"/>
        <v>15045</v>
      </c>
      <c r="AI151" s="122">
        <f t="shared" si="76"/>
        <v>33150</v>
      </c>
      <c r="AJ151" s="122">
        <f t="shared" si="77"/>
        <v>48195</v>
      </c>
      <c r="AK151" s="133">
        <v>300</v>
      </c>
      <c r="AL151" s="139">
        <v>600</v>
      </c>
      <c r="AM151" s="121">
        <f t="shared" si="78"/>
        <v>900</v>
      </c>
      <c r="AN151" s="122">
        <f t="shared" si="79"/>
        <v>9027</v>
      </c>
      <c r="AO151" s="122">
        <f t="shared" si="80"/>
        <v>19890</v>
      </c>
      <c r="AP151" s="122">
        <f t="shared" si="81"/>
        <v>28917</v>
      </c>
      <c r="AQ151" s="124">
        <f t="shared" si="82"/>
        <v>1900</v>
      </c>
      <c r="AR151" s="125">
        <f t="shared" si="83"/>
        <v>4000</v>
      </c>
      <c r="AS151" s="126">
        <f t="shared" si="84"/>
        <v>5900</v>
      </c>
      <c r="AT151" s="127">
        <f t="shared" si="85"/>
        <v>57171</v>
      </c>
      <c r="AU151" s="128">
        <f t="shared" si="86"/>
        <v>132600</v>
      </c>
      <c r="AV151" s="129">
        <f t="shared" si="87"/>
        <v>189771</v>
      </c>
      <c r="AX151" s="34">
        <f t="shared" si="61"/>
        <v>189771</v>
      </c>
    </row>
    <row r="152" spans="1:50" s="33" customFormat="1" ht="15" customHeight="1" x14ac:dyDescent="0.25">
      <c r="A152" s="113">
        <v>143</v>
      </c>
      <c r="B152" s="130" t="s">
        <v>190</v>
      </c>
      <c r="C152" s="131" t="s">
        <v>199</v>
      </c>
      <c r="D152" s="131" t="s">
        <v>199</v>
      </c>
      <c r="E152" s="116" t="s">
        <v>16</v>
      </c>
      <c r="F152" s="117">
        <v>150</v>
      </c>
      <c r="G152" s="117">
        <v>225</v>
      </c>
      <c r="H152" s="118">
        <v>26</v>
      </c>
      <c r="I152" s="118">
        <v>27.5</v>
      </c>
      <c r="J152" s="119" t="s">
        <v>23</v>
      </c>
      <c r="K152" s="119" t="s">
        <v>192</v>
      </c>
      <c r="L152" s="119" t="s">
        <v>48</v>
      </c>
      <c r="M152" s="121"/>
      <c r="N152" s="121"/>
      <c r="O152" s="121">
        <f t="shared" si="62"/>
        <v>0</v>
      </c>
      <c r="P152" s="122">
        <f t="shared" si="63"/>
        <v>0</v>
      </c>
      <c r="Q152" s="122">
        <f t="shared" si="64"/>
        <v>0</v>
      </c>
      <c r="R152" s="122">
        <f t="shared" si="65"/>
        <v>0</v>
      </c>
      <c r="S152" s="139">
        <v>1200</v>
      </c>
      <c r="T152" s="133">
        <v>2025</v>
      </c>
      <c r="U152" s="121">
        <f t="shared" si="66"/>
        <v>3225</v>
      </c>
      <c r="V152" s="122">
        <f t="shared" si="67"/>
        <v>31200</v>
      </c>
      <c r="W152" s="122">
        <f t="shared" si="68"/>
        <v>55687.5</v>
      </c>
      <c r="X152" s="122">
        <f t="shared" si="69"/>
        <v>86887.5</v>
      </c>
      <c r="Y152" s="139">
        <v>450</v>
      </c>
      <c r="Z152" s="139">
        <v>675</v>
      </c>
      <c r="AA152" s="121">
        <f t="shared" si="70"/>
        <v>1125</v>
      </c>
      <c r="AB152" s="122">
        <f t="shared" si="71"/>
        <v>11700</v>
      </c>
      <c r="AC152" s="122">
        <f t="shared" si="72"/>
        <v>18562.5</v>
      </c>
      <c r="AD152" s="122">
        <f t="shared" si="73"/>
        <v>30262.5</v>
      </c>
      <c r="AE152" s="133">
        <v>750</v>
      </c>
      <c r="AF152" s="133">
        <v>1125</v>
      </c>
      <c r="AG152" s="121">
        <f t="shared" si="74"/>
        <v>1875</v>
      </c>
      <c r="AH152" s="122">
        <f t="shared" si="75"/>
        <v>19500</v>
      </c>
      <c r="AI152" s="122">
        <f t="shared" si="76"/>
        <v>30937.5</v>
      </c>
      <c r="AJ152" s="122">
        <f t="shared" si="77"/>
        <v>50437.5</v>
      </c>
      <c r="AK152" s="133">
        <v>450</v>
      </c>
      <c r="AL152" s="133">
        <v>675</v>
      </c>
      <c r="AM152" s="121">
        <f t="shared" si="78"/>
        <v>1125</v>
      </c>
      <c r="AN152" s="122">
        <f t="shared" si="79"/>
        <v>11700</v>
      </c>
      <c r="AO152" s="122">
        <f t="shared" si="80"/>
        <v>18562.5</v>
      </c>
      <c r="AP152" s="122">
        <f t="shared" si="81"/>
        <v>30262.5</v>
      </c>
      <c r="AQ152" s="124">
        <f t="shared" si="82"/>
        <v>2850</v>
      </c>
      <c r="AR152" s="125">
        <f t="shared" si="83"/>
        <v>4500</v>
      </c>
      <c r="AS152" s="126">
        <f t="shared" si="84"/>
        <v>7350</v>
      </c>
      <c r="AT152" s="127">
        <f t="shared" si="85"/>
        <v>74100</v>
      </c>
      <c r="AU152" s="128">
        <f t="shared" si="86"/>
        <v>123750</v>
      </c>
      <c r="AV152" s="129">
        <f t="shared" si="87"/>
        <v>197850</v>
      </c>
      <c r="AX152" s="34">
        <f t="shared" si="61"/>
        <v>197850</v>
      </c>
    </row>
    <row r="153" spans="1:50" s="33" customFormat="1" ht="15" customHeight="1" x14ac:dyDescent="0.25">
      <c r="A153" s="113">
        <v>144</v>
      </c>
      <c r="B153" s="114" t="s">
        <v>190</v>
      </c>
      <c r="C153" s="115" t="s">
        <v>200</v>
      </c>
      <c r="D153" s="115" t="s">
        <v>200</v>
      </c>
      <c r="E153" s="116" t="s">
        <v>16</v>
      </c>
      <c r="F153" s="117">
        <v>125</v>
      </c>
      <c r="G153" s="117">
        <v>175</v>
      </c>
      <c r="H153" s="118">
        <v>30.09</v>
      </c>
      <c r="I153" s="118">
        <v>33.15</v>
      </c>
      <c r="J153" s="119" t="s">
        <v>17</v>
      </c>
      <c r="K153" s="120"/>
      <c r="L153" s="119" t="s">
        <v>18</v>
      </c>
      <c r="M153" s="121"/>
      <c r="N153" s="121"/>
      <c r="O153" s="121">
        <f t="shared" si="62"/>
        <v>0</v>
      </c>
      <c r="P153" s="122">
        <f t="shared" si="63"/>
        <v>0</v>
      </c>
      <c r="Q153" s="122">
        <f t="shared" si="64"/>
        <v>0</v>
      </c>
      <c r="R153" s="122">
        <f t="shared" si="65"/>
        <v>0</v>
      </c>
      <c r="S153" s="138">
        <v>1000</v>
      </c>
      <c r="T153" s="133">
        <v>1575</v>
      </c>
      <c r="U153" s="121">
        <f t="shared" si="66"/>
        <v>2575</v>
      </c>
      <c r="V153" s="122">
        <f t="shared" si="67"/>
        <v>30090</v>
      </c>
      <c r="W153" s="122">
        <f t="shared" si="68"/>
        <v>52211.25</v>
      </c>
      <c r="X153" s="122">
        <f t="shared" si="69"/>
        <v>82301.25</v>
      </c>
      <c r="Y153" s="133">
        <v>375</v>
      </c>
      <c r="Z153" s="133">
        <v>525</v>
      </c>
      <c r="AA153" s="121">
        <f t="shared" si="70"/>
        <v>900</v>
      </c>
      <c r="AB153" s="122">
        <f t="shared" si="71"/>
        <v>11283.75</v>
      </c>
      <c r="AC153" s="122">
        <f t="shared" si="72"/>
        <v>17403.75</v>
      </c>
      <c r="AD153" s="122">
        <f t="shared" si="73"/>
        <v>28687.5</v>
      </c>
      <c r="AE153" s="133">
        <v>625</v>
      </c>
      <c r="AF153" s="138">
        <v>849</v>
      </c>
      <c r="AG153" s="121">
        <f t="shared" si="74"/>
        <v>1474</v>
      </c>
      <c r="AH153" s="122">
        <f t="shared" si="75"/>
        <v>18806.25</v>
      </c>
      <c r="AI153" s="122">
        <f t="shared" si="76"/>
        <v>28144.35</v>
      </c>
      <c r="AJ153" s="122">
        <f t="shared" si="77"/>
        <v>46950.6</v>
      </c>
      <c r="AK153" s="133">
        <v>375</v>
      </c>
      <c r="AL153" s="133">
        <v>525</v>
      </c>
      <c r="AM153" s="121">
        <f t="shared" si="78"/>
        <v>900</v>
      </c>
      <c r="AN153" s="122">
        <f t="shared" si="79"/>
        <v>11283.75</v>
      </c>
      <c r="AO153" s="122">
        <f t="shared" si="80"/>
        <v>17403.75</v>
      </c>
      <c r="AP153" s="122">
        <f t="shared" si="81"/>
        <v>28687.5</v>
      </c>
      <c r="AQ153" s="124">
        <f t="shared" si="82"/>
        <v>2375</v>
      </c>
      <c r="AR153" s="125">
        <f t="shared" si="83"/>
        <v>3474</v>
      </c>
      <c r="AS153" s="126">
        <f t="shared" si="84"/>
        <v>5849</v>
      </c>
      <c r="AT153" s="127">
        <f t="shared" si="85"/>
        <v>71463.75</v>
      </c>
      <c r="AU153" s="128">
        <f t="shared" si="86"/>
        <v>115163.1</v>
      </c>
      <c r="AV153" s="129">
        <f t="shared" si="87"/>
        <v>186626.85</v>
      </c>
      <c r="AX153" s="34">
        <f t="shared" si="61"/>
        <v>186626.85</v>
      </c>
    </row>
    <row r="154" spans="1:50" s="33" customFormat="1" ht="12.75" customHeight="1" x14ac:dyDescent="0.25">
      <c r="A154" s="113">
        <v>145</v>
      </c>
      <c r="B154" s="130" t="s">
        <v>190</v>
      </c>
      <c r="C154" s="131" t="s">
        <v>201</v>
      </c>
      <c r="D154" s="131" t="s">
        <v>201</v>
      </c>
      <c r="E154" s="116" t="s">
        <v>32</v>
      </c>
      <c r="F154" s="117">
        <v>160</v>
      </c>
      <c r="G154" s="117">
        <v>210</v>
      </c>
      <c r="H154" s="118">
        <v>26</v>
      </c>
      <c r="I154" s="118">
        <v>27.5</v>
      </c>
      <c r="J154" s="119" t="s">
        <v>23</v>
      </c>
      <c r="K154" s="119" t="s">
        <v>192</v>
      </c>
      <c r="L154" s="119" t="s">
        <v>48</v>
      </c>
      <c r="M154" s="121"/>
      <c r="N154" s="121"/>
      <c r="O154" s="121">
        <f t="shared" si="62"/>
        <v>0</v>
      </c>
      <c r="P154" s="122">
        <f t="shared" si="63"/>
        <v>0</v>
      </c>
      <c r="Q154" s="122">
        <f t="shared" si="64"/>
        <v>0</v>
      </c>
      <c r="R154" s="122">
        <f t="shared" si="65"/>
        <v>0</v>
      </c>
      <c r="S154" s="133">
        <v>1440</v>
      </c>
      <c r="T154" s="133">
        <v>1890</v>
      </c>
      <c r="U154" s="121">
        <f t="shared" si="66"/>
        <v>3330</v>
      </c>
      <c r="V154" s="122">
        <f t="shared" si="67"/>
        <v>37440</v>
      </c>
      <c r="W154" s="122">
        <f t="shared" si="68"/>
        <v>51975</v>
      </c>
      <c r="X154" s="122">
        <f t="shared" si="69"/>
        <v>89415</v>
      </c>
      <c r="Y154" s="133">
        <v>480</v>
      </c>
      <c r="Z154" s="133">
        <v>630</v>
      </c>
      <c r="AA154" s="121">
        <f t="shared" si="70"/>
        <v>1110</v>
      </c>
      <c r="AB154" s="122">
        <f t="shared" si="71"/>
        <v>12480</v>
      </c>
      <c r="AC154" s="122">
        <f t="shared" si="72"/>
        <v>17325</v>
      </c>
      <c r="AD154" s="122">
        <f t="shared" si="73"/>
        <v>29805</v>
      </c>
      <c r="AE154" s="133">
        <v>800</v>
      </c>
      <c r="AF154" s="133">
        <v>1050</v>
      </c>
      <c r="AG154" s="121">
        <f t="shared" si="74"/>
        <v>1850</v>
      </c>
      <c r="AH154" s="122">
        <f t="shared" si="75"/>
        <v>20800</v>
      </c>
      <c r="AI154" s="122">
        <f t="shared" si="76"/>
        <v>28875</v>
      </c>
      <c r="AJ154" s="122">
        <f t="shared" si="77"/>
        <v>49675</v>
      </c>
      <c r="AK154" s="133">
        <v>480</v>
      </c>
      <c r="AL154" s="133">
        <v>630</v>
      </c>
      <c r="AM154" s="121">
        <f t="shared" si="78"/>
        <v>1110</v>
      </c>
      <c r="AN154" s="122">
        <f t="shared" si="79"/>
        <v>12480</v>
      </c>
      <c r="AO154" s="122">
        <f t="shared" si="80"/>
        <v>17325</v>
      </c>
      <c r="AP154" s="122">
        <f t="shared" si="81"/>
        <v>29805</v>
      </c>
      <c r="AQ154" s="124">
        <f t="shared" si="82"/>
        <v>3200</v>
      </c>
      <c r="AR154" s="125">
        <f t="shared" si="83"/>
        <v>4200</v>
      </c>
      <c r="AS154" s="126">
        <f t="shared" si="84"/>
        <v>7400</v>
      </c>
      <c r="AT154" s="127">
        <f t="shared" si="85"/>
        <v>83200</v>
      </c>
      <c r="AU154" s="128">
        <f t="shared" si="86"/>
        <v>115500</v>
      </c>
      <c r="AV154" s="129">
        <f t="shared" si="87"/>
        <v>198700</v>
      </c>
      <c r="AX154" s="34">
        <f t="shared" si="61"/>
        <v>198700</v>
      </c>
    </row>
    <row r="155" spans="1:50" s="33" customFormat="1" ht="12.75" customHeight="1" x14ac:dyDescent="0.25">
      <c r="A155" s="113">
        <v>146</v>
      </c>
      <c r="B155" s="114" t="s">
        <v>190</v>
      </c>
      <c r="C155" s="115" t="s">
        <v>202</v>
      </c>
      <c r="D155" s="115" t="s">
        <v>202</v>
      </c>
      <c r="E155" s="116" t="s">
        <v>16</v>
      </c>
      <c r="F155" s="117">
        <v>100</v>
      </c>
      <c r="G155" s="117">
        <v>150</v>
      </c>
      <c r="H155" s="118">
        <v>30.09</v>
      </c>
      <c r="I155" s="118">
        <v>33.15</v>
      </c>
      <c r="J155" s="119" t="s">
        <v>17</v>
      </c>
      <c r="K155" s="120"/>
      <c r="L155" s="119" t="s">
        <v>18</v>
      </c>
      <c r="M155" s="121"/>
      <c r="N155" s="121"/>
      <c r="O155" s="121">
        <f t="shared" si="62"/>
        <v>0</v>
      </c>
      <c r="P155" s="122">
        <f t="shared" si="63"/>
        <v>0</v>
      </c>
      <c r="Q155" s="122">
        <f t="shared" si="64"/>
        <v>0</v>
      </c>
      <c r="R155" s="122">
        <f t="shared" si="65"/>
        <v>0</v>
      </c>
      <c r="S155" s="138">
        <v>800</v>
      </c>
      <c r="T155" s="133">
        <v>1350</v>
      </c>
      <c r="U155" s="121">
        <f t="shared" si="66"/>
        <v>2150</v>
      </c>
      <c r="V155" s="122">
        <f t="shared" si="67"/>
        <v>24072</v>
      </c>
      <c r="W155" s="122">
        <f t="shared" si="68"/>
        <v>44752.5</v>
      </c>
      <c r="X155" s="122">
        <f t="shared" si="69"/>
        <v>68824.5</v>
      </c>
      <c r="Y155" s="133">
        <v>300</v>
      </c>
      <c r="Z155" s="133">
        <v>450</v>
      </c>
      <c r="AA155" s="121">
        <f t="shared" si="70"/>
        <v>750</v>
      </c>
      <c r="AB155" s="122">
        <f t="shared" si="71"/>
        <v>9027</v>
      </c>
      <c r="AC155" s="122">
        <f t="shared" si="72"/>
        <v>14917.5</v>
      </c>
      <c r="AD155" s="122">
        <f t="shared" si="73"/>
        <v>23944.5</v>
      </c>
      <c r="AE155" s="133">
        <v>500</v>
      </c>
      <c r="AF155" s="133">
        <v>750</v>
      </c>
      <c r="AG155" s="121">
        <f t="shared" si="74"/>
        <v>1250</v>
      </c>
      <c r="AH155" s="122">
        <f t="shared" si="75"/>
        <v>15045</v>
      </c>
      <c r="AI155" s="122">
        <f t="shared" si="76"/>
        <v>24862.5</v>
      </c>
      <c r="AJ155" s="122">
        <f t="shared" si="77"/>
        <v>39907.5</v>
      </c>
      <c r="AK155" s="133">
        <v>300</v>
      </c>
      <c r="AL155" s="139">
        <v>450</v>
      </c>
      <c r="AM155" s="121">
        <f t="shared" si="78"/>
        <v>750</v>
      </c>
      <c r="AN155" s="122">
        <f t="shared" si="79"/>
        <v>9027</v>
      </c>
      <c r="AO155" s="122">
        <f t="shared" si="80"/>
        <v>14917.5</v>
      </c>
      <c r="AP155" s="122">
        <f t="shared" si="81"/>
        <v>23944.5</v>
      </c>
      <c r="AQ155" s="124">
        <f t="shared" si="82"/>
        <v>1900</v>
      </c>
      <c r="AR155" s="125">
        <f t="shared" si="83"/>
        <v>3000</v>
      </c>
      <c r="AS155" s="126">
        <f t="shared" si="84"/>
        <v>4900</v>
      </c>
      <c r="AT155" s="127">
        <f t="shared" si="85"/>
        <v>57171</v>
      </c>
      <c r="AU155" s="128">
        <f t="shared" si="86"/>
        <v>99450</v>
      </c>
      <c r="AV155" s="129">
        <f t="shared" si="87"/>
        <v>156621</v>
      </c>
      <c r="AX155" s="34">
        <f t="shared" si="61"/>
        <v>156621</v>
      </c>
    </row>
    <row r="156" spans="1:50" s="33" customFormat="1" ht="12.75" customHeight="1" x14ac:dyDescent="0.25">
      <c r="A156" s="113">
        <v>147</v>
      </c>
      <c r="B156" s="114" t="s">
        <v>190</v>
      </c>
      <c r="C156" s="115" t="s">
        <v>203</v>
      </c>
      <c r="D156" s="115" t="s">
        <v>203</v>
      </c>
      <c r="E156" s="116" t="s">
        <v>16</v>
      </c>
      <c r="F156" s="117">
        <v>100</v>
      </c>
      <c r="G156" s="117">
        <v>200</v>
      </c>
      <c r="H156" s="118">
        <v>30.09</v>
      </c>
      <c r="I156" s="118">
        <v>33.15</v>
      </c>
      <c r="J156" s="119" t="s">
        <v>17</v>
      </c>
      <c r="K156" s="120"/>
      <c r="L156" s="119" t="s">
        <v>18</v>
      </c>
      <c r="M156" s="121"/>
      <c r="N156" s="121"/>
      <c r="O156" s="121">
        <f t="shared" si="62"/>
        <v>0</v>
      </c>
      <c r="P156" s="122">
        <f t="shared" si="63"/>
        <v>0</v>
      </c>
      <c r="Q156" s="122">
        <f t="shared" si="64"/>
        <v>0</v>
      </c>
      <c r="R156" s="122">
        <f t="shared" si="65"/>
        <v>0</v>
      </c>
      <c r="S156" s="133">
        <v>700</v>
      </c>
      <c r="T156" s="133">
        <v>1600</v>
      </c>
      <c r="U156" s="121">
        <f t="shared" si="66"/>
        <v>2300</v>
      </c>
      <c r="V156" s="122">
        <f t="shared" si="67"/>
        <v>21063</v>
      </c>
      <c r="W156" s="122">
        <f t="shared" si="68"/>
        <v>53040</v>
      </c>
      <c r="X156" s="122">
        <f t="shared" si="69"/>
        <v>74103</v>
      </c>
      <c r="Y156" s="133">
        <v>300</v>
      </c>
      <c r="Z156" s="133">
        <v>600</v>
      </c>
      <c r="AA156" s="121">
        <f t="shared" si="70"/>
        <v>900</v>
      </c>
      <c r="AB156" s="122">
        <f t="shared" si="71"/>
        <v>9027</v>
      </c>
      <c r="AC156" s="122">
        <f t="shared" si="72"/>
        <v>19890</v>
      </c>
      <c r="AD156" s="122">
        <f t="shared" si="73"/>
        <v>28917</v>
      </c>
      <c r="AE156" s="133">
        <v>500</v>
      </c>
      <c r="AF156" s="138">
        <v>951</v>
      </c>
      <c r="AG156" s="121">
        <f t="shared" si="74"/>
        <v>1451</v>
      </c>
      <c r="AH156" s="122">
        <f t="shared" si="75"/>
        <v>15045</v>
      </c>
      <c r="AI156" s="122">
        <f t="shared" si="76"/>
        <v>31525.649999999998</v>
      </c>
      <c r="AJ156" s="122">
        <f t="shared" si="77"/>
        <v>46570.649999999994</v>
      </c>
      <c r="AK156" s="133">
        <v>300</v>
      </c>
      <c r="AL156" s="138">
        <v>549</v>
      </c>
      <c r="AM156" s="121">
        <f t="shared" si="78"/>
        <v>849</v>
      </c>
      <c r="AN156" s="122">
        <f t="shared" si="79"/>
        <v>9027</v>
      </c>
      <c r="AO156" s="122">
        <f t="shared" si="80"/>
        <v>18199.349999999999</v>
      </c>
      <c r="AP156" s="122">
        <f t="shared" si="81"/>
        <v>27226.35</v>
      </c>
      <c r="AQ156" s="124">
        <f t="shared" si="82"/>
        <v>1800</v>
      </c>
      <c r="AR156" s="125">
        <f t="shared" si="83"/>
        <v>3700</v>
      </c>
      <c r="AS156" s="126">
        <f t="shared" si="84"/>
        <v>5500</v>
      </c>
      <c r="AT156" s="127">
        <f t="shared" si="85"/>
        <v>54162</v>
      </c>
      <c r="AU156" s="128">
        <f t="shared" si="86"/>
        <v>122655</v>
      </c>
      <c r="AV156" s="129">
        <f t="shared" si="87"/>
        <v>176817</v>
      </c>
      <c r="AX156" s="34">
        <f t="shared" si="61"/>
        <v>176817</v>
      </c>
    </row>
    <row r="157" spans="1:50" s="33" customFormat="1" ht="12.75" customHeight="1" x14ac:dyDescent="0.25">
      <c r="A157" s="113">
        <v>148</v>
      </c>
      <c r="B157" s="130" t="s">
        <v>204</v>
      </c>
      <c r="C157" s="131" t="s">
        <v>205</v>
      </c>
      <c r="D157" s="131" t="s">
        <v>205</v>
      </c>
      <c r="E157" s="116" t="s">
        <v>16</v>
      </c>
      <c r="F157" s="117">
        <v>70</v>
      </c>
      <c r="G157" s="117">
        <v>85</v>
      </c>
      <c r="H157" s="118">
        <v>33.04</v>
      </c>
      <c r="I157" s="118">
        <v>36.4</v>
      </c>
      <c r="J157" s="119" t="s">
        <v>17</v>
      </c>
      <c r="K157" s="120" t="s">
        <v>155</v>
      </c>
      <c r="L157" s="119" t="s">
        <v>18</v>
      </c>
      <c r="M157" s="121"/>
      <c r="N157" s="121"/>
      <c r="O157" s="121">
        <f t="shared" si="62"/>
        <v>0</v>
      </c>
      <c r="P157" s="122">
        <f t="shared" si="63"/>
        <v>0</v>
      </c>
      <c r="Q157" s="122">
        <f t="shared" si="64"/>
        <v>0</v>
      </c>
      <c r="R157" s="122">
        <f t="shared" si="65"/>
        <v>0</v>
      </c>
      <c r="S157" s="133">
        <v>630</v>
      </c>
      <c r="T157" s="133">
        <v>765</v>
      </c>
      <c r="U157" s="121">
        <f t="shared" si="66"/>
        <v>1395</v>
      </c>
      <c r="V157" s="122">
        <f t="shared" si="67"/>
        <v>20815.2</v>
      </c>
      <c r="W157" s="122">
        <f t="shared" si="68"/>
        <v>27846</v>
      </c>
      <c r="X157" s="122">
        <f t="shared" si="69"/>
        <v>48661.2</v>
      </c>
      <c r="Y157" s="133">
        <v>210</v>
      </c>
      <c r="Z157" s="133">
        <v>255</v>
      </c>
      <c r="AA157" s="121">
        <f t="shared" si="70"/>
        <v>465</v>
      </c>
      <c r="AB157" s="122">
        <f t="shared" si="71"/>
        <v>6938.4</v>
      </c>
      <c r="AC157" s="122">
        <f t="shared" si="72"/>
        <v>9282</v>
      </c>
      <c r="AD157" s="122">
        <f t="shared" si="73"/>
        <v>16220.4</v>
      </c>
      <c r="AE157" s="133">
        <v>350</v>
      </c>
      <c r="AF157" s="139">
        <v>425</v>
      </c>
      <c r="AG157" s="121">
        <f t="shared" si="74"/>
        <v>775</v>
      </c>
      <c r="AH157" s="122">
        <f t="shared" si="75"/>
        <v>11564</v>
      </c>
      <c r="AI157" s="122">
        <f t="shared" si="76"/>
        <v>15470</v>
      </c>
      <c r="AJ157" s="122">
        <f t="shared" si="77"/>
        <v>27034</v>
      </c>
      <c r="AK157" s="133">
        <v>195</v>
      </c>
      <c r="AL157" s="133">
        <v>255</v>
      </c>
      <c r="AM157" s="121">
        <f t="shared" si="78"/>
        <v>450</v>
      </c>
      <c r="AN157" s="122">
        <f t="shared" si="79"/>
        <v>6442.8</v>
      </c>
      <c r="AO157" s="122">
        <f t="shared" si="80"/>
        <v>9282</v>
      </c>
      <c r="AP157" s="122">
        <f t="shared" si="81"/>
        <v>15724.8</v>
      </c>
      <c r="AQ157" s="124">
        <f t="shared" si="82"/>
        <v>1385</v>
      </c>
      <c r="AR157" s="125">
        <f t="shared" si="83"/>
        <v>1700</v>
      </c>
      <c r="AS157" s="126">
        <f t="shared" si="84"/>
        <v>3085</v>
      </c>
      <c r="AT157" s="127">
        <f t="shared" si="85"/>
        <v>45760.4</v>
      </c>
      <c r="AU157" s="128">
        <f t="shared" si="86"/>
        <v>61880</v>
      </c>
      <c r="AV157" s="129">
        <f t="shared" si="87"/>
        <v>107640.4</v>
      </c>
      <c r="AX157" s="34">
        <f t="shared" si="61"/>
        <v>107640.40000000001</v>
      </c>
    </row>
    <row r="158" spans="1:50" s="33" customFormat="1" ht="12.75" customHeight="1" x14ac:dyDescent="0.25">
      <c r="A158" s="113">
        <v>149</v>
      </c>
      <c r="B158" s="130" t="s">
        <v>204</v>
      </c>
      <c r="C158" s="130" t="s">
        <v>204</v>
      </c>
      <c r="D158" s="130" t="s">
        <v>204</v>
      </c>
      <c r="E158" s="116" t="s">
        <v>41</v>
      </c>
      <c r="F158" s="117">
        <v>150</v>
      </c>
      <c r="G158" s="117">
        <v>200</v>
      </c>
      <c r="H158" s="118">
        <v>33.04</v>
      </c>
      <c r="I158" s="118">
        <v>36.4</v>
      </c>
      <c r="J158" s="119" t="s">
        <v>17</v>
      </c>
      <c r="K158" s="120" t="s">
        <v>155</v>
      </c>
      <c r="L158" s="119" t="s">
        <v>18</v>
      </c>
      <c r="M158" s="121"/>
      <c r="N158" s="121"/>
      <c r="O158" s="121">
        <f t="shared" si="62"/>
        <v>0</v>
      </c>
      <c r="P158" s="122">
        <f t="shared" si="63"/>
        <v>0</v>
      </c>
      <c r="Q158" s="122">
        <f t="shared" si="64"/>
        <v>0</v>
      </c>
      <c r="R158" s="122">
        <f t="shared" si="65"/>
        <v>0</v>
      </c>
      <c r="S158" s="133">
        <v>630</v>
      </c>
      <c r="T158" s="133">
        <v>900</v>
      </c>
      <c r="U158" s="121">
        <f t="shared" si="66"/>
        <v>1530</v>
      </c>
      <c r="V158" s="122">
        <f t="shared" si="67"/>
        <v>20815.2</v>
      </c>
      <c r="W158" s="122">
        <f t="shared" si="68"/>
        <v>32760</v>
      </c>
      <c r="X158" s="122">
        <f t="shared" si="69"/>
        <v>53575.199999999997</v>
      </c>
      <c r="Y158" s="133">
        <v>210</v>
      </c>
      <c r="Z158" s="133">
        <v>300</v>
      </c>
      <c r="AA158" s="121">
        <f t="shared" si="70"/>
        <v>510</v>
      </c>
      <c r="AB158" s="122">
        <f t="shared" si="71"/>
        <v>6938.4</v>
      </c>
      <c r="AC158" s="122">
        <f t="shared" si="72"/>
        <v>10920</v>
      </c>
      <c r="AD158" s="122">
        <f t="shared" si="73"/>
        <v>17858.400000000001</v>
      </c>
      <c r="AE158" s="133">
        <v>350</v>
      </c>
      <c r="AF158" s="133">
        <v>500</v>
      </c>
      <c r="AG158" s="121">
        <f t="shared" si="74"/>
        <v>850</v>
      </c>
      <c r="AH158" s="122">
        <f t="shared" si="75"/>
        <v>11564</v>
      </c>
      <c r="AI158" s="122">
        <f t="shared" si="76"/>
        <v>18200</v>
      </c>
      <c r="AJ158" s="122">
        <f t="shared" si="77"/>
        <v>29764</v>
      </c>
      <c r="AK158" s="133">
        <v>210</v>
      </c>
      <c r="AL158" s="133">
        <v>300</v>
      </c>
      <c r="AM158" s="121">
        <f t="shared" si="78"/>
        <v>510</v>
      </c>
      <c r="AN158" s="122">
        <f t="shared" si="79"/>
        <v>6938.4</v>
      </c>
      <c r="AO158" s="122">
        <f t="shared" si="80"/>
        <v>10920</v>
      </c>
      <c r="AP158" s="122">
        <f t="shared" si="81"/>
        <v>17858.400000000001</v>
      </c>
      <c r="AQ158" s="124">
        <f t="shared" si="82"/>
        <v>1400</v>
      </c>
      <c r="AR158" s="125">
        <f t="shared" si="83"/>
        <v>2000</v>
      </c>
      <c r="AS158" s="126">
        <f t="shared" si="84"/>
        <v>3400</v>
      </c>
      <c r="AT158" s="127">
        <f t="shared" si="85"/>
        <v>46256</v>
      </c>
      <c r="AU158" s="128">
        <f t="shared" si="86"/>
        <v>72800</v>
      </c>
      <c r="AV158" s="129">
        <f t="shared" si="87"/>
        <v>119056</v>
      </c>
      <c r="AX158" s="34">
        <f t="shared" si="61"/>
        <v>119056</v>
      </c>
    </row>
    <row r="159" spans="1:50" s="33" customFormat="1" ht="12.75" customHeight="1" x14ac:dyDescent="0.25">
      <c r="A159" s="113">
        <v>150</v>
      </c>
      <c r="B159" s="130" t="s">
        <v>206</v>
      </c>
      <c r="C159" s="131" t="s">
        <v>207</v>
      </c>
      <c r="D159" s="131" t="s">
        <v>207</v>
      </c>
      <c r="E159" s="116" t="s">
        <v>16</v>
      </c>
      <c r="F159" s="117">
        <v>200</v>
      </c>
      <c r="G159" s="117">
        <v>250</v>
      </c>
      <c r="H159" s="118">
        <v>31.86</v>
      </c>
      <c r="I159" s="118">
        <v>35.1</v>
      </c>
      <c r="J159" s="119" t="s">
        <v>17</v>
      </c>
      <c r="K159" s="120" t="s">
        <v>169</v>
      </c>
      <c r="L159" s="119" t="s">
        <v>18</v>
      </c>
      <c r="M159" s="121"/>
      <c r="N159" s="121"/>
      <c r="O159" s="121">
        <f t="shared" si="62"/>
        <v>0</v>
      </c>
      <c r="P159" s="122">
        <f t="shared" si="63"/>
        <v>0</v>
      </c>
      <c r="Q159" s="122">
        <f t="shared" si="64"/>
        <v>0</v>
      </c>
      <c r="R159" s="122">
        <f t="shared" si="65"/>
        <v>0</v>
      </c>
      <c r="S159" s="133">
        <v>1800</v>
      </c>
      <c r="T159" s="133">
        <v>2250</v>
      </c>
      <c r="U159" s="121">
        <f t="shared" si="66"/>
        <v>4050</v>
      </c>
      <c r="V159" s="122">
        <f t="shared" si="67"/>
        <v>57348</v>
      </c>
      <c r="W159" s="122">
        <f t="shared" si="68"/>
        <v>78975</v>
      </c>
      <c r="X159" s="122">
        <f t="shared" si="69"/>
        <v>136323</v>
      </c>
      <c r="Y159" s="139">
        <v>600</v>
      </c>
      <c r="Z159" s="139">
        <v>750</v>
      </c>
      <c r="AA159" s="121">
        <f t="shared" si="70"/>
        <v>1350</v>
      </c>
      <c r="AB159" s="122">
        <f t="shared" si="71"/>
        <v>19116</v>
      </c>
      <c r="AC159" s="122">
        <f t="shared" si="72"/>
        <v>26325</v>
      </c>
      <c r="AD159" s="122">
        <f t="shared" si="73"/>
        <v>45441</v>
      </c>
      <c r="AE159" s="133">
        <v>1000</v>
      </c>
      <c r="AF159" s="139">
        <v>1250</v>
      </c>
      <c r="AG159" s="121">
        <f t="shared" si="74"/>
        <v>2250</v>
      </c>
      <c r="AH159" s="122">
        <f t="shared" si="75"/>
        <v>31860</v>
      </c>
      <c r="AI159" s="122">
        <f t="shared" si="76"/>
        <v>43875</v>
      </c>
      <c r="AJ159" s="122">
        <f t="shared" si="77"/>
        <v>75735</v>
      </c>
      <c r="AK159" s="139">
        <v>600</v>
      </c>
      <c r="AL159" s="139">
        <v>750</v>
      </c>
      <c r="AM159" s="121">
        <f t="shared" si="78"/>
        <v>1350</v>
      </c>
      <c r="AN159" s="122">
        <f t="shared" si="79"/>
        <v>19116</v>
      </c>
      <c r="AO159" s="122">
        <f t="shared" si="80"/>
        <v>26325</v>
      </c>
      <c r="AP159" s="122">
        <f t="shared" si="81"/>
        <v>45441</v>
      </c>
      <c r="AQ159" s="124">
        <f t="shared" si="82"/>
        <v>4000</v>
      </c>
      <c r="AR159" s="125">
        <f t="shared" si="83"/>
        <v>5000</v>
      </c>
      <c r="AS159" s="126">
        <f t="shared" si="84"/>
        <v>9000</v>
      </c>
      <c r="AT159" s="127">
        <f t="shared" si="85"/>
        <v>127440</v>
      </c>
      <c r="AU159" s="128">
        <f t="shared" si="86"/>
        <v>175500</v>
      </c>
      <c r="AV159" s="129">
        <f t="shared" si="87"/>
        <v>302940</v>
      </c>
      <c r="AX159" s="34">
        <f t="shared" si="61"/>
        <v>302940</v>
      </c>
    </row>
    <row r="160" spans="1:50" s="33" customFormat="1" ht="12.75" customHeight="1" x14ac:dyDescent="0.25">
      <c r="A160" s="113">
        <v>151</v>
      </c>
      <c r="B160" s="114" t="s">
        <v>206</v>
      </c>
      <c r="C160" s="115" t="s">
        <v>208</v>
      </c>
      <c r="D160" s="115" t="s">
        <v>208</v>
      </c>
      <c r="E160" s="116" t="s">
        <v>16</v>
      </c>
      <c r="F160" s="117">
        <v>150</v>
      </c>
      <c r="G160" s="117">
        <v>250</v>
      </c>
      <c r="H160" s="118">
        <v>31.86</v>
      </c>
      <c r="I160" s="118">
        <v>35.1</v>
      </c>
      <c r="J160" s="119" t="s">
        <v>17</v>
      </c>
      <c r="K160" s="120" t="s">
        <v>169</v>
      </c>
      <c r="L160" s="119" t="s">
        <v>18</v>
      </c>
      <c r="M160" s="121"/>
      <c r="N160" s="121"/>
      <c r="O160" s="121">
        <f t="shared" si="62"/>
        <v>0</v>
      </c>
      <c r="P160" s="122">
        <f t="shared" si="63"/>
        <v>0</v>
      </c>
      <c r="Q160" s="122">
        <f t="shared" si="64"/>
        <v>0</v>
      </c>
      <c r="R160" s="122">
        <f t="shared" si="65"/>
        <v>0</v>
      </c>
      <c r="S160" s="138">
        <v>1200</v>
      </c>
      <c r="T160" s="138">
        <v>1983</v>
      </c>
      <c r="U160" s="121">
        <f t="shared" si="66"/>
        <v>3183</v>
      </c>
      <c r="V160" s="122">
        <f t="shared" si="67"/>
        <v>38232</v>
      </c>
      <c r="W160" s="122">
        <f t="shared" si="68"/>
        <v>69603.3</v>
      </c>
      <c r="X160" s="122">
        <f t="shared" si="69"/>
        <v>107835.3</v>
      </c>
      <c r="Y160" s="133">
        <v>450</v>
      </c>
      <c r="Z160" s="133">
        <v>750</v>
      </c>
      <c r="AA160" s="121">
        <f t="shared" si="70"/>
        <v>1200</v>
      </c>
      <c r="AB160" s="122">
        <f t="shared" si="71"/>
        <v>14337</v>
      </c>
      <c r="AC160" s="122">
        <f t="shared" si="72"/>
        <v>26325</v>
      </c>
      <c r="AD160" s="122">
        <f t="shared" si="73"/>
        <v>40662</v>
      </c>
      <c r="AE160" s="139">
        <v>750</v>
      </c>
      <c r="AF160" s="133">
        <v>1250</v>
      </c>
      <c r="AG160" s="121">
        <f t="shared" si="74"/>
        <v>2000</v>
      </c>
      <c r="AH160" s="122">
        <f t="shared" si="75"/>
        <v>23895</v>
      </c>
      <c r="AI160" s="122">
        <f t="shared" si="76"/>
        <v>43875</v>
      </c>
      <c r="AJ160" s="122">
        <f t="shared" si="77"/>
        <v>67770</v>
      </c>
      <c r="AK160" s="139">
        <v>450</v>
      </c>
      <c r="AL160" s="139">
        <v>750</v>
      </c>
      <c r="AM160" s="121">
        <f t="shared" si="78"/>
        <v>1200</v>
      </c>
      <c r="AN160" s="122">
        <f t="shared" si="79"/>
        <v>14337</v>
      </c>
      <c r="AO160" s="122">
        <f t="shared" si="80"/>
        <v>26325</v>
      </c>
      <c r="AP160" s="122">
        <f t="shared" si="81"/>
        <v>40662</v>
      </c>
      <c r="AQ160" s="124">
        <f t="shared" si="82"/>
        <v>2850</v>
      </c>
      <c r="AR160" s="125">
        <f t="shared" si="83"/>
        <v>4733</v>
      </c>
      <c r="AS160" s="126">
        <f t="shared" si="84"/>
        <v>7583</v>
      </c>
      <c r="AT160" s="127">
        <f t="shared" si="85"/>
        <v>90801</v>
      </c>
      <c r="AU160" s="128">
        <f t="shared" si="86"/>
        <v>166128.29999999999</v>
      </c>
      <c r="AV160" s="129">
        <f t="shared" si="87"/>
        <v>256929.3</v>
      </c>
      <c r="AX160" s="34">
        <f t="shared" si="61"/>
        <v>256929.3</v>
      </c>
    </row>
    <row r="161" spans="1:69" s="33" customFormat="1" ht="12.75" customHeight="1" x14ac:dyDescent="0.25">
      <c r="A161" s="113">
        <v>152</v>
      </c>
      <c r="B161" s="114" t="s">
        <v>206</v>
      </c>
      <c r="C161" s="115" t="s">
        <v>209</v>
      </c>
      <c r="D161" s="115" t="s">
        <v>209</v>
      </c>
      <c r="E161" s="116" t="s">
        <v>16</v>
      </c>
      <c r="F161" s="117">
        <v>125</v>
      </c>
      <c r="G161" s="117">
        <v>200</v>
      </c>
      <c r="H161" s="118">
        <v>31.86</v>
      </c>
      <c r="I161" s="118">
        <v>35.1</v>
      </c>
      <c r="J161" s="119" t="s">
        <v>17</v>
      </c>
      <c r="K161" s="120" t="s">
        <v>169</v>
      </c>
      <c r="L161" s="119" t="s">
        <v>18</v>
      </c>
      <c r="M161" s="121"/>
      <c r="N161" s="121"/>
      <c r="O161" s="121">
        <f t="shared" si="62"/>
        <v>0</v>
      </c>
      <c r="P161" s="122">
        <f t="shared" si="63"/>
        <v>0</v>
      </c>
      <c r="Q161" s="122">
        <f t="shared" si="64"/>
        <v>0</v>
      </c>
      <c r="R161" s="122">
        <f t="shared" si="65"/>
        <v>0</v>
      </c>
      <c r="S161" s="138">
        <v>1100</v>
      </c>
      <c r="T161" s="133">
        <v>1600</v>
      </c>
      <c r="U161" s="121">
        <f t="shared" si="66"/>
        <v>2700</v>
      </c>
      <c r="V161" s="122">
        <f t="shared" si="67"/>
        <v>35046</v>
      </c>
      <c r="W161" s="122">
        <f t="shared" si="68"/>
        <v>56160</v>
      </c>
      <c r="X161" s="122">
        <f t="shared" si="69"/>
        <v>91206</v>
      </c>
      <c r="Y161" s="133">
        <v>375</v>
      </c>
      <c r="Z161" s="133">
        <v>600</v>
      </c>
      <c r="AA161" s="121">
        <f t="shared" si="70"/>
        <v>975</v>
      </c>
      <c r="AB161" s="122">
        <f t="shared" si="71"/>
        <v>11947.5</v>
      </c>
      <c r="AC161" s="122">
        <f t="shared" si="72"/>
        <v>21060</v>
      </c>
      <c r="AD161" s="122">
        <f t="shared" si="73"/>
        <v>33007.5</v>
      </c>
      <c r="AE161" s="133">
        <v>625</v>
      </c>
      <c r="AF161" s="133">
        <v>1000</v>
      </c>
      <c r="AG161" s="121">
        <f t="shared" si="74"/>
        <v>1625</v>
      </c>
      <c r="AH161" s="122">
        <f t="shared" si="75"/>
        <v>19912.5</v>
      </c>
      <c r="AI161" s="122">
        <f t="shared" si="76"/>
        <v>35100</v>
      </c>
      <c r="AJ161" s="122">
        <f t="shared" si="77"/>
        <v>55012.5</v>
      </c>
      <c r="AK161" s="133">
        <v>375</v>
      </c>
      <c r="AL161" s="133">
        <v>600</v>
      </c>
      <c r="AM161" s="121">
        <f t="shared" si="78"/>
        <v>975</v>
      </c>
      <c r="AN161" s="122">
        <f t="shared" si="79"/>
        <v>11947.5</v>
      </c>
      <c r="AO161" s="122">
        <f t="shared" si="80"/>
        <v>21060</v>
      </c>
      <c r="AP161" s="122">
        <f t="shared" si="81"/>
        <v>33007.5</v>
      </c>
      <c r="AQ161" s="124">
        <f t="shared" si="82"/>
        <v>2475</v>
      </c>
      <c r="AR161" s="125">
        <f t="shared" si="83"/>
        <v>3800</v>
      </c>
      <c r="AS161" s="126">
        <f t="shared" si="84"/>
        <v>6275</v>
      </c>
      <c r="AT161" s="127">
        <f t="shared" si="85"/>
        <v>78853.5</v>
      </c>
      <c r="AU161" s="128">
        <f t="shared" si="86"/>
        <v>133380</v>
      </c>
      <c r="AV161" s="129">
        <f t="shared" si="87"/>
        <v>212233.5</v>
      </c>
      <c r="AX161" s="34">
        <f t="shared" si="61"/>
        <v>212233.5</v>
      </c>
    </row>
    <row r="162" spans="1:69" s="33" customFormat="1" ht="12.75" customHeight="1" x14ac:dyDescent="0.25">
      <c r="A162" s="113">
        <v>153</v>
      </c>
      <c r="B162" s="130" t="s">
        <v>206</v>
      </c>
      <c r="C162" s="131" t="s">
        <v>210</v>
      </c>
      <c r="D162" s="131" t="s">
        <v>210</v>
      </c>
      <c r="E162" s="116" t="s">
        <v>16</v>
      </c>
      <c r="F162" s="117">
        <v>75</v>
      </c>
      <c r="G162" s="117">
        <v>100</v>
      </c>
      <c r="H162" s="118">
        <v>31.86</v>
      </c>
      <c r="I162" s="118">
        <v>35.1</v>
      </c>
      <c r="J162" s="119" t="s">
        <v>17</v>
      </c>
      <c r="K162" s="120" t="s">
        <v>169</v>
      </c>
      <c r="L162" s="119" t="s">
        <v>18</v>
      </c>
      <c r="M162" s="121"/>
      <c r="N162" s="121"/>
      <c r="O162" s="121">
        <f t="shared" si="62"/>
        <v>0</v>
      </c>
      <c r="P162" s="122">
        <f t="shared" si="63"/>
        <v>0</v>
      </c>
      <c r="Q162" s="122">
        <f t="shared" si="64"/>
        <v>0</v>
      </c>
      <c r="R162" s="122">
        <f t="shared" si="65"/>
        <v>0</v>
      </c>
      <c r="S162" s="133">
        <v>675</v>
      </c>
      <c r="T162" s="133">
        <v>1125</v>
      </c>
      <c r="U162" s="121">
        <f t="shared" si="66"/>
        <v>1800</v>
      </c>
      <c r="V162" s="122">
        <f t="shared" si="67"/>
        <v>21505.5</v>
      </c>
      <c r="W162" s="122">
        <f t="shared" si="68"/>
        <v>39487.5</v>
      </c>
      <c r="X162" s="122">
        <f t="shared" si="69"/>
        <v>60993</v>
      </c>
      <c r="Y162" s="133">
        <v>225</v>
      </c>
      <c r="Z162" s="133">
        <v>375</v>
      </c>
      <c r="AA162" s="121">
        <f t="shared" si="70"/>
        <v>600</v>
      </c>
      <c r="AB162" s="122">
        <f t="shared" si="71"/>
        <v>7168.5</v>
      </c>
      <c r="AC162" s="122">
        <f t="shared" si="72"/>
        <v>13162.5</v>
      </c>
      <c r="AD162" s="122">
        <f t="shared" si="73"/>
        <v>20331</v>
      </c>
      <c r="AE162" s="133">
        <v>375</v>
      </c>
      <c r="AF162" s="133">
        <v>625</v>
      </c>
      <c r="AG162" s="121">
        <f t="shared" si="74"/>
        <v>1000</v>
      </c>
      <c r="AH162" s="122">
        <f t="shared" si="75"/>
        <v>11947.5</v>
      </c>
      <c r="AI162" s="122">
        <f t="shared" si="76"/>
        <v>21937.5</v>
      </c>
      <c r="AJ162" s="122">
        <f t="shared" si="77"/>
        <v>33885</v>
      </c>
      <c r="AK162" s="133">
        <v>225</v>
      </c>
      <c r="AL162" s="133">
        <v>375</v>
      </c>
      <c r="AM162" s="121">
        <f t="shared" si="78"/>
        <v>600</v>
      </c>
      <c r="AN162" s="122">
        <f t="shared" si="79"/>
        <v>7168.5</v>
      </c>
      <c r="AO162" s="122">
        <f t="shared" si="80"/>
        <v>13162.5</v>
      </c>
      <c r="AP162" s="122">
        <f t="shared" si="81"/>
        <v>20331</v>
      </c>
      <c r="AQ162" s="124">
        <f t="shared" si="82"/>
        <v>1500</v>
      </c>
      <c r="AR162" s="125">
        <f t="shared" si="83"/>
        <v>2500</v>
      </c>
      <c r="AS162" s="126">
        <f t="shared" si="84"/>
        <v>4000</v>
      </c>
      <c r="AT162" s="127">
        <f t="shared" si="85"/>
        <v>47790</v>
      </c>
      <c r="AU162" s="128">
        <f t="shared" si="86"/>
        <v>87750</v>
      </c>
      <c r="AV162" s="129">
        <f t="shared" si="87"/>
        <v>135540</v>
      </c>
      <c r="AX162" s="34">
        <f t="shared" si="61"/>
        <v>135540</v>
      </c>
    </row>
    <row r="163" spans="1:69" s="33" customFormat="1" ht="12.75" customHeight="1" x14ac:dyDescent="0.25">
      <c r="A163" s="113">
        <v>154</v>
      </c>
      <c r="B163" s="130" t="s">
        <v>206</v>
      </c>
      <c r="C163" s="131" t="s">
        <v>211</v>
      </c>
      <c r="D163" s="131" t="s">
        <v>211</v>
      </c>
      <c r="E163" s="116" t="s">
        <v>16</v>
      </c>
      <c r="F163" s="117">
        <v>200</v>
      </c>
      <c r="G163" s="117">
        <v>250</v>
      </c>
      <c r="H163" s="118">
        <v>31.86</v>
      </c>
      <c r="I163" s="118">
        <v>35.1</v>
      </c>
      <c r="J163" s="119" t="s">
        <v>17</v>
      </c>
      <c r="K163" s="120" t="s">
        <v>169</v>
      </c>
      <c r="L163" s="119" t="s">
        <v>18</v>
      </c>
      <c r="M163" s="121"/>
      <c r="N163" s="121"/>
      <c r="O163" s="121">
        <f t="shared" si="62"/>
        <v>0</v>
      </c>
      <c r="P163" s="122">
        <f t="shared" si="63"/>
        <v>0</v>
      </c>
      <c r="Q163" s="122">
        <f t="shared" si="64"/>
        <v>0</v>
      </c>
      <c r="R163" s="122">
        <f t="shared" si="65"/>
        <v>0</v>
      </c>
      <c r="S163" s="133">
        <v>1800</v>
      </c>
      <c r="T163" s="133">
        <v>2250</v>
      </c>
      <c r="U163" s="121">
        <f t="shared" si="66"/>
        <v>4050</v>
      </c>
      <c r="V163" s="122">
        <f t="shared" si="67"/>
        <v>57348</v>
      </c>
      <c r="W163" s="122">
        <f t="shared" si="68"/>
        <v>78975</v>
      </c>
      <c r="X163" s="122">
        <f t="shared" si="69"/>
        <v>136323</v>
      </c>
      <c r="Y163" s="133">
        <v>600</v>
      </c>
      <c r="Z163" s="133">
        <v>750</v>
      </c>
      <c r="AA163" s="121">
        <f t="shared" si="70"/>
        <v>1350</v>
      </c>
      <c r="AB163" s="122">
        <f t="shared" si="71"/>
        <v>19116</v>
      </c>
      <c r="AC163" s="122">
        <f t="shared" si="72"/>
        <v>26325</v>
      </c>
      <c r="AD163" s="122">
        <f t="shared" si="73"/>
        <v>45441</v>
      </c>
      <c r="AE163" s="133">
        <v>1000</v>
      </c>
      <c r="AF163" s="133">
        <v>1250</v>
      </c>
      <c r="AG163" s="121">
        <f t="shared" si="74"/>
        <v>2250</v>
      </c>
      <c r="AH163" s="122">
        <f t="shared" si="75"/>
        <v>31860</v>
      </c>
      <c r="AI163" s="122">
        <f t="shared" si="76"/>
        <v>43875</v>
      </c>
      <c r="AJ163" s="122">
        <f t="shared" si="77"/>
        <v>75735</v>
      </c>
      <c r="AK163" s="133">
        <v>600</v>
      </c>
      <c r="AL163" s="133">
        <v>750</v>
      </c>
      <c r="AM163" s="121">
        <f t="shared" si="78"/>
        <v>1350</v>
      </c>
      <c r="AN163" s="122">
        <f t="shared" si="79"/>
        <v>19116</v>
      </c>
      <c r="AO163" s="122">
        <f t="shared" si="80"/>
        <v>26325</v>
      </c>
      <c r="AP163" s="122">
        <f t="shared" si="81"/>
        <v>45441</v>
      </c>
      <c r="AQ163" s="124">
        <f t="shared" si="82"/>
        <v>4000</v>
      </c>
      <c r="AR163" s="125">
        <f t="shared" si="83"/>
        <v>5000</v>
      </c>
      <c r="AS163" s="126">
        <f t="shared" si="84"/>
        <v>9000</v>
      </c>
      <c r="AT163" s="127">
        <f t="shared" si="85"/>
        <v>127440</v>
      </c>
      <c r="AU163" s="128">
        <f t="shared" si="86"/>
        <v>175500</v>
      </c>
      <c r="AV163" s="129">
        <f t="shared" si="87"/>
        <v>302940</v>
      </c>
      <c r="AX163" s="34">
        <f t="shared" si="61"/>
        <v>302940</v>
      </c>
    </row>
    <row r="164" spans="1:69" s="33" customFormat="1" ht="12.75" customHeight="1" x14ac:dyDescent="0.25">
      <c r="A164" s="113">
        <v>155</v>
      </c>
      <c r="B164" s="130" t="s">
        <v>206</v>
      </c>
      <c r="C164" s="131" t="s">
        <v>212</v>
      </c>
      <c r="D164" s="131" t="s">
        <v>212</v>
      </c>
      <c r="E164" s="116" t="s">
        <v>16</v>
      </c>
      <c r="F164" s="117">
        <v>100</v>
      </c>
      <c r="G164" s="117">
        <v>150</v>
      </c>
      <c r="H164" s="118">
        <v>31.86</v>
      </c>
      <c r="I164" s="118">
        <v>35.1</v>
      </c>
      <c r="J164" s="119" t="s">
        <v>17</v>
      </c>
      <c r="K164" s="120" t="s">
        <v>169</v>
      </c>
      <c r="L164" s="119" t="s">
        <v>18</v>
      </c>
      <c r="M164" s="121"/>
      <c r="N164" s="121"/>
      <c r="O164" s="121">
        <f t="shared" si="62"/>
        <v>0</v>
      </c>
      <c r="P164" s="122">
        <f t="shared" si="63"/>
        <v>0</v>
      </c>
      <c r="Q164" s="122">
        <f t="shared" si="64"/>
        <v>0</v>
      </c>
      <c r="R164" s="122">
        <f t="shared" si="65"/>
        <v>0</v>
      </c>
      <c r="S164" s="133">
        <v>900</v>
      </c>
      <c r="T164" s="133">
        <v>1350</v>
      </c>
      <c r="U164" s="121">
        <f t="shared" si="66"/>
        <v>2250</v>
      </c>
      <c r="V164" s="122">
        <f t="shared" si="67"/>
        <v>28674</v>
      </c>
      <c r="W164" s="122">
        <f t="shared" si="68"/>
        <v>47385</v>
      </c>
      <c r="X164" s="122">
        <f t="shared" si="69"/>
        <v>76059</v>
      </c>
      <c r="Y164" s="133">
        <v>300</v>
      </c>
      <c r="Z164" s="133">
        <v>450</v>
      </c>
      <c r="AA164" s="121">
        <f t="shared" si="70"/>
        <v>750</v>
      </c>
      <c r="AB164" s="122">
        <f t="shared" si="71"/>
        <v>9558</v>
      </c>
      <c r="AC164" s="122">
        <f t="shared" si="72"/>
        <v>15795</v>
      </c>
      <c r="AD164" s="122">
        <f t="shared" si="73"/>
        <v>25353</v>
      </c>
      <c r="AE164" s="133">
        <v>500</v>
      </c>
      <c r="AF164" s="133">
        <v>750</v>
      </c>
      <c r="AG164" s="121">
        <f t="shared" si="74"/>
        <v>1250</v>
      </c>
      <c r="AH164" s="122">
        <f t="shared" si="75"/>
        <v>15930</v>
      </c>
      <c r="AI164" s="122">
        <f t="shared" si="76"/>
        <v>26325</v>
      </c>
      <c r="AJ164" s="122">
        <f t="shared" si="77"/>
        <v>42255</v>
      </c>
      <c r="AK164" s="133">
        <v>300</v>
      </c>
      <c r="AL164" s="133">
        <v>450</v>
      </c>
      <c r="AM164" s="121">
        <f t="shared" si="78"/>
        <v>750</v>
      </c>
      <c r="AN164" s="122">
        <f t="shared" si="79"/>
        <v>9558</v>
      </c>
      <c r="AO164" s="122">
        <f t="shared" si="80"/>
        <v>15795</v>
      </c>
      <c r="AP164" s="122">
        <f t="shared" si="81"/>
        <v>25353</v>
      </c>
      <c r="AQ164" s="124">
        <f t="shared" si="82"/>
        <v>2000</v>
      </c>
      <c r="AR164" s="125">
        <f t="shared" si="83"/>
        <v>3000</v>
      </c>
      <c r="AS164" s="126">
        <f t="shared" si="84"/>
        <v>5000</v>
      </c>
      <c r="AT164" s="127">
        <f t="shared" si="85"/>
        <v>63720</v>
      </c>
      <c r="AU164" s="128">
        <f t="shared" si="86"/>
        <v>105300</v>
      </c>
      <c r="AV164" s="129">
        <f t="shared" si="87"/>
        <v>169020</v>
      </c>
      <c r="AX164" s="34">
        <f t="shared" si="61"/>
        <v>169020</v>
      </c>
    </row>
    <row r="165" spans="1:69" s="33" customFormat="1" ht="12.75" customHeight="1" x14ac:dyDescent="0.25">
      <c r="A165" s="113">
        <v>156</v>
      </c>
      <c r="B165" s="130" t="s">
        <v>206</v>
      </c>
      <c r="C165" s="131" t="s">
        <v>213</v>
      </c>
      <c r="D165" s="131" t="s">
        <v>213</v>
      </c>
      <c r="E165" s="116" t="s">
        <v>16</v>
      </c>
      <c r="F165" s="117">
        <v>100</v>
      </c>
      <c r="G165" s="117">
        <v>150</v>
      </c>
      <c r="H165" s="118">
        <v>23</v>
      </c>
      <c r="I165" s="118">
        <v>27</v>
      </c>
      <c r="J165" s="119" t="s">
        <v>23</v>
      </c>
      <c r="K165" s="120" t="s">
        <v>214</v>
      </c>
      <c r="L165" s="119" t="s">
        <v>25</v>
      </c>
      <c r="M165" s="121"/>
      <c r="N165" s="121"/>
      <c r="O165" s="121">
        <f t="shared" si="62"/>
        <v>0</v>
      </c>
      <c r="P165" s="122">
        <f t="shared" si="63"/>
        <v>0</v>
      </c>
      <c r="Q165" s="122">
        <f t="shared" si="64"/>
        <v>0</v>
      </c>
      <c r="R165" s="122">
        <f t="shared" si="65"/>
        <v>0</v>
      </c>
      <c r="S165" s="133">
        <v>900</v>
      </c>
      <c r="T165" s="133">
        <v>1350</v>
      </c>
      <c r="U165" s="121">
        <f t="shared" si="66"/>
        <v>2250</v>
      </c>
      <c r="V165" s="122">
        <f t="shared" si="67"/>
        <v>20700</v>
      </c>
      <c r="W165" s="122">
        <f t="shared" si="68"/>
        <v>36450</v>
      </c>
      <c r="X165" s="122">
        <f t="shared" si="69"/>
        <v>57150</v>
      </c>
      <c r="Y165" s="133">
        <v>300</v>
      </c>
      <c r="Z165" s="133">
        <v>450</v>
      </c>
      <c r="AA165" s="121">
        <f t="shared" si="70"/>
        <v>750</v>
      </c>
      <c r="AB165" s="122">
        <f t="shared" si="71"/>
        <v>6900</v>
      </c>
      <c r="AC165" s="122">
        <f t="shared" si="72"/>
        <v>12150</v>
      </c>
      <c r="AD165" s="122">
        <f t="shared" si="73"/>
        <v>19050</v>
      </c>
      <c r="AE165" s="133">
        <v>500</v>
      </c>
      <c r="AF165" s="139">
        <v>750</v>
      </c>
      <c r="AG165" s="121">
        <f t="shared" si="74"/>
        <v>1250</v>
      </c>
      <c r="AH165" s="122">
        <f t="shared" si="75"/>
        <v>11500</v>
      </c>
      <c r="AI165" s="122">
        <f t="shared" si="76"/>
        <v>20250</v>
      </c>
      <c r="AJ165" s="122">
        <f t="shared" si="77"/>
        <v>31750</v>
      </c>
      <c r="AK165" s="133">
        <v>300</v>
      </c>
      <c r="AL165" s="139">
        <v>450</v>
      </c>
      <c r="AM165" s="121">
        <f t="shared" si="78"/>
        <v>750</v>
      </c>
      <c r="AN165" s="122">
        <f t="shared" si="79"/>
        <v>6900</v>
      </c>
      <c r="AO165" s="122">
        <f t="shared" si="80"/>
        <v>12150</v>
      </c>
      <c r="AP165" s="122">
        <f t="shared" si="81"/>
        <v>19050</v>
      </c>
      <c r="AQ165" s="124">
        <f t="shared" si="82"/>
        <v>2000</v>
      </c>
      <c r="AR165" s="125">
        <f t="shared" si="83"/>
        <v>3000</v>
      </c>
      <c r="AS165" s="126">
        <f t="shared" si="84"/>
        <v>5000</v>
      </c>
      <c r="AT165" s="127">
        <f t="shared" si="85"/>
        <v>46000</v>
      </c>
      <c r="AU165" s="128">
        <f t="shared" si="86"/>
        <v>81000</v>
      </c>
      <c r="AV165" s="129">
        <f t="shared" si="87"/>
        <v>127000</v>
      </c>
      <c r="AX165" s="34">
        <f t="shared" si="61"/>
        <v>127000</v>
      </c>
    </row>
    <row r="166" spans="1:69" s="33" customFormat="1" ht="12.75" customHeight="1" x14ac:dyDescent="0.25">
      <c r="A166" s="113">
        <v>157</v>
      </c>
      <c r="B166" s="130" t="s">
        <v>206</v>
      </c>
      <c r="C166" s="131" t="s">
        <v>215</v>
      </c>
      <c r="D166" s="131" t="s">
        <v>215</v>
      </c>
      <c r="E166" s="116" t="s">
        <v>16</v>
      </c>
      <c r="F166" s="117">
        <v>100</v>
      </c>
      <c r="G166" s="117">
        <v>150</v>
      </c>
      <c r="H166" s="118">
        <v>31.86</v>
      </c>
      <c r="I166" s="118">
        <v>35.1</v>
      </c>
      <c r="J166" s="119" t="s">
        <v>17</v>
      </c>
      <c r="K166" s="120" t="s">
        <v>169</v>
      </c>
      <c r="L166" s="119" t="s">
        <v>18</v>
      </c>
      <c r="M166" s="121"/>
      <c r="N166" s="121"/>
      <c r="O166" s="121">
        <f t="shared" si="62"/>
        <v>0</v>
      </c>
      <c r="P166" s="122">
        <f t="shared" si="63"/>
        <v>0</v>
      </c>
      <c r="Q166" s="122">
        <f t="shared" si="64"/>
        <v>0</v>
      </c>
      <c r="R166" s="122">
        <f t="shared" si="65"/>
        <v>0</v>
      </c>
      <c r="S166" s="139">
        <v>900</v>
      </c>
      <c r="T166" s="139">
        <v>1350</v>
      </c>
      <c r="U166" s="121">
        <f t="shared" si="66"/>
        <v>2250</v>
      </c>
      <c r="V166" s="122">
        <f t="shared" si="67"/>
        <v>28674</v>
      </c>
      <c r="W166" s="122">
        <f t="shared" si="68"/>
        <v>47385</v>
      </c>
      <c r="X166" s="122">
        <f t="shared" si="69"/>
        <v>76059</v>
      </c>
      <c r="Y166" s="133">
        <v>300</v>
      </c>
      <c r="Z166" s="139">
        <v>450</v>
      </c>
      <c r="AA166" s="121">
        <f t="shared" si="70"/>
        <v>750</v>
      </c>
      <c r="AB166" s="122">
        <f t="shared" si="71"/>
        <v>9558</v>
      </c>
      <c r="AC166" s="122">
        <f t="shared" si="72"/>
        <v>15795</v>
      </c>
      <c r="AD166" s="122">
        <f t="shared" si="73"/>
        <v>25353</v>
      </c>
      <c r="AE166" s="133">
        <v>500</v>
      </c>
      <c r="AF166" s="139">
        <v>750</v>
      </c>
      <c r="AG166" s="121">
        <f t="shared" si="74"/>
        <v>1250</v>
      </c>
      <c r="AH166" s="122">
        <f t="shared" si="75"/>
        <v>15930</v>
      </c>
      <c r="AI166" s="122">
        <f t="shared" si="76"/>
        <v>26325</v>
      </c>
      <c r="AJ166" s="122">
        <f t="shared" si="77"/>
        <v>42255</v>
      </c>
      <c r="AK166" s="133">
        <v>300</v>
      </c>
      <c r="AL166" s="139">
        <v>450</v>
      </c>
      <c r="AM166" s="121">
        <f t="shared" si="78"/>
        <v>750</v>
      </c>
      <c r="AN166" s="122">
        <f t="shared" si="79"/>
        <v>9558</v>
      </c>
      <c r="AO166" s="122">
        <f t="shared" si="80"/>
        <v>15795</v>
      </c>
      <c r="AP166" s="122">
        <f t="shared" si="81"/>
        <v>25353</v>
      </c>
      <c r="AQ166" s="124">
        <f t="shared" si="82"/>
        <v>2000</v>
      </c>
      <c r="AR166" s="125">
        <f t="shared" si="83"/>
        <v>3000</v>
      </c>
      <c r="AS166" s="126">
        <f t="shared" si="84"/>
        <v>5000</v>
      </c>
      <c r="AT166" s="127">
        <f t="shared" si="85"/>
        <v>63720</v>
      </c>
      <c r="AU166" s="128">
        <f t="shared" si="86"/>
        <v>105300</v>
      </c>
      <c r="AV166" s="129">
        <f t="shared" si="87"/>
        <v>169020</v>
      </c>
      <c r="AX166" s="34">
        <f t="shared" si="61"/>
        <v>169020</v>
      </c>
    </row>
    <row r="167" spans="1:69" s="33" customFormat="1" ht="12.75" customHeight="1" x14ac:dyDescent="0.25">
      <c r="A167" s="113">
        <v>158</v>
      </c>
      <c r="B167" s="130" t="s">
        <v>206</v>
      </c>
      <c r="C167" s="131" t="s">
        <v>186</v>
      </c>
      <c r="D167" s="131" t="s">
        <v>186</v>
      </c>
      <c r="E167" s="116" t="s">
        <v>16</v>
      </c>
      <c r="F167" s="117">
        <v>100</v>
      </c>
      <c r="G167" s="117">
        <v>100</v>
      </c>
      <c r="H167" s="118">
        <v>31.86</v>
      </c>
      <c r="I167" s="118">
        <v>35.1</v>
      </c>
      <c r="J167" s="119" t="s">
        <v>17</v>
      </c>
      <c r="K167" s="120" t="s">
        <v>169</v>
      </c>
      <c r="L167" s="119" t="s">
        <v>18</v>
      </c>
      <c r="M167" s="121"/>
      <c r="N167" s="121"/>
      <c r="O167" s="121">
        <f t="shared" si="62"/>
        <v>0</v>
      </c>
      <c r="P167" s="122">
        <f t="shared" si="63"/>
        <v>0</v>
      </c>
      <c r="Q167" s="122">
        <f t="shared" si="64"/>
        <v>0</v>
      </c>
      <c r="R167" s="122">
        <f t="shared" si="65"/>
        <v>0</v>
      </c>
      <c r="S167" s="139">
        <v>900</v>
      </c>
      <c r="T167" s="139">
        <v>900</v>
      </c>
      <c r="U167" s="121">
        <f t="shared" si="66"/>
        <v>1800</v>
      </c>
      <c r="V167" s="122">
        <f t="shared" si="67"/>
        <v>28674</v>
      </c>
      <c r="W167" s="122">
        <f t="shared" si="68"/>
        <v>31590</v>
      </c>
      <c r="X167" s="122">
        <f t="shared" si="69"/>
        <v>60264</v>
      </c>
      <c r="Y167" s="139">
        <v>300</v>
      </c>
      <c r="Z167" s="139">
        <v>300</v>
      </c>
      <c r="AA167" s="121">
        <f t="shared" si="70"/>
        <v>600</v>
      </c>
      <c r="AB167" s="122">
        <f t="shared" si="71"/>
        <v>9558</v>
      </c>
      <c r="AC167" s="122">
        <f t="shared" si="72"/>
        <v>10530</v>
      </c>
      <c r="AD167" s="122">
        <f t="shared" si="73"/>
        <v>20088</v>
      </c>
      <c r="AE167" s="133">
        <v>500</v>
      </c>
      <c r="AF167" s="139">
        <v>500</v>
      </c>
      <c r="AG167" s="121">
        <f t="shared" si="74"/>
        <v>1000</v>
      </c>
      <c r="AH167" s="122">
        <f t="shared" si="75"/>
        <v>15930</v>
      </c>
      <c r="AI167" s="122">
        <f t="shared" si="76"/>
        <v>17550</v>
      </c>
      <c r="AJ167" s="122">
        <f t="shared" si="77"/>
        <v>33480</v>
      </c>
      <c r="AK167" s="133">
        <v>300</v>
      </c>
      <c r="AL167" s="139">
        <v>300</v>
      </c>
      <c r="AM167" s="121">
        <f t="shared" si="78"/>
        <v>600</v>
      </c>
      <c r="AN167" s="122">
        <f t="shared" si="79"/>
        <v>9558</v>
      </c>
      <c r="AO167" s="122">
        <f t="shared" si="80"/>
        <v>10530</v>
      </c>
      <c r="AP167" s="122">
        <f t="shared" si="81"/>
        <v>20088</v>
      </c>
      <c r="AQ167" s="124">
        <f t="shared" si="82"/>
        <v>2000</v>
      </c>
      <c r="AR167" s="125">
        <f t="shared" si="83"/>
        <v>2000</v>
      </c>
      <c r="AS167" s="126">
        <f t="shared" si="84"/>
        <v>4000</v>
      </c>
      <c r="AT167" s="127">
        <f t="shared" si="85"/>
        <v>63720</v>
      </c>
      <c r="AU167" s="128">
        <f t="shared" si="86"/>
        <v>70200</v>
      </c>
      <c r="AV167" s="129">
        <f t="shared" si="87"/>
        <v>133920</v>
      </c>
      <c r="AX167" s="34">
        <f t="shared" si="61"/>
        <v>133920</v>
      </c>
    </row>
    <row r="168" spans="1:69" s="33" customFormat="1" ht="12.75" customHeight="1" x14ac:dyDescent="0.25">
      <c r="A168" s="113">
        <v>159</v>
      </c>
      <c r="B168" s="130" t="s">
        <v>206</v>
      </c>
      <c r="C168" s="172" t="s">
        <v>216</v>
      </c>
      <c r="D168" s="172" t="s">
        <v>216</v>
      </c>
      <c r="E168" s="116" t="s">
        <v>16</v>
      </c>
      <c r="F168" s="117">
        <v>75</v>
      </c>
      <c r="G168" s="117">
        <v>100</v>
      </c>
      <c r="H168" s="118">
        <v>31.86</v>
      </c>
      <c r="I168" s="118">
        <v>35.1</v>
      </c>
      <c r="J168" s="119" t="s">
        <v>17</v>
      </c>
      <c r="K168" s="120" t="s">
        <v>169</v>
      </c>
      <c r="L168" s="119" t="s">
        <v>18</v>
      </c>
      <c r="M168" s="121"/>
      <c r="N168" s="121"/>
      <c r="O168" s="121">
        <f t="shared" si="62"/>
        <v>0</v>
      </c>
      <c r="P168" s="122">
        <f t="shared" si="63"/>
        <v>0</v>
      </c>
      <c r="Q168" s="122">
        <f t="shared" si="64"/>
        <v>0</v>
      </c>
      <c r="R168" s="122">
        <f t="shared" si="65"/>
        <v>0</v>
      </c>
      <c r="S168" s="173">
        <v>675</v>
      </c>
      <c r="T168" s="173">
        <v>900</v>
      </c>
      <c r="U168" s="121">
        <f t="shared" si="66"/>
        <v>1575</v>
      </c>
      <c r="V168" s="122">
        <f t="shared" si="67"/>
        <v>21505.5</v>
      </c>
      <c r="W168" s="122">
        <f t="shared" si="68"/>
        <v>31590</v>
      </c>
      <c r="X168" s="122">
        <f t="shared" si="69"/>
        <v>53095.5</v>
      </c>
      <c r="Y168" s="173">
        <v>225</v>
      </c>
      <c r="Z168" s="173">
        <v>300</v>
      </c>
      <c r="AA168" s="121">
        <f t="shared" si="70"/>
        <v>525</v>
      </c>
      <c r="AB168" s="122">
        <f t="shared" si="71"/>
        <v>7168.5</v>
      </c>
      <c r="AC168" s="122">
        <f t="shared" si="72"/>
        <v>10530</v>
      </c>
      <c r="AD168" s="122">
        <f t="shared" si="73"/>
        <v>17698.5</v>
      </c>
      <c r="AE168" s="174">
        <v>375</v>
      </c>
      <c r="AF168" s="173">
        <v>500</v>
      </c>
      <c r="AG168" s="121">
        <f t="shared" si="74"/>
        <v>875</v>
      </c>
      <c r="AH168" s="122">
        <f t="shared" si="75"/>
        <v>11947.5</v>
      </c>
      <c r="AI168" s="122">
        <f t="shared" si="76"/>
        <v>17550</v>
      </c>
      <c r="AJ168" s="122">
        <f t="shared" si="77"/>
        <v>29497.5</v>
      </c>
      <c r="AK168" s="174">
        <v>225</v>
      </c>
      <c r="AL168" s="174">
        <v>300</v>
      </c>
      <c r="AM168" s="121">
        <f t="shared" si="78"/>
        <v>525</v>
      </c>
      <c r="AN168" s="122">
        <f t="shared" si="79"/>
        <v>7168.5</v>
      </c>
      <c r="AO168" s="122">
        <f t="shared" si="80"/>
        <v>10530</v>
      </c>
      <c r="AP168" s="122">
        <f t="shared" si="81"/>
        <v>17698.5</v>
      </c>
      <c r="AQ168" s="124">
        <f t="shared" si="82"/>
        <v>1500</v>
      </c>
      <c r="AR168" s="125">
        <f t="shared" si="83"/>
        <v>2000</v>
      </c>
      <c r="AS168" s="126">
        <f t="shared" si="84"/>
        <v>3500</v>
      </c>
      <c r="AT168" s="127">
        <f t="shared" si="85"/>
        <v>47790</v>
      </c>
      <c r="AU168" s="128">
        <f t="shared" si="86"/>
        <v>70200</v>
      </c>
      <c r="AV168" s="129">
        <f t="shared" si="87"/>
        <v>117990</v>
      </c>
      <c r="AX168" s="34">
        <f t="shared" si="61"/>
        <v>117990</v>
      </c>
    </row>
    <row r="169" spans="1:69" s="33" customFormat="1" ht="12.75" customHeight="1" x14ac:dyDescent="0.25">
      <c r="A169" s="113">
        <v>160</v>
      </c>
      <c r="B169" s="114" t="s">
        <v>206</v>
      </c>
      <c r="C169" s="115" t="s">
        <v>115</v>
      </c>
      <c r="D169" s="115" t="s">
        <v>115</v>
      </c>
      <c r="E169" s="116" t="s">
        <v>16</v>
      </c>
      <c r="F169" s="117">
        <v>150</v>
      </c>
      <c r="G169" s="117">
        <v>250</v>
      </c>
      <c r="H169" s="118">
        <v>31.86</v>
      </c>
      <c r="I169" s="118">
        <v>35.1</v>
      </c>
      <c r="J169" s="119" t="s">
        <v>17</v>
      </c>
      <c r="K169" s="120" t="s">
        <v>169</v>
      </c>
      <c r="L169" s="175" t="s">
        <v>18</v>
      </c>
      <c r="M169" s="121"/>
      <c r="N169" s="121"/>
      <c r="O169" s="121">
        <f t="shared" si="62"/>
        <v>0</v>
      </c>
      <c r="P169" s="122">
        <f t="shared" si="63"/>
        <v>0</v>
      </c>
      <c r="Q169" s="122">
        <f t="shared" si="64"/>
        <v>0</v>
      </c>
      <c r="R169" s="122">
        <f t="shared" si="65"/>
        <v>0</v>
      </c>
      <c r="S169" s="123">
        <v>1275</v>
      </c>
      <c r="T169" s="123">
        <v>1965</v>
      </c>
      <c r="U169" s="121">
        <f t="shared" si="66"/>
        <v>3240</v>
      </c>
      <c r="V169" s="122">
        <f t="shared" si="67"/>
        <v>40621.5</v>
      </c>
      <c r="W169" s="122">
        <f t="shared" si="68"/>
        <v>68971.5</v>
      </c>
      <c r="X169" s="122">
        <f t="shared" si="69"/>
        <v>109593</v>
      </c>
      <c r="Y169" s="132">
        <v>450</v>
      </c>
      <c r="Z169" s="123">
        <v>725</v>
      </c>
      <c r="AA169" s="121">
        <f t="shared" si="70"/>
        <v>1175</v>
      </c>
      <c r="AB169" s="122">
        <f t="shared" si="71"/>
        <v>14337</v>
      </c>
      <c r="AC169" s="122">
        <f t="shared" si="72"/>
        <v>25447.5</v>
      </c>
      <c r="AD169" s="122">
        <f t="shared" si="73"/>
        <v>39784.5</v>
      </c>
      <c r="AE169" s="132">
        <v>750</v>
      </c>
      <c r="AF169" s="123">
        <v>1210</v>
      </c>
      <c r="AG169" s="121">
        <f t="shared" si="74"/>
        <v>1960</v>
      </c>
      <c r="AH169" s="122">
        <f t="shared" si="75"/>
        <v>23895</v>
      </c>
      <c r="AI169" s="122">
        <f t="shared" si="76"/>
        <v>42471</v>
      </c>
      <c r="AJ169" s="122">
        <f t="shared" si="77"/>
        <v>66366</v>
      </c>
      <c r="AK169" s="123">
        <v>443</v>
      </c>
      <c r="AL169" s="121">
        <v>750</v>
      </c>
      <c r="AM169" s="121">
        <f t="shared" si="78"/>
        <v>1193</v>
      </c>
      <c r="AN169" s="122">
        <f t="shared" si="79"/>
        <v>14113.98</v>
      </c>
      <c r="AO169" s="122">
        <f t="shared" si="80"/>
        <v>26325</v>
      </c>
      <c r="AP169" s="122">
        <f t="shared" si="81"/>
        <v>40438.979999999996</v>
      </c>
      <c r="AQ169" s="124">
        <f t="shared" si="82"/>
        <v>2918</v>
      </c>
      <c r="AR169" s="125">
        <f t="shared" si="83"/>
        <v>4650</v>
      </c>
      <c r="AS169" s="126">
        <f t="shared" si="84"/>
        <v>7568</v>
      </c>
      <c r="AT169" s="127">
        <f t="shared" si="85"/>
        <v>92967.48</v>
      </c>
      <c r="AU169" s="128">
        <f t="shared" si="86"/>
        <v>163215</v>
      </c>
      <c r="AV169" s="129">
        <f t="shared" si="87"/>
        <v>256182.47999999998</v>
      </c>
      <c r="AX169" s="34">
        <f t="shared" si="61"/>
        <v>256182.47999999998</v>
      </c>
    </row>
    <row r="170" spans="1:69" s="33" customFormat="1" ht="12.75" customHeight="1" x14ac:dyDescent="0.25">
      <c r="A170" s="113">
        <v>161</v>
      </c>
      <c r="B170" s="151" t="s">
        <v>206</v>
      </c>
      <c r="C170" s="154" t="s">
        <v>217</v>
      </c>
      <c r="D170" s="154" t="s">
        <v>217</v>
      </c>
      <c r="E170" s="116" t="s">
        <v>16</v>
      </c>
      <c r="F170" s="117">
        <v>100</v>
      </c>
      <c r="G170" s="117">
        <v>125</v>
      </c>
      <c r="H170" s="118">
        <v>31.86</v>
      </c>
      <c r="I170" s="118">
        <v>35.1</v>
      </c>
      <c r="J170" s="119" t="s">
        <v>17</v>
      </c>
      <c r="K170" s="120" t="s">
        <v>169</v>
      </c>
      <c r="L170" s="175" t="s">
        <v>18</v>
      </c>
      <c r="M170" s="121"/>
      <c r="N170" s="121"/>
      <c r="O170" s="121">
        <f t="shared" si="62"/>
        <v>0</v>
      </c>
      <c r="P170" s="122">
        <f t="shared" si="63"/>
        <v>0</v>
      </c>
      <c r="Q170" s="122">
        <f t="shared" si="64"/>
        <v>0</v>
      </c>
      <c r="R170" s="122">
        <f t="shared" si="65"/>
        <v>0</v>
      </c>
      <c r="S170" s="123">
        <v>900</v>
      </c>
      <c r="T170" s="132">
        <v>1125</v>
      </c>
      <c r="U170" s="121">
        <f t="shared" si="66"/>
        <v>2025</v>
      </c>
      <c r="V170" s="122">
        <f t="shared" si="67"/>
        <v>28674</v>
      </c>
      <c r="W170" s="122">
        <f t="shared" si="68"/>
        <v>39487.5</v>
      </c>
      <c r="X170" s="122">
        <f t="shared" si="69"/>
        <v>68161.5</v>
      </c>
      <c r="Y170" s="132">
        <v>300</v>
      </c>
      <c r="Z170" s="132">
        <v>375</v>
      </c>
      <c r="AA170" s="121">
        <f t="shared" si="70"/>
        <v>675</v>
      </c>
      <c r="AB170" s="122">
        <f t="shared" si="71"/>
        <v>9558</v>
      </c>
      <c r="AC170" s="122">
        <f t="shared" si="72"/>
        <v>13162.5</v>
      </c>
      <c r="AD170" s="122">
        <f t="shared" si="73"/>
        <v>22720.5</v>
      </c>
      <c r="AE170" s="121">
        <v>500</v>
      </c>
      <c r="AF170" s="132">
        <v>625</v>
      </c>
      <c r="AG170" s="121">
        <f t="shared" si="74"/>
        <v>1125</v>
      </c>
      <c r="AH170" s="122">
        <f t="shared" si="75"/>
        <v>15930</v>
      </c>
      <c r="AI170" s="122">
        <f t="shared" si="76"/>
        <v>21937.5</v>
      </c>
      <c r="AJ170" s="122">
        <f t="shared" si="77"/>
        <v>37867.5</v>
      </c>
      <c r="AK170" s="121">
        <v>300</v>
      </c>
      <c r="AL170" s="132">
        <v>375</v>
      </c>
      <c r="AM170" s="121">
        <f t="shared" si="78"/>
        <v>675</v>
      </c>
      <c r="AN170" s="122">
        <f t="shared" si="79"/>
        <v>9558</v>
      </c>
      <c r="AO170" s="122">
        <f t="shared" si="80"/>
        <v>13162.5</v>
      </c>
      <c r="AP170" s="122">
        <f t="shared" si="81"/>
        <v>22720.5</v>
      </c>
      <c r="AQ170" s="124">
        <f t="shared" si="82"/>
        <v>2000</v>
      </c>
      <c r="AR170" s="125">
        <f t="shared" si="83"/>
        <v>2500</v>
      </c>
      <c r="AS170" s="126">
        <f t="shared" si="84"/>
        <v>4500</v>
      </c>
      <c r="AT170" s="127">
        <f t="shared" si="85"/>
        <v>63720</v>
      </c>
      <c r="AU170" s="128">
        <f t="shared" si="86"/>
        <v>87750</v>
      </c>
      <c r="AV170" s="129">
        <f t="shared" si="87"/>
        <v>151470</v>
      </c>
      <c r="AX170" s="34">
        <f t="shared" si="61"/>
        <v>151470</v>
      </c>
    </row>
    <row r="171" spans="1:69" s="33" customFormat="1" ht="12.75" customHeight="1" x14ac:dyDescent="0.25">
      <c r="A171" s="113">
        <v>162</v>
      </c>
      <c r="B171" s="130" t="s">
        <v>218</v>
      </c>
      <c r="C171" s="131" t="s">
        <v>219</v>
      </c>
      <c r="D171" s="131" t="s">
        <v>219</v>
      </c>
      <c r="E171" s="116" t="s">
        <v>41</v>
      </c>
      <c r="F171" s="117">
        <v>150</v>
      </c>
      <c r="G171" s="117">
        <v>200</v>
      </c>
      <c r="H171" s="118">
        <v>33.04</v>
      </c>
      <c r="I171" s="118">
        <v>36.4</v>
      </c>
      <c r="J171" s="119" t="s">
        <v>17</v>
      </c>
      <c r="K171" s="120" t="s">
        <v>155</v>
      </c>
      <c r="L171" s="175" t="s">
        <v>18</v>
      </c>
      <c r="M171" s="121"/>
      <c r="N171" s="121"/>
      <c r="O171" s="121">
        <f t="shared" si="62"/>
        <v>0</v>
      </c>
      <c r="P171" s="122">
        <f t="shared" si="63"/>
        <v>0</v>
      </c>
      <c r="Q171" s="122">
        <f t="shared" si="64"/>
        <v>0</v>
      </c>
      <c r="R171" s="122">
        <f t="shared" si="65"/>
        <v>0</v>
      </c>
      <c r="S171" s="121">
        <v>1350</v>
      </c>
      <c r="T171" s="132">
        <v>1800</v>
      </c>
      <c r="U171" s="121">
        <f t="shared" si="66"/>
        <v>3150</v>
      </c>
      <c r="V171" s="122">
        <f t="shared" si="67"/>
        <v>44604</v>
      </c>
      <c r="W171" s="122">
        <f t="shared" si="68"/>
        <v>65520</v>
      </c>
      <c r="X171" s="122">
        <f t="shared" si="69"/>
        <v>110124</v>
      </c>
      <c r="Y171" s="121">
        <v>450</v>
      </c>
      <c r="Z171" s="132">
        <v>600</v>
      </c>
      <c r="AA171" s="121">
        <f t="shared" si="70"/>
        <v>1050</v>
      </c>
      <c r="AB171" s="122">
        <f t="shared" si="71"/>
        <v>14868</v>
      </c>
      <c r="AC171" s="122">
        <f t="shared" si="72"/>
        <v>21840</v>
      </c>
      <c r="AD171" s="122">
        <f t="shared" si="73"/>
        <v>36708</v>
      </c>
      <c r="AE171" s="121">
        <v>750</v>
      </c>
      <c r="AF171" s="121">
        <v>1000</v>
      </c>
      <c r="AG171" s="121">
        <f t="shared" si="74"/>
        <v>1750</v>
      </c>
      <c r="AH171" s="122">
        <f t="shared" si="75"/>
        <v>24780</v>
      </c>
      <c r="AI171" s="122">
        <f t="shared" si="76"/>
        <v>36400</v>
      </c>
      <c r="AJ171" s="122">
        <f t="shared" si="77"/>
        <v>61180</v>
      </c>
      <c r="AK171" s="121">
        <v>450</v>
      </c>
      <c r="AL171" s="121">
        <v>600</v>
      </c>
      <c r="AM171" s="121">
        <f t="shared" si="78"/>
        <v>1050</v>
      </c>
      <c r="AN171" s="122">
        <f t="shared" si="79"/>
        <v>14868</v>
      </c>
      <c r="AO171" s="122">
        <f t="shared" si="80"/>
        <v>21840</v>
      </c>
      <c r="AP171" s="122">
        <f t="shared" si="81"/>
        <v>36708</v>
      </c>
      <c r="AQ171" s="124">
        <f t="shared" si="82"/>
        <v>3000</v>
      </c>
      <c r="AR171" s="125">
        <f t="shared" si="83"/>
        <v>4000</v>
      </c>
      <c r="AS171" s="126">
        <f t="shared" si="84"/>
        <v>7000</v>
      </c>
      <c r="AT171" s="127">
        <f t="shared" si="85"/>
        <v>99120</v>
      </c>
      <c r="AU171" s="128">
        <f t="shared" si="86"/>
        <v>145600</v>
      </c>
      <c r="AV171" s="129">
        <f t="shared" si="87"/>
        <v>244720</v>
      </c>
      <c r="AX171" s="34">
        <f t="shared" si="61"/>
        <v>244720</v>
      </c>
    </row>
    <row r="172" spans="1:69" s="64" customFormat="1" ht="12.75" customHeight="1" x14ac:dyDescent="0.25">
      <c r="A172" s="113">
        <v>163</v>
      </c>
      <c r="B172" s="114" t="s">
        <v>218</v>
      </c>
      <c r="C172" s="115" t="s">
        <v>220</v>
      </c>
      <c r="D172" s="115" t="s">
        <v>220</v>
      </c>
      <c r="E172" s="176" t="s">
        <v>41</v>
      </c>
      <c r="F172" s="177">
        <v>150</v>
      </c>
      <c r="G172" s="177">
        <v>200</v>
      </c>
      <c r="H172" s="178">
        <v>33.04</v>
      </c>
      <c r="I172" s="178">
        <v>36.4</v>
      </c>
      <c r="J172" s="179" t="s">
        <v>17</v>
      </c>
      <c r="K172" s="180" t="s">
        <v>155</v>
      </c>
      <c r="L172" s="181" t="s">
        <v>18</v>
      </c>
      <c r="M172" s="132"/>
      <c r="N172" s="132"/>
      <c r="O172" s="121">
        <f t="shared" si="62"/>
        <v>0</v>
      </c>
      <c r="P172" s="122">
        <f t="shared" si="63"/>
        <v>0</v>
      </c>
      <c r="Q172" s="122">
        <f t="shared" si="64"/>
        <v>0</v>
      </c>
      <c r="R172" s="122">
        <f t="shared" si="65"/>
        <v>0</v>
      </c>
      <c r="S172" s="132">
        <v>1350</v>
      </c>
      <c r="T172" s="132">
        <v>1800</v>
      </c>
      <c r="U172" s="121">
        <f t="shared" si="66"/>
        <v>3150</v>
      </c>
      <c r="V172" s="122">
        <f t="shared" si="67"/>
        <v>44604</v>
      </c>
      <c r="W172" s="122">
        <f t="shared" si="68"/>
        <v>65520</v>
      </c>
      <c r="X172" s="122">
        <f t="shared" si="69"/>
        <v>110124</v>
      </c>
      <c r="Y172" s="132">
        <v>450</v>
      </c>
      <c r="Z172" s="132">
        <v>600</v>
      </c>
      <c r="AA172" s="121">
        <f t="shared" si="70"/>
        <v>1050</v>
      </c>
      <c r="AB172" s="122">
        <f t="shared" si="71"/>
        <v>14868</v>
      </c>
      <c r="AC172" s="122">
        <f t="shared" si="72"/>
        <v>21840</v>
      </c>
      <c r="AD172" s="122">
        <f t="shared" si="73"/>
        <v>36708</v>
      </c>
      <c r="AE172" s="132">
        <v>750</v>
      </c>
      <c r="AF172" s="123">
        <v>940</v>
      </c>
      <c r="AG172" s="121">
        <f t="shared" si="74"/>
        <v>1690</v>
      </c>
      <c r="AH172" s="122">
        <f t="shared" si="75"/>
        <v>24780</v>
      </c>
      <c r="AI172" s="122">
        <f t="shared" si="76"/>
        <v>34216</v>
      </c>
      <c r="AJ172" s="122">
        <f t="shared" si="77"/>
        <v>58996</v>
      </c>
      <c r="AK172" s="132">
        <v>450</v>
      </c>
      <c r="AL172" s="132">
        <v>600</v>
      </c>
      <c r="AM172" s="121">
        <f t="shared" si="78"/>
        <v>1050</v>
      </c>
      <c r="AN172" s="122">
        <f t="shared" si="79"/>
        <v>14868</v>
      </c>
      <c r="AO172" s="122">
        <f t="shared" si="80"/>
        <v>21840</v>
      </c>
      <c r="AP172" s="122">
        <f t="shared" si="81"/>
        <v>36708</v>
      </c>
      <c r="AQ172" s="124">
        <f t="shared" si="82"/>
        <v>3000</v>
      </c>
      <c r="AR172" s="125">
        <f t="shared" si="83"/>
        <v>3940</v>
      </c>
      <c r="AS172" s="126">
        <f t="shared" si="84"/>
        <v>6940</v>
      </c>
      <c r="AT172" s="127">
        <f t="shared" si="85"/>
        <v>99120</v>
      </c>
      <c r="AU172" s="128">
        <f t="shared" si="86"/>
        <v>143416</v>
      </c>
      <c r="AV172" s="129">
        <f t="shared" si="87"/>
        <v>242536</v>
      </c>
      <c r="AX172" s="34">
        <f t="shared" si="61"/>
        <v>242536</v>
      </c>
    </row>
    <row r="173" spans="1:69" s="38" customFormat="1" ht="13.5" customHeight="1" x14ac:dyDescent="0.25">
      <c r="A173" s="113">
        <v>164</v>
      </c>
      <c r="B173" s="130" t="s">
        <v>218</v>
      </c>
      <c r="C173" s="131" t="s">
        <v>221</v>
      </c>
      <c r="D173" s="131" t="s">
        <v>222</v>
      </c>
      <c r="E173" s="116" t="s">
        <v>16</v>
      </c>
      <c r="F173" s="117">
        <v>100</v>
      </c>
      <c r="G173" s="117">
        <v>200</v>
      </c>
      <c r="H173" s="118">
        <v>23</v>
      </c>
      <c r="I173" s="118">
        <v>27.5</v>
      </c>
      <c r="J173" s="119" t="s">
        <v>23</v>
      </c>
      <c r="K173" s="119" t="s">
        <v>223</v>
      </c>
      <c r="L173" s="175" t="s">
        <v>25</v>
      </c>
      <c r="M173" s="121"/>
      <c r="N173" s="121"/>
      <c r="O173" s="121">
        <f t="shared" si="62"/>
        <v>0</v>
      </c>
      <c r="P173" s="122">
        <f t="shared" si="63"/>
        <v>0</v>
      </c>
      <c r="Q173" s="122">
        <f t="shared" si="64"/>
        <v>0</v>
      </c>
      <c r="R173" s="122">
        <f t="shared" si="65"/>
        <v>0</v>
      </c>
      <c r="S173" s="120">
        <v>900</v>
      </c>
      <c r="T173" s="120">
        <v>1800</v>
      </c>
      <c r="U173" s="121">
        <f t="shared" si="66"/>
        <v>2700</v>
      </c>
      <c r="V173" s="122">
        <f t="shared" si="67"/>
        <v>20700</v>
      </c>
      <c r="W173" s="122">
        <f t="shared" si="68"/>
        <v>49500</v>
      </c>
      <c r="X173" s="122">
        <f t="shared" si="69"/>
        <v>70200</v>
      </c>
      <c r="Y173" s="120">
        <v>300</v>
      </c>
      <c r="Z173" s="120">
        <v>600</v>
      </c>
      <c r="AA173" s="121">
        <f t="shared" si="70"/>
        <v>900</v>
      </c>
      <c r="AB173" s="122">
        <f t="shared" si="71"/>
        <v>6900</v>
      </c>
      <c r="AC173" s="122">
        <f t="shared" si="72"/>
        <v>16500</v>
      </c>
      <c r="AD173" s="122">
        <f t="shared" si="73"/>
        <v>23400</v>
      </c>
      <c r="AE173" s="120">
        <v>500</v>
      </c>
      <c r="AF173" s="180">
        <v>1000</v>
      </c>
      <c r="AG173" s="121">
        <f t="shared" si="74"/>
        <v>1500</v>
      </c>
      <c r="AH173" s="122">
        <f t="shared" si="75"/>
        <v>11500</v>
      </c>
      <c r="AI173" s="122">
        <f t="shared" si="76"/>
        <v>27500</v>
      </c>
      <c r="AJ173" s="122">
        <f t="shared" si="77"/>
        <v>39000</v>
      </c>
      <c r="AK173" s="120">
        <v>300</v>
      </c>
      <c r="AL173" s="120">
        <v>600</v>
      </c>
      <c r="AM173" s="121">
        <f t="shared" si="78"/>
        <v>900</v>
      </c>
      <c r="AN173" s="122">
        <f t="shared" si="79"/>
        <v>6900</v>
      </c>
      <c r="AO173" s="122">
        <f t="shared" si="80"/>
        <v>16500</v>
      </c>
      <c r="AP173" s="122">
        <f t="shared" si="81"/>
        <v>23400</v>
      </c>
      <c r="AQ173" s="124">
        <f t="shared" si="82"/>
        <v>2000</v>
      </c>
      <c r="AR173" s="125">
        <f t="shared" si="83"/>
        <v>4000</v>
      </c>
      <c r="AS173" s="126">
        <f t="shared" si="84"/>
        <v>6000</v>
      </c>
      <c r="AT173" s="127">
        <f t="shared" si="85"/>
        <v>46000</v>
      </c>
      <c r="AU173" s="128">
        <f t="shared" si="86"/>
        <v>110000</v>
      </c>
      <c r="AV173" s="129">
        <f t="shared" si="87"/>
        <v>156000</v>
      </c>
      <c r="AW173" s="33"/>
      <c r="AX173" s="34">
        <f t="shared" si="61"/>
        <v>156000</v>
      </c>
    </row>
    <row r="174" spans="1:69" s="101" customFormat="1" ht="15" customHeight="1" x14ac:dyDescent="0.25">
      <c r="A174" s="113">
        <v>165</v>
      </c>
      <c r="B174" s="149" t="s">
        <v>218</v>
      </c>
      <c r="C174" s="153" t="s">
        <v>224</v>
      </c>
      <c r="D174" s="153" t="s">
        <v>224</v>
      </c>
      <c r="E174" s="116" t="s">
        <v>16</v>
      </c>
      <c r="F174" s="117">
        <v>100</v>
      </c>
      <c r="G174" s="117">
        <v>175</v>
      </c>
      <c r="H174" s="118">
        <v>23</v>
      </c>
      <c r="I174" s="118">
        <v>27.5</v>
      </c>
      <c r="J174" s="119" t="s">
        <v>23</v>
      </c>
      <c r="K174" s="119" t="s">
        <v>225</v>
      </c>
      <c r="L174" s="175" t="s">
        <v>25</v>
      </c>
      <c r="M174" s="121"/>
      <c r="N174" s="121"/>
      <c r="O174" s="121">
        <f t="shared" si="62"/>
        <v>0</v>
      </c>
      <c r="P174" s="122">
        <f t="shared" si="63"/>
        <v>0</v>
      </c>
      <c r="Q174" s="122">
        <f t="shared" si="64"/>
        <v>0</v>
      </c>
      <c r="R174" s="122">
        <f t="shared" si="65"/>
        <v>0</v>
      </c>
      <c r="S174" s="120">
        <v>900</v>
      </c>
      <c r="T174" s="120">
        <v>1575</v>
      </c>
      <c r="U174" s="121">
        <f t="shared" si="66"/>
        <v>2475</v>
      </c>
      <c r="V174" s="122">
        <f t="shared" si="67"/>
        <v>20700</v>
      </c>
      <c r="W174" s="122">
        <f t="shared" si="68"/>
        <v>43312.5</v>
      </c>
      <c r="X174" s="122">
        <f t="shared" si="69"/>
        <v>64012.5</v>
      </c>
      <c r="Y174" s="120">
        <v>300</v>
      </c>
      <c r="Z174" s="120">
        <v>525</v>
      </c>
      <c r="AA174" s="121">
        <f t="shared" si="70"/>
        <v>825</v>
      </c>
      <c r="AB174" s="122">
        <f t="shared" si="71"/>
        <v>6900</v>
      </c>
      <c r="AC174" s="122">
        <f t="shared" si="72"/>
        <v>14437.5</v>
      </c>
      <c r="AD174" s="122">
        <f t="shared" si="73"/>
        <v>21337.5</v>
      </c>
      <c r="AE174" s="133">
        <v>500</v>
      </c>
      <c r="AF174" s="133">
        <v>875</v>
      </c>
      <c r="AG174" s="121">
        <f t="shared" si="74"/>
        <v>1375</v>
      </c>
      <c r="AH174" s="122">
        <f t="shared" si="75"/>
        <v>11500</v>
      </c>
      <c r="AI174" s="122">
        <f t="shared" si="76"/>
        <v>24062.5</v>
      </c>
      <c r="AJ174" s="122">
        <f t="shared" si="77"/>
        <v>35562.5</v>
      </c>
      <c r="AK174" s="121">
        <v>300</v>
      </c>
      <c r="AL174" s="121">
        <v>525</v>
      </c>
      <c r="AM174" s="121">
        <f t="shared" si="78"/>
        <v>825</v>
      </c>
      <c r="AN174" s="122">
        <f t="shared" si="79"/>
        <v>6900</v>
      </c>
      <c r="AO174" s="122">
        <f t="shared" si="80"/>
        <v>14437.5</v>
      </c>
      <c r="AP174" s="122">
        <f t="shared" si="81"/>
        <v>21337.5</v>
      </c>
      <c r="AQ174" s="124">
        <f t="shared" si="82"/>
        <v>2000</v>
      </c>
      <c r="AR174" s="125">
        <f t="shared" si="83"/>
        <v>3500</v>
      </c>
      <c r="AS174" s="126">
        <f t="shared" si="84"/>
        <v>5500</v>
      </c>
      <c r="AT174" s="127">
        <f t="shared" si="85"/>
        <v>46000</v>
      </c>
      <c r="AU174" s="128">
        <f t="shared" si="86"/>
        <v>96250</v>
      </c>
      <c r="AV174" s="129">
        <f t="shared" si="87"/>
        <v>142250</v>
      </c>
      <c r="AW174" s="33"/>
      <c r="AX174" s="34">
        <f t="shared" si="61"/>
        <v>142250</v>
      </c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0"/>
      <c r="BK174" s="100"/>
      <c r="BL174" s="100"/>
      <c r="BM174" s="100"/>
      <c r="BN174" s="100"/>
      <c r="BO174" s="100"/>
      <c r="BP174" s="100"/>
      <c r="BQ174" s="100"/>
    </row>
    <row r="175" spans="1:69" s="33" customFormat="1" ht="12.75" customHeight="1" x14ac:dyDescent="0.25">
      <c r="A175" s="113">
        <v>166</v>
      </c>
      <c r="B175" s="114" t="s">
        <v>218</v>
      </c>
      <c r="C175" s="114" t="s">
        <v>218</v>
      </c>
      <c r="D175" s="114" t="s">
        <v>218</v>
      </c>
      <c r="E175" s="116" t="s">
        <v>16</v>
      </c>
      <c r="F175" s="117">
        <v>100</v>
      </c>
      <c r="G175" s="117">
        <v>200</v>
      </c>
      <c r="H175" s="118">
        <v>22</v>
      </c>
      <c r="I175" s="118">
        <v>27</v>
      </c>
      <c r="J175" s="119" t="s">
        <v>23</v>
      </c>
      <c r="K175" s="119" t="s">
        <v>226</v>
      </c>
      <c r="L175" s="175" t="s">
        <v>25</v>
      </c>
      <c r="M175" s="121"/>
      <c r="N175" s="121"/>
      <c r="O175" s="121">
        <f t="shared" si="62"/>
        <v>0</v>
      </c>
      <c r="P175" s="122">
        <f t="shared" si="63"/>
        <v>0</v>
      </c>
      <c r="Q175" s="122">
        <f t="shared" si="64"/>
        <v>0</v>
      </c>
      <c r="R175" s="122">
        <f t="shared" si="65"/>
        <v>0</v>
      </c>
      <c r="S175" s="132">
        <v>900</v>
      </c>
      <c r="T175" s="132">
        <v>1800</v>
      </c>
      <c r="U175" s="121">
        <f t="shared" si="66"/>
        <v>2700</v>
      </c>
      <c r="V175" s="122">
        <f t="shared" si="67"/>
        <v>19800</v>
      </c>
      <c r="W175" s="122">
        <f t="shared" si="68"/>
        <v>48600</v>
      </c>
      <c r="X175" s="122">
        <f t="shared" si="69"/>
        <v>68400</v>
      </c>
      <c r="Y175" s="132">
        <v>300</v>
      </c>
      <c r="Z175" s="132">
        <v>600</v>
      </c>
      <c r="AA175" s="121">
        <f t="shared" si="70"/>
        <v>900</v>
      </c>
      <c r="AB175" s="122">
        <f t="shared" si="71"/>
        <v>6600</v>
      </c>
      <c r="AC175" s="122">
        <f t="shared" si="72"/>
        <v>16200</v>
      </c>
      <c r="AD175" s="122">
        <f t="shared" si="73"/>
        <v>22800</v>
      </c>
      <c r="AE175" s="123">
        <v>100</v>
      </c>
      <c r="AF175" s="123">
        <v>200</v>
      </c>
      <c r="AG175" s="121">
        <f t="shared" si="74"/>
        <v>300</v>
      </c>
      <c r="AH175" s="122">
        <f t="shared" si="75"/>
        <v>2200</v>
      </c>
      <c r="AI175" s="122">
        <f t="shared" si="76"/>
        <v>5400</v>
      </c>
      <c r="AJ175" s="122">
        <f t="shared" si="77"/>
        <v>7600</v>
      </c>
      <c r="AK175" s="123">
        <v>0</v>
      </c>
      <c r="AL175" s="123">
        <v>0</v>
      </c>
      <c r="AM175" s="121">
        <f t="shared" si="78"/>
        <v>0</v>
      </c>
      <c r="AN175" s="122">
        <f t="shared" si="79"/>
        <v>0</v>
      </c>
      <c r="AO175" s="122">
        <f t="shared" si="80"/>
        <v>0</v>
      </c>
      <c r="AP175" s="122">
        <f t="shared" si="81"/>
        <v>0</v>
      </c>
      <c r="AQ175" s="124">
        <f t="shared" si="82"/>
        <v>1300</v>
      </c>
      <c r="AR175" s="125">
        <f t="shared" si="83"/>
        <v>2600</v>
      </c>
      <c r="AS175" s="126">
        <f t="shared" si="84"/>
        <v>3900</v>
      </c>
      <c r="AT175" s="127">
        <f t="shared" si="85"/>
        <v>28600</v>
      </c>
      <c r="AU175" s="128">
        <f t="shared" si="86"/>
        <v>70200</v>
      </c>
      <c r="AV175" s="129">
        <f t="shared" si="87"/>
        <v>98800</v>
      </c>
      <c r="AX175" s="34">
        <f t="shared" si="61"/>
        <v>98800</v>
      </c>
    </row>
    <row r="176" spans="1:69" ht="12.75" customHeight="1" x14ac:dyDescent="0.25">
      <c r="A176" s="113">
        <v>167</v>
      </c>
      <c r="B176" s="151" t="s">
        <v>227</v>
      </c>
      <c r="C176" s="154" t="s">
        <v>228</v>
      </c>
      <c r="D176" s="154" t="s">
        <v>228</v>
      </c>
      <c r="E176" s="116" t="s">
        <v>16</v>
      </c>
      <c r="F176" s="117">
        <v>75</v>
      </c>
      <c r="G176" s="117">
        <v>175</v>
      </c>
      <c r="H176" s="118">
        <v>31.27</v>
      </c>
      <c r="I176" s="118">
        <v>34.450000000000003</v>
      </c>
      <c r="J176" s="119" t="s">
        <v>17</v>
      </c>
      <c r="K176" s="120" t="s">
        <v>62</v>
      </c>
      <c r="L176" s="175" t="s">
        <v>18</v>
      </c>
      <c r="M176" s="121"/>
      <c r="N176" s="121"/>
      <c r="O176" s="121">
        <f t="shared" si="62"/>
        <v>0</v>
      </c>
      <c r="P176" s="122">
        <f t="shared" si="63"/>
        <v>0</v>
      </c>
      <c r="Q176" s="122">
        <f t="shared" si="64"/>
        <v>0</v>
      </c>
      <c r="R176" s="122">
        <f t="shared" si="65"/>
        <v>0</v>
      </c>
      <c r="S176" s="158">
        <v>450</v>
      </c>
      <c r="T176" s="158">
        <v>992</v>
      </c>
      <c r="U176" s="121">
        <f t="shared" si="66"/>
        <v>1442</v>
      </c>
      <c r="V176" s="122">
        <f t="shared" si="67"/>
        <v>14071.5</v>
      </c>
      <c r="W176" s="122">
        <f t="shared" si="68"/>
        <v>34174.400000000001</v>
      </c>
      <c r="X176" s="122">
        <f t="shared" si="69"/>
        <v>48245.9</v>
      </c>
      <c r="Y176" s="180">
        <v>225</v>
      </c>
      <c r="Z176" s="158">
        <v>330</v>
      </c>
      <c r="AA176" s="121">
        <f t="shared" si="70"/>
        <v>555</v>
      </c>
      <c r="AB176" s="122">
        <f t="shared" si="71"/>
        <v>7035.75</v>
      </c>
      <c r="AC176" s="122">
        <f t="shared" si="72"/>
        <v>11368.500000000002</v>
      </c>
      <c r="AD176" s="122">
        <f t="shared" si="73"/>
        <v>18404.25</v>
      </c>
      <c r="AE176" s="120">
        <v>375</v>
      </c>
      <c r="AF176" s="180">
        <v>875</v>
      </c>
      <c r="AG176" s="121">
        <f t="shared" si="74"/>
        <v>1250</v>
      </c>
      <c r="AH176" s="122">
        <f t="shared" si="75"/>
        <v>11726.25</v>
      </c>
      <c r="AI176" s="122">
        <f t="shared" si="76"/>
        <v>30143.750000000004</v>
      </c>
      <c r="AJ176" s="122">
        <f t="shared" si="77"/>
        <v>41870</v>
      </c>
      <c r="AK176" s="158">
        <v>225</v>
      </c>
      <c r="AL176" s="180">
        <v>515</v>
      </c>
      <c r="AM176" s="121">
        <f t="shared" si="78"/>
        <v>740</v>
      </c>
      <c r="AN176" s="122">
        <f t="shared" si="79"/>
        <v>7035.75</v>
      </c>
      <c r="AO176" s="122">
        <f t="shared" si="80"/>
        <v>17741.75</v>
      </c>
      <c r="AP176" s="122">
        <f t="shared" si="81"/>
        <v>24777.5</v>
      </c>
      <c r="AQ176" s="124">
        <f t="shared" si="82"/>
        <v>1275</v>
      </c>
      <c r="AR176" s="125">
        <f t="shared" si="83"/>
        <v>2712</v>
      </c>
      <c r="AS176" s="126">
        <f t="shared" si="84"/>
        <v>3987</v>
      </c>
      <c r="AT176" s="127">
        <f t="shared" si="85"/>
        <v>39869.25</v>
      </c>
      <c r="AU176" s="128">
        <f t="shared" si="86"/>
        <v>93428.400000000009</v>
      </c>
      <c r="AV176" s="129">
        <f t="shared" si="87"/>
        <v>133297.65000000002</v>
      </c>
      <c r="AX176" s="34">
        <f t="shared" si="61"/>
        <v>133297.65</v>
      </c>
    </row>
    <row r="177" spans="1:69" ht="12.75" customHeight="1" x14ac:dyDescent="0.25">
      <c r="A177" s="113">
        <v>168</v>
      </c>
      <c r="B177" s="151" t="s">
        <v>227</v>
      </c>
      <c r="C177" s="154" t="s">
        <v>229</v>
      </c>
      <c r="D177" s="154" t="s">
        <v>229</v>
      </c>
      <c r="E177" s="116" t="s">
        <v>16</v>
      </c>
      <c r="F177" s="117">
        <v>90</v>
      </c>
      <c r="G177" s="117">
        <v>150</v>
      </c>
      <c r="H177" s="118">
        <v>31.27</v>
      </c>
      <c r="I177" s="118">
        <v>34.450000000000003</v>
      </c>
      <c r="J177" s="119" t="s">
        <v>17</v>
      </c>
      <c r="K177" s="120" t="s">
        <v>62</v>
      </c>
      <c r="L177" s="175" t="s">
        <v>18</v>
      </c>
      <c r="M177" s="121"/>
      <c r="N177" s="121"/>
      <c r="O177" s="121">
        <f t="shared" si="62"/>
        <v>0</v>
      </c>
      <c r="P177" s="122">
        <f t="shared" si="63"/>
        <v>0</v>
      </c>
      <c r="Q177" s="122">
        <f t="shared" si="64"/>
        <v>0</v>
      </c>
      <c r="R177" s="122">
        <f t="shared" si="65"/>
        <v>0</v>
      </c>
      <c r="S177" s="158">
        <v>450</v>
      </c>
      <c r="T177" s="158">
        <v>750</v>
      </c>
      <c r="U177" s="121">
        <f t="shared" si="66"/>
        <v>1200</v>
      </c>
      <c r="V177" s="122">
        <f t="shared" si="67"/>
        <v>14071.5</v>
      </c>
      <c r="W177" s="122">
        <f t="shared" si="68"/>
        <v>25837.500000000004</v>
      </c>
      <c r="X177" s="122">
        <f t="shared" si="69"/>
        <v>39909</v>
      </c>
      <c r="Y177" s="180">
        <v>270</v>
      </c>
      <c r="Z177" s="158">
        <v>300</v>
      </c>
      <c r="AA177" s="121">
        <f t="shared" si="70"/>
        <v>570</v>
      </c>
      <c r="AB177" s="122">
        <f t="shared" si="71"/>
        <v>8442.9</v>
      </c>
      <c r="AC177" s="122">
        <f t="shared" si="72"/>
        <v>10335</v>
      </c>
      <c r="AD177" s="122">
        <f t="shared" si="73"/>
        <v>18777.900000000001</v>
      </c>
      <c r="AE177" s="180">
        <v>450</v>
      </c>
      <c r="AF177" s="180">
        <v>750</v>
      </c>
      <c r="AG177" s="121">
        <f t="shared" si="74"/>
        <v>1200</v>
      </c>
      <c r="AH177" s="122">
        <f t="shared" si="75"/>
        <v>14071.5</v>
      </c>
      <c r="AI177" s="122">
        <f t="shared" si="76"/>
        <v>25837.500000000004</v>
      </c>
      <c r="AJ177" s="122">
        <f t="shared" si="77"/>
        <v>39909</v>
      </c>
      <c r="AK177" s="121">
        <v>270</v>
      </c>
      <c r="AL177" s="123">
        <v>412</v>
      </c>
      <c r="AM177" s="121">
        <f t="shared" si="78"/>
        <v>682</v>
      </c>
      <c r="AN177" s="122">
        <f t="shared" si="79"/>
        <v>8442.9</v>
      </c>
      <c r="AO177" s="122">
        <f t="shared" si="80"/>
        <v>14193.400000000001</v>
      </c>
      <c r="AP177" s="122">
        <f t="shared" si="81"/>
        <v>22636.300000000003</v>
      </c>
      <c r="AQ177" s="124">
        <f t="shared" si="82"/>
        <v>1440</v>
      </c>
      <c r="AR177" s="125">
        <f t="shared" si="83"/>
        <v>2212</v>
      </c>
      <c r="AS177" s="126">
        <f t="shared" si="84"/>
        <v>3652</v>
      </c>
      <c r="AT177" s="127">
        <f t="shared" si="85"/>
        <v>45028.800000000003</v>
      </c>
      <c r="AU177" s="128">
        <f t="shared" si="86"/>
        <v>76203.399999999994</v>
      </c>
      <c r="AV177" s="129">
        <f t="shared" si="87"/>
        <v>121232.2</v>
      </c>
      <c r="AX177" s="34">
        <f t="shared" si="61"/>
        <v>121232.2</v>
      </c>
    </row>
    <row r="178" spans="1:69" ht="12.75" customHeight="1" x14ac:dyDescent="0.25">
      <c r="A178" s="113">
        <v>169</v>
      </c>
      <c r="B178" s="151" t="s">
        <v>227</v>
      </c>
      <c r="C178" s="152" t="s">
        <v>230</v>
      </c>
      <c r="D178" s="152" t="s">
        <v>230</v>
      </c>
      <c r="E178" s="116" t="s">
        <v>16</v>
      </c>
      <c r="F178" s="117">
        <v>80</v>
      </c>
      <c r="G178" s="117">
        <v>130</v>
      </c>
      <c r="H178" s="118">
        <v>31.27</v>
      </c>
      <c r="I178" s="118">
        <v>34.450000000000003</v>
      </c>
      <c r="J178" s="119" t="s">
        <v>17</v>
      </c>
      <c r="K178" s="120" t="s">
        <v>62</v>
      </c>
      <c r="L178" s="175" t="s">
        <v>18</v>
      </c>
      <c r="M178" s="121"/>
      <c r="N178" s="121"/>
      <c r="O178" s="121">
        <f t="shared" si="62"/>
        <v>0</v>
      </c>
      <c r="P178" s="122">
        <f t="shared" si="63"/>
        <v>0</v>
      </c>
      <c r="Q178" s="122">
        <f t="shared" si="64"/>
        <v>0</v>
      </c>
      <c r="R178" s="122">
        <f t="shared" si="65"/>
        <v>0</v>
      </c>
      <c r="S178" s="158">
        <v>480</v>
      </c>
      <c r="T178" s="158">
        <v>780</v>
      </c>
      <c r="U178" s="121">
        <f t="shared" si="66"/>
        <v>1260</v>
      </c>
      <c r="V178" s="122">
        <f t="shared" si="67"/>
        <v>15009.6</v>
      </c>
      <c r="W178" s="122">
        <f t="shared" si="68"/>
        <v>26871.000000000004</v>
      </c>
      <c r="X178" s="122">
        <f t="shared" si="69"/>
        <v>41880.600000000006</v>
      </c>
      <c r="Y178" s="132">
        <v>240</v>
      </c>
      <c r="Z178" s="123">
        <v>260</v>
      </c>
      <c r="AA178" s="121">
        <f t="shared" si="70"/>
        <v>500</v>
      </c>
      <c r="AB178" s="122">
        <f t="shared" si="71"/>
        <v>7504.8</v>
      </c>
      <c r="AC178" s="122">
        <f t="shared" si="72"/>
        <v>8957</v>
      </c>
      <c r="AD178" s="122">
        <f t="shared" si="73"/>
        <v>16461.8</v>
      </c>
      <c r="AE178" s="121">
        <v>400</v>
      </c>
      <c r="AF178" s="132">
        <v>650</v>
      </c>
      <c r="AG178" s="121">
        <f t="shared" si="74"/>
        <v>1050</v>
      </c>
      <c r="AH178" s="122">
        <f t="shared" si="75"/>
        <v>12508</v>
      </c>
      <c r="AI178" s="122">
        <f t="shared" si="76"/>
        <v>22392.500000000004</v>
      </c>
      <c r="AJ178" s="122">
        <f t="shared" si="77"/>
        <v>34900.5</v>
      </c>
      <c r="AK178" s="123">
        <v>160</v>
      </c>
      <c r="AL178" s="123">
        <v>260</v>
      </c>
      <c r="AM178" s="121">
        <f t="shared" si="78"/>
        <v>420</v>
      </c>
      <c r="AN178" s="122">
        <f t="shared" si="79"/>
        <v>5003.2</v>
      </c>
      <c r="AO178" s="122">
        <f t="shared" si="80"/>
        <v>8957</v>
      </c>
      <c r="AP178" s="122">
        <f t="shared" si="81"/>
        <v>13960.2</v>
      </c>
      <c r="AQ178" s="124">
        <f t="shared" si="82"/>
        <v>1280</v>
      </c>
      <c r="AR178" s="125">
        <f t="shared" si="83"/>
        <v>1950</v>
      </c>
      <c r="AS178" s="126">
        <f t="shared" si="84"/>
        <v>3230</v>
      </c>
      <c r="AT178" s="127">
        <f t="shared" si="85"/>
        <v>40025.599999999999</v>
      </c>
      <c r="AU178" s="128">
        <f t="shared" si="86"/>
        <v>67177.5</v>
      </c>
      <c r="AV178" s="129">
        <f t="shared" si="87"/>
        <v>107203.1</v>
      </c>
      <c r="AX178" s="34">
        <f t="shared" si="61"/>
        <v>107203.1</v>
      </c>
    </row>
    <row r="179" spans="1:69" s="33" customFormat="1" ht="12.75" customHeight="1" x14ac:dyDescent="0.25">
      <c r="A179" s="113">
        <v>170</v>
      </c>
      <c r="B179" s="114" t="s">
        <v>227</v>
      </c>
      <c r="C179" s="115" t="s">
        <v>231</v>
      </c>
      <c r="D179" s="115" t="s">
        <v>231</v>
      </c>
      <c r="E179" s="116" t="s">
        <v>16</v>
      </c>
      <c r="F179" s="117">
        <v>75</v>
      </c>
      <c r="G179" s="117">
        <v>125</v>
      </c>
      <c r="H179" s="118">
        <v>31.27</v>
      </c>
      <c r="I179" s="118">
        <v>34.450000000000003</v>
      </c>
      <c r="J179" s="119" t="s">
        <v>17</v>
      </c>
      <c r="K179" s="120" t="s">
        <v>62</v>
      </c>
      <c r="L179" s="175" t="s">
        <v>18</v>
      </c>
      <c r="M179" s="121"/>
      <c r="N179" s="121"/>
      <c r="O179" s="121">
        <f t="shared" si="62"/>
        <v>0</v>
      </c>
      <c r="P179" s="122">
        <f t="shared" si="63"/>
        <v>0</v>
      </c>
      <c r="Q179" s="122">
        <f t="shared" si="64"/>
        <v>0</v>
      </c>
      <c r="R179" s="122">
        <f t="shared" si="65"/>
        <v>0</v>
      </c>
      <c r="S179" s="158">
        <v>375</v>
      </c>
      <c r="T179" s="158">
        <v>517</v>
      </c>
      <c r="U179" s="121">
        <f t="shared" si="66"/>
        <v>892</v>
      </c>
      <c r="V179" s="122">
        <f t="shared" si="67"/>
        <v>11726.25</v>
      </c>
      <c r="W179" s="122">
        <f t="shared" si="68"/>
        <v>17810.650000000001</v>
      </c>
      <c r="X179" s="122">
        <f t="shared" si="69"/>
        <v>29536.9</v>
      </c>
      <c r="Y179" s="180">
        <v>225</v>
      </c>
      <c r="Z179" s="158">
        <v>200</v>
      </c>
      <c r="AA179" s="121">
        <f t="shared" si="70"/>
        <v>425</v>
      </c>
      <c r="AB179" s="122">
        <f t="shared" si="71"/>
        <v>7035.75</v>
      </c>
      <c r="AC179" s="122">
        <f t="shared" si="72"/>
        <v>6890.0000000000009</v>
      </c>
      <c r="AD179" s="122">
        <f t="shared" si="73"/>
        <v>13925.75</v>
      </c>
      <c r="AE179" s="158">
        <v>344</v>
      </c>
      <c r="AF179" s="158">
        <v>575</v>
      </c>
      <c r="AG179" s="121">
        <f t="shared" si="74"/>
        <v>919</v>
      </c>
      <c r="AH179" s="122">
        <f t="shared" si="75"/>
        <v>10756.88</v>
      </c>
      <c r="AI179" s="122">
        <f t="shared" si="76"/>
        <v>19808.75</v>
      </c>
      <c r="AJ179" s="122">
        <f t="shared" si="77"/>
        <v>30565.629999999997</v>
      </c>
      <c r="AK179" s="120">
        <v>225</v>
      </c>
      <c r="AL179" s="158">
        <v>330</v>
      </c>
      <c r="AM179" s="121">
        <f t="shared" si="78"/>
        <v>555</v>
      </c>
      <c r="AN179" s="122">
        <f t="shared" si="79"/>
        <v>7035.75</v>
      </c>
      <c r="AO179" s="122">
        <f t="shared" si="80"/>
        <v>11368.500000000002</v>
      </c>
      <c r="AP179" s="122">
        <f t="shared" si="81"/>
        <v>18404.25</v>
      </c>
      <c r="AQ179" s="124">
        <f t="shared" si="82"/>
        <v>1169</v>
      </c>
      <c r="AR179" s="125">
        <f t="shared" si="83"/>
        <v>1622</v>
      </c>
      <c r="AS179" s="126">
        <f t="shared" si="84"/>
        <v>2791</v>
      </c>
      <c r="AT179" s="127">
        <f t="shared" si="85"/>
        <v>36554.629999999997</v>
      </c>
      <c r="AU179" s="128">
        <f t="shared" si="86"/>
        <v>55877.9</v>
      </c>
      <c r="AV179" s="129">
        <f t="shared" si="87"/>
        <v>92432.53</v>
      </c>
      <c r="AX179" s="34">
        <f t="shared" si="61"/>
        <v>92432.53</v>
      </c>
    </row>
    <row r="180" spans="1:69" s="33" customFormat="1" ht="12.75" customHeight="1" x14ac:dyDescent="0.25">
      <c r="A180" s="113">
        <v>171</v>
      </c>
      <c r="B180" s="114" t="s">
        <v>227</v>
      </c>
      <c r="C180" s="115" t="s">
        <v>232</v>
      </c>
      <c r="D180" s="115" t="s">
        <v>232</v>
      </c>
      <c r="E180" s="116" t="s">
        <v>16</v>
      </c>
      <c r="F180" s="117">
        <v>100</v>
      </c>
      <c r="G180" s="117">
        <v>150</v>
      </c>
      <c r="H180" s="118">
        <v>31.27</v>
      </c>
      <c r="I180" s="118">
        <v>34.450000000000003</v>
      </c>
      <c r="J180" s="119" t="s">
        <v>17</v>
      </c>
      <c r="K180" s="120" t="s">
        <v>62</v>
      </c>
      <c r="L180" s="175" t="s">
        <v>18</v>
      </c>
      <c r="M180" s="121"/>
      <c r="N180" s="121"/>
      <c r="O180" s="121">
        <f t="shared" si="62"/>
        <v>0</v>
      </c>
      <c r="P180" s="122">
        <f t="shared" si="63"/>
        <v>0</v>
      </c>
      <c r="Q180" s="122">
        <f t="shared" si="64"/>
        <v>0</v>
      </c>
      <c r="R180" s="122">
        <f t="shared" si="65"/>
        <v>0</v>
      </c>
      <c r="S180" s="120">
        <v>600</v>
      </c>
      <c r="T180" s="158">
        <v>877</v>
      </c>
      <c r="U180" s="121">
        <f t="shared" si="66"/>
        <v>1477</v>
      </c>
      <c r="V180" s="122">
        <f t="shared" si="67"/>
        <v>18762</v>
      </c>
      <c r="W180" s="122">
        <f t="shared" si="68"/>
        <v>30212.65</v>
      </c>
      <c r="X180" s="122">
        <f t="shared" si="69"/>
        <v>48974.65</v>
      </c>
      <c r="Y180" s="180">
        <v>300</v>
      </c>
      <c r="Z180" s="158">
        <v>300</v>
      </c>
      <c r="AA180" s="121">
        <f t="shared" si="70"/>
        <v>600</v>
      </c>
      <c r="AB180" s="122">
        <f t="shared" si="71"/>
        <v>9381</v>
      </c>
      <c r="AC180" s="122">
        <f t="shared" si="72"/>
        <v>10335</v>
      </c>
      <c r="AD180" s="122">
        <f t="shared" si="73"/>
        <v>19716</v>
      </c>
      <c r="AE180" s="180">
        <v>500</v>
      </c>
      <c r="AF180" s="158">
        <v>745</v>
      </c>
      <c r="AG180" s="121">
        <f t="shared" si="74"/>
        <v>1245</v>
      </c>
      <c r="AH180" s="122">
        <f t="shared" si="75"/>
        <v>15635</v>
      </c>
      <c r="AI180" s="122">
        <f t="shared" si="76"/>
        <v>25665.250000000004</v>
      </c>
      <c r="AJ180" s="122">
        <f t="shared" si="77"/>
        <v>41300.25</v>
      </c>
      <c r="AK180" s="120">
        <v>300</v>
      </c>
      <c r="AL180" s="120">
        <v>450</v>
      </c>
      <c r="AM180" s="121">
        <f t="shared" si="78"/>
        <v>750</v>
      </c>
      <c r="AN180" s="122">
        <f t="shared" si="79"/>
        <v>9381</v>
      </c>
      <c r="AO180" s="122">
        <f t="shared" si="80"/>
        <v>15502.500000000002</v>
      </c>
      <c r="AP180" s="122">
        <f t="shared" si="81"/>
        <v>24883.5</v>
      </c>
      <c r="AQ180" s="124">
        <f t="shared" si="82"/>
        <v>1700</v>
      </c>
      <c r="AR180" s="125">
        <f t="shared" si="83"/>
        <v>2372</v>
      </c>
      <c r="AS180" s="126">
        <f t="shared" si="84"/>
        <v>4072</v>
      </c>
      <c r="AT180" s="127">
        <f t="shared" si="85"/>
        <v>53159</v>
      </c>
      <c r="AU180" s="128">
        <f t="shared" si="86"/>
        <v>81715.400000000009</v>
      </c>
      <c r="AV180" s="129">
        <f t="shared" si="87"/>
        <v>134874.40000000002</v>
      </c>
      <c r="AX180" s="34">
        <f t="shared" si="61"/>
        <v>134874.4</v>
      </c>
    </row>
    <row r="181" spans="1:69" s="33" customFormat="1" ht="12.75" customHeight="1" x14ac:dyDescent="0.25">
      <c r="A181" s="113">
        <v>172</v>
      </c>
      <c r="B181" s="114" t="s">
        <v>227</v>
      </c>
      <c r="C181" s="115" t="s">
        <v>233</v>
      </c>
      <c r="D181" s="115" t="s">
        <v>233</v>
      </c>
      <c r="E181" s="116" t="s">
        <v>16</v>
      </c>
      <c r="F181" s="117">
        <v>75</v>
      </c>
      <c r="G181" s="117">
        <v>125</v>
      </c>
      <c r="H181" s="118">
        <v>31.27</v>
      </c>
      <c r="I181" s="118">
        <v>34.450000000000003</v>
      </c>
      <c r="J181" s="119" t="s">
        <v>17</v>
      </c>
      <c r="K181" s="120" t="s">
        <v>62</v>
      </c>
      <c r="L181" s="175" t="s">
        <v>18</v>
      </c>
      <c r="M181" s="121"/>
      <c r="N181" s="121"/>
      <c r="O181" s="121">
        <f t="shared" si="62"/>
        <v>0</v>
      </c>
      <c r="P181" s="122">
        <f t="shared" si="63"/>
        <v>0</v>
      </c>
      <c r="Q181" s="122">
        <f t="shared" si="64"/>
        <v>0</v>
      </c>
      <c r="R181" s="122">
        <f t="shared" si="65"/>
        <v>0</v>
      </c>
      <c r="S181" s="120">
        <v>450</v>
      </c>
      <c r="T181" s="158">
        <v>738</v>
      </c>
      <c r="U181" s="121">
        <f t="shared" si="66"/>
        <v>1188</v>
      </c>
      <c r="V181" s="122">
        <f t="shared" si="67"/>
        <v>14071.5</v>
      </c>
      <c r="W181" s="122">
        <f t="shared" si="68"/>
        <v>25424.100000000002</v>
      </c>
      <c r="X181" s="122">
        <f t="shared" si="69"/>
        <v>39495.600000000006</v>
      </c>
      <c r="Y181" s="132">
        <v>225</v>
      </c>
      <c r="Z181" s="123">
        <v>250</v>
      </c>
      <c r="AA181" s="121">
        <f t="shared" si="70"/>
        <v>475</v>
      </c>
      <c r="AB181" s="122">
        <f t="shared" si="71"/>
        <v>7035.75</v>
      </c>
      <c r="AC181" s="122">
        <f t="shared" si="72"/>
        <v>8612.5</v>
      </c>
      <c r="AD181" s="122">
        <f t="shared" si="73"/>
        <v>15648.25</v>
      </c>
      <c r="AE181" s="121">
        <v>375</v>
      </c>
      <c r="AF181" s="132">
        <v>625</v>
      </c>
      <c r="AG181" s="121">
        <f t="shared" si="74"/>
        <v>1000</v>
      </c>
      <c r="AH181" s="122">
        <f t="shared" si="75"/>
        <v>11726.25</v>
      </c>
      <c r="AI181" s="122">
        <f t="shared" si="76"/>
        <v>21531.25</v>
      </c>
      <c r="AJ181" s="122">
        <f t="shared" si="77"/>
        <v>33257.5</v>
      </c>
      <c r="AK181" s="121">
        <v>225</v>
      </c>
      <c r="AL181" s="121">
        <v>375</v>
      </c>
      <c r="AM181" s="121">
        <f t="shared" si="78"/>
        <v>600</v>
      </c>
      <c r="AN181" s="122">
        <f t="shared" si="79"/>
        <v>7035.75</v>
      </c>
      <c r="AO181" s="122">
        <f t="shared" si="80"/>
        <v>12918.750000000002</v>
      </c>
      <c r="AP181" s="122">
        <f t="shared" si="81"/>
        <v>19954.5</v>
      </c>
      <c r="AQ181" s="124">
        <f t="shared" si="82"/>
        <v>1275</v>
      </c>
      <c r="AR181" s="125">
        <f t="shared" si="83"/>
        <v>1988</v>
      </c>
      <c r="AS181" s="126">
        <f t="shared" si="84"/>
        <v>3263</v>
      </c>
      <c r="AT181" s="127">
        <f t="shared" si="85"/>
        <v>39869.25</v>
      </c>
      <c r="AU181" s="128">
        <f t="shared" si="86"/>
        <v>68486.600000000006</v>
      </c>
      <c r="AV181" s="129">
        <f t="shared" si="87"/>
        <v>108355.85</v>
      </c>
      <c r="AX181" s="34">
        <f t="shared" si="61"/>
        <v>108355.85</v>
      </c>
    </row>
    <row r="182" spans="1:69" s="33" customFormat="1" ht="12.75" customHeight="1" x14ac:dyDescent="0.25">
      <c r="A182" s="113">
        <v>173</v>
      </c>
      <c r="B182" s="114" t="s">
        <v>227</v>
      </c>
      <c r="C182" s="115" t="s">
        <v>234</v>
      </c>
      <c r="D182" s="115" t="s">
        <v>234</v>
      </c>
      <c r="E182" s="116" t="s">
        <v>16</v>
      </c>
      <c r="F182" s="117">
        <v>100</v>
      </c>
      <c r="G182" s="117">
        <v>150</v>
      </c>
      <c r="H182" s="118">
        <v>31.27</v>
      </c>
      <c r="I182" s="118">
        <v>34.450000000000003</v>
      </c>
      <c r="J182" s="119" t="s">
        <v>17</v>
      </c>
      <c r="K182" s="120" t="s">
        <v>235</v>
      </c>
      <c r="L182" s="175" t="s">
        <v>18</v>
      </c>
      <c r="M182" s="121"/>
      <c r="N182" s="121"/>
      <c r="O182" s="121">
        <f t="shared" si="62"/>
        <v>0</v>
      </c>
      <c r="P182" s="122">
        <f t="shared" si="63"/>
        <v>0</v>
      </c>
      <c r="Q182" s="122">
        <f t="shared" si="64"/>
        <v>0</v>
      </c>
      <c r="R182" s="122">
        <f t="shared" si="65"/>
        <v>0</v>
      </c>
      <c r="S182" s="158">
        <v>600</v>
      </c>
      <c r="T182" s="158">
        <v>900</v>
      </c>
      <c r="U182" s="121">
        <f t="shared" si="66"/>
        <v>1500</v>
      </c>
      <c r="V182" s="122">
        <f t="shared" si="67"/>
        <v>18762</v>
      </c>
      <c r="W182" s="122">
        <f t="shared" si="68"/>
        <v>31005.000000000004</v>
      </c>
      <c r="X182" s="122">
        <f t="shared" si="69"/>
        <v>49767</v>
      </c>
      <c r="Y182" s="123">
        <v>292</v>
      </c>
      <c r="Z182" s="123">
        <v>300</v>
      </c>
      <c r="AA182" s="121">
        <f t="shared" si="70"/>
        <v>592</v>
      </c>
      <c r="AB182" s="122">
        <f t="shared" si="71"/>
        <v>9130.84</v>
      </c>
      <c r="AC182" s="122">
        <f t="shared" si="72"/>
        <v>10335</v>
      </c>
      <c r="AD182" s="122">
        <f t="shared" si="73"/>
        <v>19465.84</v>
      </c>
      <c r="AE182" s="121">
        <v>500</v>
      </c>
      <c r="AF182" s="132">
        <v>750</v>
      </c>
      <c r="AG182" s="121">
        <f t="shared" si="74"/>
        <v>1250</v>
      </c>
      <c r="AH182" s="122">
        <f t="shared" si="75"/>
        <v>15635</v>
      </c>
      <c r="AI182" s="122">
        <f t="shared" si="76"/>
        <v>25837.500000000004</v>
      </c>
      <c r="AJ182" s="122">
        <f t="shared" si="77"/>
        <v>41472.5</v>
      </c>
      <c r="AK182" s="121">
        <v>300</v>
      </c>
      <c r="AL182" s="121">
        <v>450</v>
      </c>
      <c r="AM182" s="121">
        <f t="shared" si="78"/>
        <v>750</v>
      </c>
      <c r="AN182" s="122">
        <f t="shared" si="79"/>
        <v>9381</v>
      </c>
      <c r="AO182" s="122">
        <f t="shared" si="80"/>
        <v>15502.500000000002</v>
      </c>
      <c r="AP182" s="122">
        <f t="shared" si="81"/>
        <v>24883.5</v>
      </c>
      <c r="AQ182" s="124">
        <f t="shared" si="82"/>
        <v>1692</v>
      </c>
      <c r="AR182" s="125">
        <f t="shared" si="83"/>
        <v>2400</v>
      </c>
      <c r="AS182" s="126">
        <f t="shared" si="84"/>
        <v>4092</v>
      </c>
      <c r="AT182" s="127">
        <f t="shared" si="85"/>
        <v>52908.84</v>
      </c>
      <c r="AU182" s="128">
        <f t="shared" si="86"/>
        <v>82680</v>
      </c>
      <c r="AV182" s="129">
        <f t="shared" si="87"/>
        <v>135588.84</v>
      </c>
      <c r="AX182" s="34">
        <f t="shared" si="61"/>
        <v>135588.84</v>
      </c>
    </row>
    <row r="183" spans="1:69" ht="12.75" customHeight="1" x14ac:dyDescent="0.25">
      <c r="A183" s="113">
        <v>174</v>
      </c>
      <c r="B183" s="151" t="s">
        <v>227</v>
      </c>
      <c r="C183" s="154" t="s">
        <v>236</v>
      </c>
      <c r="D183" s="154" t="s">
        <v>236</v>
      </c>
      <c r="E183" s="116" t="s">
        <v>16</v>
      </c>
      <c r="F183" s="117">
        <v>100</v>
      </c>
      <c r="G183" s="117">
        <v>150</v>
      </c>
      <c r="H183" s="118">
        <v>31.27</v>
      </c>
      <c r="I183" s="118">
        <v>34.450000000000003</v>
      </c>
      <c r="J183" s="119" t="s">
        <v>17</v>
      </c>
      <c r="K183" s="120" t="s">
        <v>62</v>
      </c>
      <c r="L183" s="175" t="s">
        <v>18</v>
      </c>
      <c r="M183" s="121"/>
      <c r="N183" s="121"/>
      <c r="O183" s="121">
        <f t="shared" si="62"/>
        <v>0</v>
      </c>
      <c r="P183" s="122">
        <f t="shared" si="63"/>
        <v>0</v>
      </c>
      <c r="Q183" s="122">
        <f t="shared" si="64"/>
        <v>0</v>
      </c>
      <c r="R183" s="122">
        <f t="shared" si="65"/>
        <v>0</v>
      </c>
      <c r="S183" s="158">
        <v>800</v>
      </c>
      <c r="T183" s="120">
        <v>1350</v>
      </c>
      <c r="U183" s="121">
        <f t="shared" si="66"/>
        <v>2150</v>
      </c>
      <c r="V183" s="122">
        <f t="shared" si="67"/>
        <v>25016</v>
      </c>
      <c r="W183" s="122">
        <f t="shared" si="68"/>
        <v>46507.500000000007</v>
      </c>
      <c r="X183" s="122">
        <f t="shared" si="69"/>
        <v>71523.5</v>
      </c>
      <c r="Y183" s="180">
        <v>300</v>
      </c>
      <c r="Z183" s="158">
        <v>300</v>
      </c>
      <c r="AA183" s="121">
        <f t="shared" si="70"/>
        <v>600</v>
      </c>
      <c r="AB183" s="122">
        <f t="shared" si="71"/>
        <v>9381</v>
      </c>
      <c r="AC183" s="122">
        <f t="shared" si="72"/>
        <v>10335</v>
      </c>
      <c r="AD183" s="122">
        <f t="shared" si="73"/>
        <v>19716</v>
      </c>
      <c r="AE183" s="120">
        <v>500</v>
      </c>
      <c r="AF183" s="180">
        <v>750</v>
      </c>
      <c r="AG183" s="121">
        <f t="shared" si="74"/>
        <v>1250</v>
      </c>
      <c r="AH183" s="122">
        <f t="shared" si="75"/>
        <v>15635</v>
      </c>
      <c r="AI183" s="122">
        <f t="shared" si="76"/>
        <v>25837.500000000004</v>
      </c>
      <c r="AJ183" s="122">
        <f t="shared" si="77"/>
        <v>41472.5</v>
      </c>
      <c r="AK183" s="120">
        <v>300</v>
      </c>
      <c r="AL183" s="120">
        <v>450</v>
      </c>
      <c r="AM183" s="121">
        <f t="shared" si="78"/>
        <v>750</v>
      </c>
      <c r="AN183" s="122">
        <f t="shared" si="79"/>
        <v>9381</v>
      </c>
      <c r="AO183" s="122">
        <f t="shared" si="80"/>
        <v>15502.500000000002</v>
      </c>
      <c r="AP183" s="122">
        <f t="shared" si="81"/>
        <v>24883.5</v>
      </c>
      <c r="AQ183" s="124">
        <f t="shared" si="82"/>
        <v>1900</v>
      </c>
      <c r="AR183" s="125">
        <f t="shared" si="83"/>
        <v>2850</v>
      </c>
      <c r="AS183" s="126">
        <f t="shared" si="84"/>
        <v>4750</v>
      </c>
      <c r="AT183" s="127">
        <f t="shared" si="85"/>
        <v>59413</v>
      </c>
      <c r="AU183" s="128">
        <f t="shared" si="86"/>
        <v>98182.500000000015</v>
      </c>
      <c r="AV183" s="129">
        <f t="shared" si="87"/>
        <v>157595.5</v>
      </c>
      <c r="AX183" s="34">
        <f t="shared" si="61"/>
        <v>157595.5</v>
      </c>
    </row>
    <row r="184" spans="1:69" ht="12.75" customHeight="1" x14ac:dyDescent="0.25">
      <c r="A184" s="113">
        <v>175</v>
      </c>
      <c r="B184" s="151" t="s">
        <v>227</v>
      </c>
      <c r="C184" s="154" t="s">
        <v>237</v>
      </c>
      <c r="D184" s="154" t="s">
        <v>237</v>
      </c>
      <c r="E184" s="116" t="s">
        <v>16</v>
      </c>
      <c r="F184" s="117">
        <v>75</v>
      </c>
      <c r="G184" s="117">
        <v>175</v>
      </c>
      <c r="H184" s="118">
        <v>31.27</v>
      </c>
      <c r="I184" s="118">
        <v>34.450000000000003</v>
      </c>
      <c r="J184" s="119" t="s">
        <v>17</v>
      </c>
      <c r="K184" s="120" t="s">
        <v>62</v>
      </c>
      <c r="L184" s="175" t="s">
        <v>18</v>
      </c>
      <c r="M184" s="121"/>
      <c r="N184" s="121"/>
      <c r="O184" s="121">
        <f t="shared" si="62"/>
        <v>0</v>
      </c>
      <c r="P184" s="122">
        <f t="shared" si="63"/>
        <v>0</v>
      </c>
      <c r="Q184" s="122">
        <f t="shared" si="64"/>
        <v>0</v>
      </c>
      <c r="R184" s="122">
        <f t="shared" si="65"/>
        <v>0</v>
      </c>
      <c r="S184" s="158">
        <v>600</v>
      </c>
      <c r="T184" s="180">
        <v>1575</v>
      </c>
      <c r="U184" s="121">
        <f t="shared" si="66"/>
        <v>2175</v>
      </c>
      <c r="V184" s="122">
        <f t="shared" si="67"/>
        <v>18762</v>
      </c>
      <c r="W184" s="122">
        <f t="shared" si="68"/>
        <v>54258.750000000007</v>
      </c>
      <c r="X184" s="122">
        <f t="shared" si="69"/>
        <v>73020.75</v>
      </c>
      <c r="Y184" s="120">
        <v>225</v>
      </c>
      <c r="Z184" s="158">
        <v>350</v>
      </c>
      <c r="AA184" s="121">
        <f t="shared" si="70"/>
        <v>575</v>
      </c>
      <c r="AB184" s="122">
        <f t="shared" si="71"/>
        <v>7035.75</v>
      </c>
      <c r="AC184" s="122">
        <f t="shared" si="72"/>
        <v>12057.500000000002</v>
      </c>
      <c r="AD184" s="122">
        <f t="shared" si="73"/>
        <v>19093.25</v>
      </c>
      <c r="AE184" s="120">
        <v>375</v>
      </c>
      <c r="AF184" s="120">
        <v>875</v>
      </c>
      <c r="AG184" s="121">
        <f t="shared" si="74"/>
        <v>1250</v>
      </c>
      <c r="AH184" s="122">
        <f t="shared" si="75"/>
        <v>11726.25</v>
      </c>
      <c r="AI184" s="122">
        <f t="shared" si="76"/>
        <v>30143.750000000004</v>
      </c>
      <c r="AJ184" s="122">
        <f t="shared" si="77"/>
        <v>41870</v>
      </c>
      <c r="AK184" s="120">
        <v>225</v>
      </c>
      <c r="AL184" s="158">
        <v>502</v>
      </c>
      <c r="AM184" s="121">
        <f t="shared" si="78"/>
        <v>727</v>
      </c>
      <c r="AN184" s="122">
        <f t="shared" si="79"/>
        <v>7035.75</v>
      </c>
      <c r="AO184" s="122">
        <f t="shared" si="80"/>
        <v>17293.900000000001</v>
      </c>
      <c r="AP184" s="122">
        <f t="shared" si="81"/>
        <v>24329.65</v>
      </c>
      <c r="AQ184" s="124">
        <f t="shared" si="82"/>
        <v>1425</v>
      </c>
      <c r="AR184" s="125">
        <f t="shared" si="83"/>
        <v>3302</v>
      </c>
      <c r="AS184" s="126">
        <f t="shared" si="84"/>
        <v>4727</v>
      </c>
      <c r="AT184" s="127">
        <f t="shared" si="85"/>
        <v>44559.75</v>
      </c>
      <c r="AU184" s="128">
        <f t="shared" si="86"/>
        <v>113753.90000000002</v>
      </c>
      <c r="AV184" s="129">
        <f t="shared" si="87"/>
        <v>158313.65000000002</v>
      </c>
      <c r="AX184" s="34">
        <f t="shared" si="61"/>
        <v>158313.65</v>
      </c>
    </row>
    <row r="185" spans="1:69" s="104" customFormat="1" ht="21.75" customHeight="1" x14ac:dyDescent="0.25">
      <c r="A185" s="10"/>
      <c r="B185" s="68"/>
      <c r="C185" s="69"/>
      <c r="D185" s="73"/>
      <c r="E185" s="39"/>
      <c r="F185" s="39"/>
      <c r="G185" s="40"/>
      <c r="H185" s="40"/>
      <c r="I185" s="39"/>
      <c r="J185" s="39"/>
      <c r="K185" s="39"/>
      <c r="L185" s="39"/>
      <c r="M185" s="41">
        <f t="shared" ref="M185:AI185" si="88">SUM(M10:M184)</f>
        <v>1750</v>
      </c>
      <c r="N185" s="41">
        <f t="shared" si="88"/>
        <v>2600</v>
      </c>
      <c r="O185" s="41">
        <f t="shared" si="88"/>
        <v>4350</v>
      </c>
      <c r="P185" s="42">
        <f t="shared" si="88"/>
        <v>49875</v>
      </c>
      <c r="Q185" s="42">
        <f t="shared" si="88"/>
        <v>76700</v>
      </c>
      <c r="R185" s="43">
        <f t="shared" si="88"/>
        <v>126575</v>
      </c>
      <c r="S185" s="41">
        <f t="shared" si="88"/>
        <v>169517</v>
      </c>
      <c r="T185" s="41">
        <f t="shared" si="88"/>
        <v>257485</v>
      </c>
      <c r="U185" s="41">
        <f t="shared" si="88"/>
        <v>427002</v>
      </c>
      <c r="V185" s="44">
        <f t="shared" si="88"/>
        <v>5028947.5300000012</v>
      </c>
      <c r="W185" s="44">
        <f t="shared" si="88"/>
        <v>8347910.5500000007</v>
      </c>
      <c r="X185" s="45">
        <f t="shared" si="88"/>
        <v>13376858.08</v>
      </c>
      <c r="Y185" s="41">
        <f t="shared" si="88"/>
        <v>57788</v>
      </c>
      <c r="Z185" s="41">
        <f t="shared" si="88"/>
        <v>85909</v>
      </c>
      <c r="AA185" s="41">
        <f t="shared" si="88"/>
        <v>143697</v>
      </c>
      <c r="AB185" s="42">
        <f t="shared" si="88"/>
        <v>1716386.5599999998</v>
      </c>
      <c r="AC185" s="42">
        <f t="shared" si="88"/>
        <v>2787112.9000000004</v>
      </c>
      <c r="AD185" s="77">
        <f t="shared" si="88"/>
        <v>4503499.46</v>
      </c>
      <c r="AE185" s="41">
        <f t="shared" si="88"/>
        <v>92412</v>
      </c>
      <c r="AF185" s="46">
        <f t="shared" si="88"/>
        <v>140752</v>
      </c>
      <c r="AG185" s="41">
        <f t="shared" si="88"/>
        <v>233164</v>
      </c>
      <c r="AH185" s="42">
        <f t="shared" si="88"/>
        <v>2751463.66</v>
      </c>
      <c r="AI185" s="42">
        <f t="shared" si="88"/>
        <v>4592040.6500000004</v>
      </c>
      <c r="AJ185" s="43">
        <f t="shared" ref="AJ185" si="89">AH185+AI185</f>
        <v>7343504.3100000005</v>
      </c>
      <c r="AK185" s="41">
        <f t="shared" ref="AK185:AV185" si="90">SUM(AK10:AK184)</f>
        <v>54618</v>
      </c>
      <c r="AL185" s="41">
        <f t="shared" si="90"/>
        <v>83077</v>
      </c>
      <c r="AM185" s="41">
        <f t="shared" si="90"/>
        <v>137695</v>
      </c>
      <c r="AN185" s="41">
        <f t="shared" si="90"/>
        <v>1629798.18</v>
      </c>
      <c r="AO185" s="41">
        <f t="shared" si="90"/>
        <v>2717604.65</v>
      </c>
      <c r="AP185" s="84">
        <f t="shared" si="90"/>
        <v>4347402.830000001</v>
      </c>
      <c r="AQ185" s="41">
        <f t="shared" si="90"/>
        <v>376085</v>
      </c>
      <c r="AR185" s="41">
        <f t="shared" si="90"/>
        <v>569823</v>
      </c>
      <c r="AS185" s="79">
        <f t="shared" si="90"/>
        <v>945908</v>
      </c>
      <c r="AT185" s="85">
        <f t="shared" si="90"/>
        <v>11176470.930000002</v>
      </c>
      <c r="AU185" s="80">
        <f t="shared" si="90"/>
        <v>18521368.749999993</v>
      </c>
      <c r="AV185" s="45">
        <f t="shared" si="90"/>
        <v>29697839.680000003</v>
      </c>
      <c r="AW185" s="102"/>
      <c r="AX185" s="103">
        <f>SUM(AX10:AX184)</f>
        <v>29697839.680000003</v>
      </c>
      <c r="AY185" s="102"/>
      <c r="AZ185" s="102"/>
      <c r="BA185" s="102"/>
      <c r="BB185" s="102"/>
      <c r="BC185" s="102"/>
      <c r="BD185" s="102"/>
      <c r="BE185" s="102"/>
      <c r="BF185" s="102"/>
      <c r="BG185" s="102"/>
      <c r="BH185" s="102"/>
      <c r="BI185" s="102"/>
      <c r="BJ185" s="102"/>
      <c r="BK185" s="102"/>
      <c r="BL185" s="102"/>
      <c r="BM185" s="102"/>
      <c r="BN185" s="102"/>
      <c r="BO185" s="102"/>
      <c r="BP185" s="102"/>
      <c r="BQ185" s="102"/>
    </row>
    <row r="186" spans="1:69" ht="12.75" customHeight="1" x14ac:dyDescent="0.2">
      <c r="A186" s="86"/>
      <c r="B186" s="87"/>
      <c r="C186" s="88"/>
      <c r="D186" s="89"/>
      <c r="E186" s="90"/>
      <c r="F186" s="90"/>
      <c r="G186" s="91"/>
      <c r="H186" s="91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2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3"/>
      <c r="AR186" s="93"/>
      <c r="AS186" s="94"/>
      <c r="AT186" s="93"/>
      <c r="AU186" s="93"/>
      <c r="AV186" s="93"/>
    </row>
    <row r="187" spans="1:69" ht="12.75" customHeight="1" x14ac:dyDescent="0.2">
      <c r="A187" s="86"/>
      <c r="B187" s="87"/>
      <c r="C187" s="88"/>
      <c r="D187" s="89"/>
      <c r="E187" s="90"/>
      <c r="F187" s="90"/>
      <c r="G187" s="91"/>
      <c r="H187" s="91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2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3"/>
      <c r="AR187" s="93"/>
      <c r="AS187" s="94"/>
      <c r="AT187" s="93"/>
      <c r="AU187" s="93"/>
      <c r="AV187" s="105">
        <f>R185+X185+AD185+AJ185+AP185</f>
        <v>29697839.680000003</v>
      </c>
    </row>
    <row r="188" spans="1:69" ht="12.75" customHeight="1" x14ac:dyDescent="0.2">
      <c r="A188" s="86"/>
      <c r="B188" s="87"/>
      <c r="C188" s="88"/>
      <c r="D188" s="89"/>
      <c r="E188" s="90"/>
      <c r="F188" s="90"/>
      <c r="G188" s="91"/>
      <c r="H188" s="91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2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3"/>
      <c r="AR188" s="93"/>
      <c r="AS188" s="94"/>
      <c r="AT188" s="93"/>
      <c r="AU188" s="93"/>
      <c r="AV188" s="106">
        <f>O185+U185+AA185+AG185+AM185</f>
        <v>945908</v>
      </c>
    </row>
    <row r="189" spans="1:69" ht="12.75" customHeight="1" x14ac:dyDescent="0.2">
      <c r="A189" s="86"/>
      <c r="B189" s="87"/>
      <c r="C189" s="88"/>
      <c r="D189" s="89"/>
      <c r="E189" s="90"/>
      <c r="F189" s="90"/>
      <c r="G189" s="91"/>
      <c r="H189" s="91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2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3"/>
      <c r="AR189" s="93"/>
      <c r="AS189" s="94"/>
      <c r="AT189" s="93"/>
      <c r="AU189" s="93"/>
      <c r="AV189" s="93"/>
    </row>
    <row r="190" spans="1:69" ht="12.75" customHeight="1" x14ac:dyDescent="0.2">
      <c r="A190" s="86"/>
      <c r="B190" s="87"/>
      <c r="C190" s="88"/>
      <c r="D190" s="89"/>
      <c r="E190" s="90"/>
      <c r="F190" s="90"/>
      <c r="G190" s="91"/>
      <c r="H190" s="91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2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3"/>
      <c r="AR190" s="93"/>
      <c r="AS190" s="94"/>
      <c r="AT190" s="93"/>
      <c r="AU190" s="93"/>
      <c r="AV190" s="93"/>
    </row>
    <row r="191" spans="1:69" ht="12.75" customHeight="1" x14ac:dyDescent="0.2">
      <c r="A191" s="86"/>
      <c r="B191" s="87"/>
      <c r="C191" s="88"/>
      <c r="D191" s="89"/>
      <c r="E191" s="90"/>
      <c r="F191" s="90"/>
      <c r="G191" s="91"/>
      <c r="H191" s="91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2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  <c r="AQ191" s="93"/>
      <c r="AR191" s="93"/>
      <c r="AS191" s="94"/>
      <c r="AT191" s="93"/>
      <c r="AU191" s="93"/>
      <c r="AV191" s="93"/>
    </row>
    <row r="192" spans="1:69" ht="12.75" customHeight="1" x14ac:dyDescent="0.2">
      <c r="A192" s="86"/>
      <c r="B192" s="87"/>
      <c r="C192" s="88"/>
      <c r="D192" s="89"/>
      <c r="E192" s="90"/>
      <c r="F192" s="90"/>
      <c r="G192" s="91"/>
      <c r="H192" s="91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2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3"/>
      <c r="AR192" s="93"/>
      <c r="AS192" s="94"/>
      <c r="AT192" s="93"/>
      <c r="AU192" s="93"/>
      <c r="AV192" s="93"/>
    </row>
    <row r="193" spans="1:48" ht="12.75" customHeight="1" x14ac:dyDescent="0.2">
      <c r="A193" s="86"/>
      <c r="B193" s="87"/>
      <c r="C193" s="88"/>
      <c r="D193" s="89"/>
      <c r="E193" s="90"/>
      <c r="F193" s="90"/>
      <c r="G193" s="91"/>
      <c r="H193" s="91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2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3"/>
      <c r="AR193" s="93"/>
      <c r="AS193" s="94"/>
      <c r="AT193" s="93"/>
      <c r="AU193" s="93"/>
      <c r="AV193" s="93"/>
    </row>
    <row r="194" spans="1:48" ht="12.75" customHeight="1" x14ac:dyDescent="0.2">
      <c r="A194" s="86"/>
      <c r="B194" s="87"/>
      <c r="C194" s="88"/>
      <c r="D194" s="89"/>
      <c r="E194" s="90"/>
      <c r="F194" s="90"/>
      <c r="G194" s="91"/>
      <c r="H194" s="91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2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3"/>
      <c r="AR194" s="93"/>
      <c r="AS194" s="94"/>
      <c r="AT194" s="93"/>
      <c r="AU194" s="93"/>
      <c r="AV194" s="93"/>
    </row>
    <row r="195" spans="1:48" ht="12.75" customHeight="1" x14ac:dyDescent="0.2">
      <c r="A195" s="86"/>
      <c r="B195" s="87"/>
      <c r="C195" s="88"/>
      <c r="D195" s="89"/>
      <c r="E195" s="90"/>
      <c r="F195" s="90"/>
      <c r="G195" s="91"/>
      <c r="H195" s="91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2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3"/>
      <c r="AR195" s="93"/>
      <c r="AS195" s="94"/>
      <c r="AT195" s="93"/>
      <c r="AU195" s="93"/>
      <c r="AV195" s="93"/>
    </row>
    <row r="196" spans="1:48" ht="12.75" customHeight="1" x14ac:dyDescent="0.2">
      <c r="A196" s="86"/>
      <c r="B196" s="87"/>
      <c r="C196" s="88"/>
      <c r="D196" s="89"/>
      <c r="E196" s="90"/>
      <c r="F196" s="90"/>
      <c r="G196" s="91"/>
      <c r="H196" s="91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2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3"/>
      <c r="AR196" s="93"/>
      <c r="AS196" s="94"/>
      <c r="AT196" s="93"/>
      <c r="AU196" s="93"/>
      <c r="AV196" s="93"/>
    </row>
    <row r="197" spans="1:48" ht="12.75" customHeight="1" x14ac:dyDescent="0.2">
      <c r="A197" s="86"/>
      <c r="B197" s="87"/>
      <c r="C197" s="88"/>
      <c r="D197" s="89"/>
      <c r="E197" s="90"/>
      <c r="F197" s="90"/>
      <c r="G197" s="91"/>
      <c r="H197" s="91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2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3"/>
      <c r="AR197" s="93"/>
      <c r="AS197" s="94"/>
      <c r="AT197" s="93"/>
      <c r="AU197" s="93"/>
      <c r="AV197" s="93"/>
    </row>
    <row r="198" spans="1:48" ht="12.75" customHeight="1" x14ac:dyDescent="0.2">
      <c r="A198" s="86"/>
      <c r="B198" s="87"/>
      <c r="C198" s="88"/>
      <c r="D198" s="89"/>
      <c r="E198" s="90"/>
      <c r="F198" s="90"/>
      <c r="G198" s="91"/>
      <c r="H198" s="91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2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3"/>
      <c r="AR198" s="93"/>
      <c r="AS198" s="94"/>
      <c r="AT198" s="93"/>
      <c r="AU198" s="93"/>
      <c r="AV198" s="93"/>
    </row>
    <row r="199" spans="1:48" ht="12.75" customHeight="1" x14ac:dyDescent="0.2">
      <c r="A199" s="86"/>
      <c r="B199" s="87"/>
      <c r="C199" s="88"/>
      <c r="D199" s="89"/>
      <c r="E199" s="90"/>
      <c r="F199" s="90"/>
      <c r="G199" s="91"/>
      <c r="H199" s="91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2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3"/>
      <c r="AR199" s="93"/>
      <c r="AS199" s="94"/>
      <c r="AT199" s="93"/>
      <c r="AU199" s="93"/>
      <c r="AV199" s="93"/>
    </row>
    <row r="200" spans="1:48" ht="12.75" customHeight="1" x14ac:dyDescent="0.2">
      <c r="A200" s="86"/>
      <c r="B200" s="87"/>
      <c r="C200" s="88"/>
      <c r="D200" s="89"/>
      <c r="E200" s="90"/>
      <c r="F200" s="90"/>
      <c r="G200" s="91"/>
      <c r="H200" s="91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2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3"/>
      <c r="AR200" s="93"/>
      <c r="AS200" s="94"/>
      <c r="AT200" s="93"/>
      <c r="AU200" s="93"/>
      <c r="AV200" s="93"/>
    </row>
    <row r="201" spans="1:48" ht="12.75" customHeight="1" x14ac:dyDescent="0.2">
      <c r="A201" s="86"/>
      <c r="B201" s="87"/>
      <c r="C201" s="88"/>
      <c r="D201" s="89"/>
      <c r="E201" s="90"/>
      <c r="F201" s="90"/>
      <c r="G201" s="91"/>
      <c r="H201" s="91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2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3"/>
      <c r="AR201" s="93"/>
      <c r="AS201" s="94"/>
      <c r="AT201" s="93"/>
      <c r="AU201" s="93"/>
      <c r="AV201" s="93"/>
    </row>
    <row r="202" spans="1:48" ht="12.75" customHeight="1" x14ac:dyDescent="0.2">
      <c r="A202" s="86"/>
      <c r="B202" s="87"/>
      <c r="C202" s="88"/>
      <c r="D202" s="89"/>
      <c r="E202" s="90"/>
      <c r="F202" s="90"/>
      <c r="G202" s="91"/>
      <c r="H202" s="91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2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3"/>
      <c r="AR202" s="93"/>
      <c r="AS202" s="94"/>
      <c r="AT202" s="93"/>
      <c r="AU202" s="93"/>
      <c r="AV202" s="93"/>
    </row>
    <row r="203" spans="1:48" ht="12.75" customHeight="1" x14ac:dyDescent="0.2">
      <c r="A203" s="86"/>
      <c r="B203" s="87"/>
      <c r="C203" s="88"/>
      <c r="D203" s="89"/>
      <c r="E203" s="90"/>
      <c r="F203" s="90"/>
      <c r="G203" s="91"/>
      <c r="H203" s="91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2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3"/>
      <c r="AR203" s="93"/>
      <c r="AS203" s="94"/>
      <c r="AT203" s="93"/>
      <c r="AU203" s="93"/>
      <c r="AV203" s="93"/>
    </row>
    <row r="204" spans="1:48" ht="12.75" customHeight="1" x14ac:dyDescent="0.2">
      <c r="A204" s="86"/>
      <c r="B204" s="87"/>
      <c r="C204" s="88"/>
      <c r="D204" s="89"/>
      <c r="E204" s="90"/>
      <c r="F204" s="90"/>
      <c r="G204" s="91"/>
      <c r="H204" s="91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2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3"/>
      <c r="AR204" s="93"/>
      <c r="AS204" s="94"/>
      <c r="AT204" s="93"/>
      <c r="AU204" s="93"/>
      <c r="AV204" s="93"/>
    </row>
    <row r="205" spans="1:48" ht="12.75" customHeight="1" x14ac:dyDescent="0.2">
      <c r="A205" s="86"/>
      <c r="B205" s="87"/>
      <c r="C205" s="88"/>
      <c r="D205" s="89"/>
      <c r="E205" s="90"/>
      <c r="F205" s="90"/>
      <c r="G205" s="91"/>
      <c r="H205" s="91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2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3"/>
      <c r="AR205" s="93"/>
      <c r="AS205" s="94"/>
      <c r="AT205" s="93"/>
      <c r="AU205" s="93"/>
      <c r="AV205" s="93"/>
    </row>
    <row r="206" spans="1:48" ht="12.75" customHeight="1" x14ac:dyDescent="0.2">
      <c r="A206" s="86"/>
      <c r="B206" s="87"/>
      <c r="C206" s="88"/>
      <c r="D206" s="89"/>
      <c r="E206" s="90"/>
      <c r="F206" s="90"/>
      <c r="G206" s="91"/>
      <c r="H206" s="91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2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3"/>
      <c r="AR206" s="93"/>
      <c r="AS206" s="94"/>
      <c r="AT206" s="93"/>
      <c r="AU206" s="93"/>
      <c r="AV206" s="93"/>
    </row>
    <row r="207" spans="1:48" ht="12.75" customHeight="1" x14ac:dyDescent="0.2">
      <c r="A207" s="86"/>
      <c r="B207" s="87"/>
      <c r="C207" s="88"/>
      <c r="D207" s="89"/>
      <c r="E207" s="90"/>
      <c r="F207" s="90"/>
      <c r="G207" s="91"/>
      <c r="H207" s="91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2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  <c r="AQ207" s="93"/>
      <c r="AR207" s="93"/>
      <c r="AS207" s="94"/>
      <c r="AT207" s="93"/>
      <c r="AU207" s="93"/>
      <c r="AV207" s="93"/>
    </row>
    <row r="208" spans="1:48" ht="12.75" customHeight="1" x14ac:dyDescent="0.2">
      <c r="A208" s="86"/>
      <c r="B208" s="87"/>
      <c r="C208" s="88"/>
      <c r="D208" s="89"/>
      <c r="E208" s="90"/>
      <c r="F208" s="90"/>
      <c r="G208" s="91"/>
      <c r="H208" s="91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2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3"/>
      <c r="AR208" s="93"/>
      <c r="AS208" s="94"/>
      <c r="AT208" s="93"/>
      <c r="AU208" s="93"/>
      <c r="AV208" s="93"/>
    </row>
    <row r="209" spans="1:48" ht="12.75" customHeight="1" x14ac:dyDescent="0.2">
      <c r="A209" s="86"/>
      <c r="B209" s="87"/>
      <c r="C209" s="88"/>
      <c r="D209" s="89"/>
      <c r="E209" s="90"/>
      <c r="F209" s="90"/>
      <c r="G209" s="91"/>
      <c r="H209" s="91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2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3"/>
      <c r="AR209" s="93"/>
      <c r="AS209" s="94"/>
      <c r="AT209" s="93"/>
      <c r="AU209" s="93"/>
      <c r="AV209" s="93"/>
    </row>
    <row r="210" spans="1:48" ht="12.75" customHeight="1" x14ac:dyDescent="0.2">
      <c r="A210" s="86"/>
      <c r="B210" s="87"/>
      <c r="C210" s="88"/>
      <c r="D210" s="89"/>
      <c r="E210" s="90"/>
      <c r="F210" s="90"/>
      <c r="G210" s="91"/>
      <c r="H210" s="91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2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3"/>
      <c r="AR210" s="93"/>
      <c r="AS210" s="94"/>
      <c r="AT210" s="93"/>
      <c r="AU210" s="93"/>
      <c r="AV210" s="93"/>
    </row>
    <row r="211" spans="1:48" ht="12.75" customHeight="1" x14ac:dyDescent="0.2">
      <c r="A211" s="86"/>
      <c r="B211" s="87"/>
      <c r="C211" s="88"/>
      <c r="D211" s="89"/>
      <c r="E211" s="90"/>
      <c r="F211" s="90"/>
      <c r="G211" s="91"/>
      <c r="H211" s="91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2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3"/>
      <c r="AR211" s="93"/>
      <c r="AS211" s="94"/>
      <c r="AT211" s="93"/>
      <c r="AU211" s="93"/>
      <c r="AV211" s="93"/>
    </row>
    <row r="212" spans="1:48" ht="12.75" customHeight="1" x14ac:dyDescent="0.2">
      <c r="A212" s="86"/>
      <c r="B212" s="87"/>
      <c r="C212" s="88"/>
      <c r="D212" s="89"/>
      <c r="E212" s="90"/>
      <c r="F212" s="90"/>
      <c r="G212" s="91"/>
      <c r="H212" s="91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2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3"/>
      <c r="AR212" s="93"/>
      <c r="AS212" s="94"/>
      <c r="AT212" s="93"/>
      <c r="AU212" s="93"/>
      <c r="AV212" s="93"/>
    </row>
    <row r="213" spans="1:48" ht="12.75" customHeight="1" x14ac:dyDescent="0.2">
      <c r="A213" s="86"/>
      <c r="B213" s="87"/>
      <c r="C213" s="88"/>
      <c r="D213" s="89"/>
      <c r="E213" s="90"/>
      <c r="F213" s="90"/>
      <c r="G213" s="91"/>
      <c r="H213" s="91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2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3"/>
      <c r="AR213" s="93"/>
      <c r="AS213" s="94"/>
      <c r="AT213" s="93"/>
      <c r="AU213" s="93"/>
      <c r="AV213" s="93"/>
    </row>
    <row r="214" spans="1:48" ht="12.75" customHeight="1" x14ac:dyDescent="0.2">
      <c r="A214" s="86"/>
      <c r="B214" s="87"/>
      <c r="C214" s="88"/>
      <c r="D214" s="89"/>
      <c r="E214" s="90"/>
      <c r="F214" s="90"/>
      <c r="G214" s="91"/>
      <c r="H214" s="91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2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3"/>
      <c r="AR214" s="93"/>
      <c r="AS214" s="94"/>
      <c r="AT214" s="93"/>
      <c r="AU214" s="93"/>
      <c r="AV214" s="93"/>
    </row>
    <row r="215" spans="1:48" ht="12.75" customHeight="1" x14ac:dyDescent="0.2">
      <c r="A215" s="86"/>
      <c r="B215" s="87"/>
      <c r="C215" s="88"/>
      <c r="D215" s="89"/>
      <c r="E215" s="90"/>
      <c r="F215" s="90"/>
      <c r="G215" s="91"/>
      <c r="H215" s="91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2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3"/>
      <c r="AR215" s="93"/>
      <c r="AS215" s="94"/>
      <c r="AT215" s="93"/>
      <c r="AU215" s="93"/>
      <c r="AV215" s="93"/>
    </row>
    <row r="216" spans="1:48" ht="12.75" customHeight="1" x14ac:dyDescent="0.2">
      <c r="A216" s="86"/>
      <c r="B216" s="87"/>
      <c r="C216" s="88"/>
      <c r="D216" s="89"/>
      <c r="E216" s="90"/>
      <c r="F216" s="90"/>
      <c r="G216" s="91"/>
      <c r="H216" s="91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2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3"/>
      <c r="AR216" s="93"/>
      <c r="AS216" s="94"/>
      <c r="AT216" s="93"/>
      <c r="AU216" s="93"/>
      <c r="AV216" s="93"/>
    </row>
    <row r="217" spans="1:48" ht="12.75" customHeight="1" x14ac:dyDescent="0.2">
      <c r="A217" s="86"/>
      <c r="B217" s="87"/>
      <c r="C217" s="88"/>
      <c r="D217" s="89"/>
      <c r="E217" s="90"/>
      <c r="F217" s="90"/>
      <c r="G217" s="91"/>
      <c r="H217" s="91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2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3"/>
      <c r="AR217" s="93"/>
      <c r="AS217" s="94"/>
      <c r="AT217" s="93"/>
      <c r="AU217" s="93"/>
      <c r="AV217" s="93"/>
    </row>
    <row r="218" spans="1:48" ht="12.75" customHeight="1" x14ac:dyDescent="0.2">
      <c r="A218" s="86"/>
      <c r="B218" s="87"/>
      <c r="C218" s="88"/>
      <c r="D218" s="89"/>
      <c r="E218" s="90"/>
      <c r="F218" s="90"/>
      <c r="G218" s="91"/>
      <c r="H218" s="91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2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3"/>
      <c r="AR218" s="93"/>
      <c r="AS218" s="94"/>
      <c r="AT218" s="93"/>
      <c r="AU218" s="93"/>
      <c r="AV218" s="93"/>
    </row>
    <row r="219" spans="1:48" ht="12.75" customHeight="1" x14ac:dyDescent="0.2">
      <c r="A219" s="86"/>
      <c r="B219" s="87"/>
      <c r="C219" s="88"/>
      <c r="D219" s="89"/>
      <c r="E219" s="90"/>
      <c r="F219" s="90"/>
      <c r="G219" s="91"/>
      <c r="H219" s="91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2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3"/>
      <c r="AR219" s="93"/>
      <c r="AS219" s="94"/>
      <c r="AT219" s="93"/>
      <c r="AU219" s="93"/>
      <c r="AV219" s="93"/>
    </row>
    <row r="220" spans="1:48" ht="12.75" customHeight="1" x14ac:dyDescent="0.2">
      <c r="A220" s="86"/>
      <c r="B220" s="87"/>
      <c r="C220" s="88"/>
      <c r="D220" s="89"/>
      <c r="E220" s="90"/>
      <c r="F220" s="90"/>
      <c r="G220" s="91"/>
      <c r="H220" s="91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2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3"/>
      <c r="AR220" s="93"/>
      <c r="AS220" s="94"/>
      <c r="AT220" s="93"/>
      <c r="AU220" s="93"/>
      <c r="AV220" s="93"/>
    </row>
    <row r="221" spans="1:48" ht="12.75" customHeight="1" x14ac:dyDescent="0.2">
      <c r="A221" s="86"/>
      <c r="B221" s="87"/>
      <c r="C221" s="88"/>
      <c r="D221" s="89"/>
      <c r="E221" s="90"/>
      <c r="F221" s="90"/>
      <c r="G221" s="91"/>
      <c r="H221" s="91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2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3"/>
      <c r="AR221" s="93"/>
      <c r="AS221" s="94"/>
      <c r="AT221" s="93"/>
      <c r="AU221" s="93"/>
      <c r="AV221" s="93"/>
    </row>
    <row r="222" spans="1:48" ht="12.75" customHeight="1" x14ac:dyDescent="0.2">
      <c r="A222" s="86"/>
      <c r="B222" s="87"/>
      <c r="C222" s="88"/>
      <c r="D222" s="89"/>
      <c r="E222" s="90"/>
      <c r="F222" s="90"/>
      <c r="G222" s="91"/>
      <c r="H222" s="91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2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3"/>
      <c r="AR222" s="93"/>
      <c r="AS222" s="94"/>
      <c r="AT222" s="93"/>
      <c r="AU222" s="93"/>
      <c r="AV222" s="93"/>
    </row>
    <row r="223" spans="1:48" ht="12.75" customHeight="1" x14ac:dyDescent="0.2">
      <c r="A223" s="86"/>
      <c r="B223" s="87"/>
      <c r="C223" s="88"/>
      <c r="D223" s="89"/>
      <c r="E223" s="90"/>
      <c r="F223" s="90"/>
      <c r="G223" s="91"/>
      <c r="H223" s="91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2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  <c r="AQ223" s="93"/>
      <c r="AR223" s="93"/>
      <c r="AS223" s="94"/>
      <c r="AT223" s="93"/>
      <c r="AU223" s="93"/>
      <c r="AV223" s="93"/>
    </row>
    <row r="224" spans="1:48" ht="12.75" customHeight="1" x14ac:dyDescent="0.2">
      <c r="A224" s="86"/>
      <c r="B224" s="87"/>
      <c r="C224" s="88"/>
      <c r="D224" s="89"/>
      <c r="E224" s="90"/>
      <c r="F224" s="90"/>
      <c r="G224" s="91"/>
      <c r="H224" s="91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2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3"/>
      <c r="AR224" s="93"/>
      <c r="AS224" s="94"/>
      <c r="AT224" s="93"/>
      <c r="AU224" s="93"/>
      <c r="AV224" s="93"/>
    </row>
    <row r="225" spans="1:48" ht="12.75" customHeight="1" x14ac:dyDescent="0.2">
      <c r="A225" s="86"/>
      <c r="B225" s="87"/>
      <c r="C225" s="88"/>
      <c r="D225" s="89"/>
      <c r="E225" s="90"/>
      <c r="F225" s="90"/>
      <c r="G225" s="91"/>
      <c r="H225" s="91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2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3"/>
      <c r="AR225" s="93"/>
      <c r="AS225" s="94"/>
      <c r="AT225" s="93"/>
      <c r="AU225" s="93"/>
      <c r="AV225" s="93"/>
    </row>
    <row r="226" spans="1:48" ht="12.75" customHeight="1" x14ac:dyDescent="0.2">
      <c r="A226" s="86"/>
      <c r="B226" s="87"/>
      <c r="C226" s="88"/>
      <c r="D226" s="89"/>
      <c r="E226" s="90"/>
      <c r="F226" s="90"/>
      <c r="G226" s="91"/>
      <c r="H226" s="91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2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3"/>
      <c r="AR226" s="93"/>
      <c r="AS226" s="94"/>
      <c r="AT226" s="93"/>
      <c r="AU226" s="93"/>
      <c r="AV226" s="93"/>
    </row>
    <row r="227" spans="1:48" ht="12.75" customHeight="1" x14ac:dyDescent="0.2">
      <c r="A227" s="86"/>
      <c r="B227" s="87"/>
      <c r="C227" s="88"/>
      <c r="D227" s="89"/>
      <c r="E227" s="90"/>
      <c r="F227" s="90"/>
      <c r="G227" s="91"/>
      <c r="H227" s="91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2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3"/>
      <c r="AR227" s="93"/>
      <c r="AS227" s="94"/>
      <c r="AT227" s="93"/>
      <c r="AU227" s="93"/>
      <c r="AV227" s="93"/>
    </row>
    <row r="228" spans="1:48" ht="12.75" customHeight="1" x14ac:dyDescent="0.2">
      <c r="A228" s="86"/>
      <c r="B228" s="87"/>
      <c r="C228" s="88"/>
      <c r="D228" s="89"/>
      <c r="E228" s="90"/>
      <c r="F228" s="90"/>
      <c r="G228" s="91"/>
      <c r="H228" s="91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2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3"/>
      <c r="AR228" s="93"/>
      <c r="AS228" s="94"/>
      <c r="AT228" s="93"/>
      <c r="AU228" s="93"/>
      <c r="AV228" s="93"/>
    </row>
    <row r="229" spans="1:48" ht="12.75" customHeight="1" x14ac:dyDescent="0.2">
      <c r="A229" s="86"/>
      <c r="B229" s="87"/>
      <c r="C229" s="88"/>
      <c r="D229" s="89"/>
      <c r="E229" s="90"/>
      <c r="F229" s="90"/>
      <c r="G229" s="91"/>
      <c r="H229" s="91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2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3"/>
      <c r="AR229" s="93"/>
      <c r="AS229" s="94"/>
      <c r="AT229" s="93"/>
      <c r="AU229" s="93"/>
      <c r="AV229" s="93"/>
    </row>
    <row r="230" spans="1:48" ht="12.75" customHeight="1" x14ac:dyDescent="0.2">
      <c r="A230" s="86"/>
      <c r="B230" s="87"/>
      <c r="C230" s="88"/>
      <c r="D230" s="89"/>
      <c r="E230" s="90"/>
      <c r="F230" s="90"/>
      <c r="G230" s="91"/>
      <c r="H230" s="91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2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3"/>
      <c r="AR230" s="93"/>
      <c r="AS230" s="94"/>
      <c r="AT230" s="93"/>
      <c r="AU230" s="93"/>
      <c r="AV230" s="93"/>
    </row>
    <row r="231" spans="1:48" ht="12.75" customHeight="1" x14ac:dyDescent="0.2">
      <c r="A231" s="86"/>
      <c r="B231" s="87"/>
      <c r="C231" s="88"/>
      <c r="D231" s="89"/>
      <c r="E231" s="90"/>
      <c r="F231" s="90"/>
      <c r="G231" s="91"/>
      <c r="H231" s="91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2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3"/>
      <c r="AR231" s="93"/>
      <c r="AS231" s="94"/>
      <c r="AT231" s="93"/>
      <c r="AU231" s="93"/>
      <c r="AV231" s="93"/>
    </row>
    <row r="232" spans="1:48" ht="12.75" customHeight="1" x14ac:dyDescent="0.2">
      <c r="A232" s="86"/>
      <c r="B232" s="87"/>
      <c r="C232" s="88"/>
      <c r="D232" s="89"/>
      <c r="E232" s="90"/>
      <c r="F232" s="90"/>
      <c r="G232" s="91"/>
      <c r="H232" s="91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2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3"/>
      <c r="AR232" s="93"/>
      <c r="AS232" s="94"/>
      <c r="AT232" s="93"/>
      <c r="AU232" s="93"/>
      <c r="AV232" s="93"/>
    </row>
    <row r="233" spans="1:48" ht="12.75" customHeight="1" x14ac:dyDescent="0.2">
      <c r="A233" s="86"/>
      <c r="B233" s="87"/>
      <c r="C233" s="88"/>
      <c r="D233" s="89"/>
      <c r="E233" s="90"/>
      <c r="F233" s="90"/>
      <c r="G233" s="91"/>
      <c r="H233" s="91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2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3"/>
      <c r="AR233" s="93"/>
      <c r="AS233" s="94"/>
      <c r="AT233" s="93"/>
      <c r="AU233" s="93"/>
      <c r="AV233" s="93"/>
    </row>
    <row r="234" spans="1:48" ht="12.75" customHeight="1" x14ac:dyDescent="0.2">
      <c r="A234" s="86"/>
      <c r="B234" s="87"/>
      <c r="C234" s="88"/>
      <c r="D234" s="89"/>
      <c r="E234" s="90"/>
      <c r="F234" s="90"/>
      <c r="G234" s="91"/>
      <c r="H234" s="91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2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3"/>
      <c r="AR234" s="93"/>
      <c r="AS234" s="94"/>
      <c r="AT234" s="93"/>
      <c r="AU234" s="93"/>
      <c r="AV234" s="93"/>
    </row>
    <row r="235" spans="1:48" ht="12.75" customHeight="1" x14ac:dyDescent="0.2">
      <c r="A235" s="86"/>
      <c r="B235" s="87"/>
      <c r="C235" s="88"/>
      <c r="D235" s="89"/>
      <c r="E235" s="90"/>
      <c r="F235" s="90"/>
      <c r="G235" s="91"/>
      <c r="H235" s="91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2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3"/>
      <c r="AR235" s="93"/>
      <c r="AS235" s="94"/>
      <c r="AT235" s="93"/>
      <c r="AU235" s="93"/>
      <c r="AV235" s="93"/>
    </row>
    <row r="236" spans="1:48" ht="12.75" customHeight="1" x14ac:dyDescent="0.2">
      <c r="A236" s="86"/>
      <c r="B236" s="87"/>
      <c r="C236" s="88"/>
      <c r="D236" s="89"/>
      <c r="E236" s="90"/>
      <c r="F236" s="90"/>
      <c r="G236" s="91"/>
      <c r="H236" s="91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2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3"/>
      <c r="AR236" s="93"/>
      <c r="AS236" s="94"/>
      <c r="AT236" s="93"/>
      <c r="AU236" s="93"/>
      <c r="AV236" s="93"/>
    </row>
    <row r="237" spans="1:48" ht="12.75" customHeight="1" x14ac:dyDescent="0.2">
      <c r="A237" s="86"/>
      <c r="B237" s="87"/>
      <c r="C237" s="88"/>
      <c r="D237" s="89"/>
      <c r="E237" s="90"/>
      <c r="F237" s="90"/>
      <c r="G237" s="91"/>
      <c r="H237" s="91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2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3"/>
      <c r="AR237" s="93"/>
      <c r="AS237" s="94"/>
      <c r="AT237" s="93"/>
      <c r="AU237" s="93"/>
      <c r="AV237" s="93"/>
    </row>
    <row r="238" spans="1:48" ht="12.75" customHeight="1" x14ac:dyDescent="0.2">
      <c r="A238" s="86"/>
      <c r="B238" s="87"/>
      <c r="C238" s="88"/>
      <c r="D238" s="89"/>
      <c r="E238" s="90"/>
      <c r="F238" s="90"/>
      <c r="G238" s="91"/>
      <c r="H238" s="91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2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3"/>
      <c r="AR238" s="93"/>
      <c r="AS238" s="94"/>
      <c r="AT238" s="93"/>
      <c r="AU238" s="93"/>
      <c r="AV238" s="93"/>
    </row>
    <row r="239" spans="1:48" ht="12.75" customHeight="1" x14ac:dyDescent="0.2">
      <c r="A239" s="86"/>
      <c r="B239" s="87"/>
      <c r="C239" s="88"/>
      <c r="D239" s="89"/>
      <c r="E239" s="90"/>
      <c r="F239" s="90"/>
      <c r="G239" s="91"/>
      <c r="H239" s="91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2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3"/>
      <c r="AR239" s="93"/>
      <c r="AS239" s="94"/>
      <c r="AT239" s="93"/>
      <c r="AU239" s="93"/>
      <c r="AV239" s="93"/>
    </row>
    <row r="240" spans="1:48" ht="12.75" customHeight="1" x14ac:dyDescent="0.2">
      <c r="A240" s="86"/>
      <c r="B240" s="87"/>
      <c r="C240" s="88"/>
      <c r="D240" s="89"/>
      <c r="E240" s="90"/>
      <c r="F240" s="90"/>
      <c r="G240" s="91"/>
      <c r="H240" s="91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2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3"/>
      <c r="AR240" s="93"/>
      <c r="AS240" s="94"/>
      <c r="AT240" s="93"/>
      <c r="AU240" s="93"/>
      <c r="AV240" s="93"/>
    </row>
    <row r="241" spans="1:48" ht="12.75" customHeight="1" x14ac:dyDescent="0.2">
      <c r="A241" s="86"/>
      <c r="B241" s="87"/>
      <c r="C241" s="88"/>
      <c r="D241" s="89"/>
      <c r="E241" s="90"/>
      <c r="F241" s="90"/>
      <c r="G241" s="91"/>
      <c r="H241" s="91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2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3"/>
      <c r="AR241" s="93"/>
      <c r="AS241" s="94"/>
      <c r="AT241" s="93"/>
      <c r="AU241" s="93"/>
      <c r="AV241" s="93"/>
    </row>
    <row r="242" spans="1:48" ht="12.75" customHeight="1" x14ac:dyDescent="0.2">
      <c r="A242" s="86"/>
      <c r="B242" s="87"/>
      <c r="C242" s="88"/>
      <c r="D242" s="89"/>
      <c r="E242" s="90"/>
      <c r="F242" s="90"/>
      <c r="G242" s="91"/>
      <c r="H242" s="91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2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3"/>
      <c r="AR242" s="93"/>
      <c r="AS242" s="94"/>
      <c r="AT242" s="93"/>
      <c r="AU242" s="93"/>
      <c r="AV242" s="93"/>
    </row>
    <row r="243" spans="1:48" ht="12.75" customHeight="1" x14ac:dyDescent="0.2">
      <c r="A243" s="86"/>
      <c r="B243" s="87"/>
      <c r="C243" s="88"/>
      <c r="D243" s="89"/>
      <c r="E243" s="90"/>
      <c r="F243" s="90"/>
      <c r="G243" s="91"/>
      <c r="H243" s="91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2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3"/>
      <c r="AR243" s="93"/>
      <c r="AS243" s="94"/>
      <c r="AT243" s="93"/>
      <c r="AU243" s="93"/>
      <c r="AV243" s="93"/>
    </row>
    <row r="244" spans="1:48" ht="12.75" customHeight="1" x14ac:dyDescent="0.2">
      <c r="A244" s="86"/>
      <c r="B244" s="87"/>
      <c r="C244" s="88"/>
      <c r="D244" s="89"/>
      <c r="E244" s="90"/>
      <c r="F244" s="90"/>
      <c r="G244" s="91"/>
      <c r="H244" s="91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2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3"/>
      <c r="AR244" s="93"/>
      <c r="AS244" s="94"/>
      <c r="AT244" s="93"/>
      <c r="AU244" s="93"/>
      <c r="AV244" s="93"/>
    </row>
    <row r="245" spans="1:48" ht="12.75" customHeight="1" x14ac:dyDescent="0.2">
      <c r="A245" s="86"/>
      <c r="B245" s="87"/>
      <c r="C245" s="88"/>
      <c r="D245" s="89"/>
      <c r="E245" s="90"/>
      <c r="F245" s="90"/>
      <c r="G245" s="91"/>
      <c r="H245" s="91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2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3"/>
      <c r="AR245" s="93"/>
      <c r="AS245" s="94"/>
      <c r="AT245" s="93"/>
      <c r="AU245" s="93"/>
      <c r="AV245" s="93"/>
    </row>
    <row r="246" spans="1:48" ht="12.75" customHeight="1" x14ac:dyDescent="0.2">
      <c r="A246" s="86"/>
      <c r="B246" s="87"/>
      <c r="C246" s="88"/>
      <c r="D246" s="89"/>
      <c r="E246" s="90"/>
      <c r="F246" s="90"/>
      <c r="G246" s="91"/>
      <c r="H246" s="91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2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3"/>
      <c r="AR246" s="93"/>
      <c r="AS246" s="94"/>
      <c r="AT246" s="93"/>
      <c r="AU246" s="93"/>
      <c r="AV246" s="93"/>
    </row>
    <row r="247" spans="1:48" ht="12.75" customHeight="1" x14ac:dyDescent="0.2">
      <c r="A247" s="86"/>
      <c r="B247" s="87"/>
      <c r="C247" s="88"/>
      <c r="D247" s="89"/>
      <c r="E247" s="90"/>
      <c r="F247" s="90"/>
      <c r="G247" s="91"/>
      <c r="H247" s="91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2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3"/>
      <c r="AR247" s="93"/>
      <c r="AS247" s="94"/>
      <c r="AT247" s="93"/>
      <c r="AU247" s="93"/>
      <c r="AV247" s="93"/>
    </row>
    <row r="248" spans="1:48" ht="12.75" customHeight="1" x14ac:dyDescent="0.2">
      <c r="A248" s="86"/>
      <c r="B248" s="87"/>
      <c r="C248" s="88"/>
      <c r="D248" s="89"/>
      <c r="E248" s="90"/>
      <c r="F248" s="90"/>
      <c r="G248" s="91"/>
      <c r="H248" s="91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2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3"/>
      <c r="AR248" s="93"/>
      <c r="AS248" s="94"/>
      <c r="AT248" s="93"/>
      <c r="AU248" s="93"/>
      <c r="AV248" s="93"/>
    </row>
    <row r="249" spans="1:48" ht="12.75" customHeight="1" x14ac:dyDescent="0.2">
      <c r="A249" s="86"/>
      <c r="B249" s="87"/>
      <c r="C249" s="88"/>
      <c r="D249" s="89"/>
      <c r="E249" s="90"/>
      <c r="F249" s="90"/>
      <c r="G249" s="91"/>
      <c r="H249" s="91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2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3"/>
      <c r="AR249" s="93"/>
      <c r="AS249" s="94"/>
      <c r="AT249" s="93"/>
      <c r="AU249" s="93"/>
      <c r="AV249" s="93"/>
    </row>
    <row r="250" spans="1:48" ht="12.75" customHeight="1" x14ac:dyDescent="0.2">
      <c r="A250" s="86"/>
      <c r="B250" s="87"/>
      <c r="C250" s="88"/>
      <c r="D250" s="89"/>
      <c r="E250" s="90"/>
      <c r="F250" s="90"/>
      <c r="G250" s="91"/>
      <c r="H250" s="91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2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3"/>
      <c r="AR250" s="93"/>
      <c r="AS250" s="94"/>
      <c r="AT250" s="93"/>
      <c r="AU250" s="93"/>
      <c r="AV250" s="93"/>
    </row>
    <row r="251" spans="1:48" ht="12.75" customHeight="1" x14ac:dyDescent="0.2">
      <c r="A251" s="86"/>
      <c r="B251" s="87"/>
      <c r="C251" s="88"/>
      <c r="D251" s="89"/>
      <c r="E251" s="90"/>
      <c r="F251" s="90"/>
      <c r="G251" s="91"/>
      <c r="H251" s="91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2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3"/>
      <c r="AR251" s="93"/>
      <c r="AS251" s="94"/>
      <c r="AT251" s="93"/>
      <c r="AU251" s="93"/>
      <c r="AV251" s="93"/>
    </row>
    <row r="252" spans="1:48" ht="12.75" customHeight="1" x14ac:dyDescent="0.2">
      <c r="A252" s="86"/>
      <c r="B252" s="87"/>
      <c r="C252" s="88"/>
      <c r="D252" s="89"/>
      <c r="E252" s="90"/>
      <c r="F252" s="90"/>
      <c r="G252" s="91"/>
      <c r="H252" s="91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2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3"/>
      <c r="AR252" s="93"/>
      <c r="AS252" s="94"/>
      <c r="AT252" s="93"/>
      <c r="AU252" s="93"/>
      <c r="AV252" s="93"/>
    </row>
    <row r="253" spans="1:48" ht="12.75" customHeight="1" x14ac:dyDescent="0.2">
      <c r="A253" s="86"/>
      <c r="B253" s="87"/>
      <c r="C253" s="88"/>
      <c r="D253" s="89"/>
      <c r="E253" s="90"/>
      <c r="F253" s="90"/>
      <c r="G253" s="91"/>
      <c r="H253" s="91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2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3"/>
      <c r="AR253" s="93"/>
      <c r="AS253" s="94"/>
      <c r="AT253" s="93"/>
      <c r="AU253" s="93"/>
      <c r="AV253" s="93"/>
    </row>
    <row r="254" spans="1:48" ht="12.75" customHeight="1" x14ac:dyDescent="0.2">
      <c r="A254" s="86"/>
      <c r="B254" s="87"/>
      <c r="C254" s="88"/>
      <c r="D254" s="89"/>
      <c r="E254" s="90"/>
      <c r="F254" s="90"/>
      <c r="G254" s="91"/>
      <c r="H254" s="91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2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3"/>
      <c r="AR254" s="93"/>
      <c r="AS254" s="94"/>
      <c r="AT254" s="93"/>
      <c r="AU254" s="93"/>
      <c r="AV254" s="93"/>
    </row>
    <row r="255" spans="1:48" ht="12.75" customHeight="1" x14ac:dyDescent="0.2">
      <c r="A255" s="86"/>
      <c r="B255" s="87"/>
      <c r="C255" s="88"/>
      <c r="D255" s="89"/>
      <c r="E255" s="90"/>
      <c r="F255" s="90"/>
      <c r="G255" s="91"/>
      <c r="H255" s="91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2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3"/>
      <c r="AR255" s="93"/>
      <c r="AS255" s="94"/>
      <c r="AT255" s="93"/>
      <c r="AU255" s="93"/>
      <c r="AV255" s="93"/>
    </row>
    <row r="256" spans="1:48" ht="12.75" customHeight="1" x14ac:dyDescent="0.2">
      <c r="A256" s="86"/>
      <c r="B256" s="87"/>
      <c r="C256" s="88"/>
      <c r="D256" s="89"/>
      <c r="E256" s="90"/>
      <c r="F256" s="90"/>
      <c r="G256" s="91"/>
      <c r="H256" s="91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2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3"/>
      <c r="AR256" s="93"/>
      <c r="AS256" s="94"/>
      <c r="AT256" s="93"/>
      <c r="AU256" s="93"/>
      <c r="AV256" s="93"/>
    </row>
    <row r="257" spans="1:48" ht="12.75" customHeight="1" x14ac:dyDescent="0.2">
      <c r="A257" s="86"/>
      <c r="B257" s="87"/>
      <c r="C257" s="88"/>
      <c r="D257" s="89"/>
      <c r="E257" s="90"/>
      <c r="F257" s="90"/>
      <c r="G257" s="91"/>
      <c r="H257" s="91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2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3"/>
      <c r="AR257" s="93"/>
      <c r="AS257" s="94"/>
      <c r="AT257" s="93"/>
      <c r="AU257" s="93"/>
      <c r="AV257" s="93"/>
    </row>
    <row r="258" spans="1:48" ht="12.75" customHeight="1" x14ac:dyDescent="0.2">
      <c r="A258" s="86"/>
      <c r="B258" s="87"/>
      <c r="C258" s="88"/>
      <c r="D258" s="89"/>
      <c r="E258" s="90"/>
      <c r="F258" s="90"/>
      <c r="G258" s="91"/>
      <c r="H258" s="91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2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3"/>
      <c r="AR258" s="93"/>
      <c r="AS258" s="94"/>
      <c r="AT258" s="93"/>
      <c r="AU258" s="93"/>
      <c r="AV258" s="93"/>
    </row>
    <row r="259" spans="1:48" ht="12.75" customHeight="1" x14ac:dyDescent="0.2">
      <c r="A259" s="86"/>
      <c r="B259" s="87"/>
      <c r="C259" s="88"/>
      <c r="D259" s="89"/>
      <c r="E259" s="90"/>
      <c r="F259" s="90"/>
      <c r="G259" s="91"/>
      <c r="H259" s="91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2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3"/>
      <c r="AR259" s="93"/>
      <c r="AS259" s="94"/>
      <c r="AT259" s="93"/>
      <c r="AU259" s="93"/>
      <c r="AV259" s="93"/>
    </row>
    <row r="260" spans="1:48" ht="12.75" customHeight="1" x14ac:dyDescent="0.2">
      <c r="A260" s="86"/>
      <c r="B260" s="87"/>
      <c r="C260" s="88"/>
      <c r="D260" s="89"/>
      <c r="E260" s="90"/>
      <c r="F260" s="90"/>
      <c r="G260" s="91"/>
      <c r="H260" s="91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2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3"/>
      <c r="AR260" s="93"/>
      <c r="AS260" s="94"/>
      <c r="AT260" s="93"/>
      <c r="AU260" s="93"/>
      <c r="AV260" s="93"/>
    </row>
    <row r="261" spans="1:48" ht="12.75" customHeight="1" x14ac:dyDescent="0.2">
      <c r="A261" s="86"/>
      <c r="B261" s="87"/>
      <c r="C261" s="88"/>
      <c r="D261" s="89"/>
      <c r="E261" s="90"/>
      <c r="F261" s="90"/>
      <c r="G261" s="91"/>
      <c r="H261" s="91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2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3"/>
      <c r="AR261" s="93"/>
      <c r="AS261" s="94"/>
      <c r="AT261" s="93"/>
      <c r="AU261" s="93"/>
      <c r="AV261" s="93"/>
    </row>
    <row r="262" spans="1:48" ht="12.75" customHeight="1" x14ac:dyDescent="0.2">
      <c r="A262" s="86"/>
      <c r="B262" s="87"/>
      <c r="C262" s="88"/>
      <c r="D262" s="89"/>
      <c r="E262" s="90"/>
      <c r="F262" s="90"/>
      <c r="G262" s="91"/>
      <c r="H262" s="91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2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3"/>
      <c r="AR262" s="93"/>
      <c r="AS262" s="94"/>
      <c r="AT262" s="93"/>
      <c r="AU262" s="93"/>
      <c r="AV262" s="93"/>
    </row>
    <row r="263" spans="1:48" ht="12.75" customHeight="1" x14ac:dyDescent="0.2">
      <c r="A263" s="86"/>
      <c r="B263" s="87"/>
      <c r="C263" s="88"/>
      <c r="D263" s="89"/>
      <c r="E263" s="90"/>
      <c r="F263" s="90"/>
      <c r="G263" s="91"/>
      <c r="H263" s="91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2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3"/>
      <c r="AR263" s="93"/>
      <c r="AS263" s="94"/>
      <c r="AT263" s="93"/>
      <c r="AU263" s="93"/>
      <c r="AV263" s="93"/>
    </row>
    <row r="264" spans="1:48" ht="12.75" customHeight="1" x14ac:dyDescent="0.2">
      <c r="A264" s="86"/>
      <c r="B264" s="87"/>
      <c r="C264" s="88"/>
      <c r="D264" s="89"/>
      <c r="E264" s="90"/>
      <c r="F264" s="90"/>
      <c r="G264" s="91"/>
      <c r="H264" s="91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2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3"/>
      <c r="AR264" s="93"/>
      <c r="AS264" s="94"/>
      <c r="AT264" s="93"/>
      <c r="AU264" s="93"/>
      <c r="AV264" s="93"/>
    </row>
    <row r="265" spans="1:48" ht="12.75" customHeight="1" x14ac:dyDescent="0.2">
      <c r="A265" s="86"/>
      <c r="B265" s="87"/>
      <c r="C265" s="88"/>
      <c r="D265" s="89"/>
      <c r="E265" s="90"/>
      <c r="F265" s="90"/>
      <c r="G265" s="91"/>
      <c r="H265" s="91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2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3"/>
      <c r="AR265" s="93"/>
      <c r="AS265" s="94"/>
      <c r="AT265" s="93"/>
      <c r="AU265" s="93"/>
      <c r="AV265" s="93"/>
    </row>
    <row r="266" spans="1:48" ht="12.75" customHeight="1" x14ac:dyDescent="0.2">
      <c r="A266" s="86"/>
      <c r="B266" s="87"/>
      <c r="C266" s="88"/>
      <c r="D266" s="89"/>
      <c r="E266" s="90"/>
      <c r="F266" s="90"/>
      <c r="G266" s="91"/>
      <c r="H266" s="91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2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3"/>
      <c r="AR266" s="93"/>
      <c r="AS266" s="94"/>
      <c r="AT266" s="93"/>
      <c r="AU266" s="93"/>
      <c r="AV266" s="93"/>
    </row>
    <row r="267" spans="1:48" ht="12.75" customHeight="1" x14ac:dyDescent="0.2">
      <c r="A267" s="86"/>
      <c r="B267" s="87"/>
      <c r="C267" s="88"/>
      <c r="D267" s="89"/>
      <c r="E267" s="90"/>
      <c r="F267" s="90"/>
      <c r="G267" s="91"/>
      <c r="H267" s="91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2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3"/>
      <c r="AR267" s="93"/>
      <c r="AS267" s="94"/>
      <c r="AT267" s="93"/>
      <c r="AU267" s="93"/>
      <c r="AV267" s="93"/>
    </row>
    <row r="268" spans="1:48" ht="12.75" customHeight="1" x14ac:dyDescent="0.2">
      <c r="A268" s="86"/>
      <c r="B268" s="87"/>
      <c r="C268" s="88"/>
      <c r="D268" s="89"/>
      <c r="E268" s="90"/>
      <c r="F268" s="90"/>
      <c r="G268" s="91"/>
      <c r="H268" s="91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2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3"/>
      <c r="AR268" s="93"/>
      <c r="AS268" s="94"/>
      <c r="AT268" s="93"/>
      <c r="AU268" s="93"/>
      <c r="AV268" s="93"/>
    </row>
    <row r="269" spans="1:48" ht="12.75" customHeight="1" x14ac:dyDescent="0.2">
      <c r="A269" s="86"/>
      <c r="B269" s="87"/>
      <c r="C269" s="88"/>
      <c r="D269" s="89"/>
      <c r="E269" s="90"/>
      <c r="F269" s="90"/>
      <c r="G269" s="91"/>
      <c r="H269" s="91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2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3"/>
      <c r="AR269" s="93"/>
      <c r="AS269" s="94"/>
      <c r="AT269" s="93"/>
      <c r="AU269" s="93"/>
      <c r="AV269" s="93"/>
    </row>
    <row r="270" spans="1:48" ht="12.75" customHeight="1" x14ac:dyDescent="0.2">
      <c r="A270" s="86"/>
      <c r="B270" s="87"/>
      <c r="C270" s="88"/>
      <c r="D270" s="89"/>
      <c r="E270" s="90"/>
      <c r="F270" s="90"/>
      <c r="G270" s="91"/>
      <c r="H270" s="91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2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3"/>
      <c r="AR270" s="93"/>
      <c r="AS270" s="94"/>
      <c r="AT270" s="93"/>
      <c r="AU270" s="93"/>
      <c r="AV270" s="93"/>
    </row>
    <row r="271" spans="1:48" ht="12.75" customHeight="1" x14ac:dyDescent="0.2">
      <c r="A271" s="86"/>
      <c r="B271" s="87"/>
      <c r="C271" s="88"/>
      <c r="D271" s="89"/>
      <c r="E271" s="90"/>
      <c r="F271" s="90"/>
      <c r="G271" s="91"/>
      <c r="H271" s="91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2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3"/>
      <c r="AR271" s="93"/>
      <c r="AS271" s="94"/>
      <c r="AT271" s="93"/>
      <c r="AU271" s="93"/>
      <c r="AV271" s="93"/>
    </row>
    <row r="272" spans="1:48" ht="12.75" customHeight="1" x14ac:dyDescent="0.2">
      <c r="A272" s="86"/>
      <c r="B272" s="87"/>
      <c r="C272" s="88"/>
      <c r="D272" s="89"/>
      <c r="E272" s="90"/>
      <c r="F272" s="90"/>
      <c r="G272" s="91"/>
      <c r="H272" s="91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2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3"/>
      <c r="AR272" s="93"/>
      <c r="AS272" s="94"/>
      <c r="AT272" s="93"/>
      <c r="AU272" s="93"/>
      <c r="AV272" s="93"/>
    </row>
    <row r="273" spans="1:48" ht="12.75" customHeight="1" x14ac:dyDescent="0.2">
      <c r="A273" s="86"/>
      <c r="B273" s="87"/>
      <c r="C273" s="88"/>
      <c r="D273" s="89"/>
      <c r="E273" s="90"/>
      <c r="F273" s="90"/>
      <c r="G273" s="91"/>
      <c r="H273" s="91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2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3"/>
      <c r="AR273" s="93"/>
      <c r="AS273" s="94"/>
      <c r="AT273" s="93"/>
      <c r="AU273" s="93"/>
      <c r="AV273" s="93"/>
    </row>
    <row r="274" spans="1:48" ht="12.75" customHeight="1" x14ac:dyDescent="0.2">
      <c r="A274" s="86"/>
      <c r="B274" s="87"/>
      <c r="C274" s="88"/>
      <c r="D274" s="89"/>
      <c r="E274" s="90"/>
      <c r="F274" s="90"/>
      <c r="G274" s="91"/>
      <c r="H274" s="91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2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3"/>
      <c r="AR274" s="93"/>
      <c r="AS274" s="94"/>
      <c r="AT274" s="93"/>
      <c r="AU274" s="93"/>
      <c r="AV274" s="93"/>
    </row>
    <row r="275" spans="1:48" ht="12.75" customHeight="1" x14ac:dyDescent="0.2">
      <c r="A275" s="86"/>
      <c r="B275" s="87"/>
      <c r="C275" s="88"/>
      <c r="D275" s="89"/>
      <c r="E275" s="90"/>
      <c r="F275" s="90"/>
      <c r="G275" s="91"/>
      <c r="H275" s="91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2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  <c r="AQ275" s="93"/>
      <c r="AR275" s="93"/>
      <c r="AS275" s="94"/>
      <c r="AT275" s="93"/>
      <c r="AU275" s="93"/>
      <c r="AV275" s="93"/>
    </row>
    <row r="276" spans="1:48" ht="12.75" customHeight="1" x14ac:dyDescent="0.2">
      <c r="A276" s="86"/>
      <c r="B276" s="87"/>
      <c r="C276" s="88"/>
      <c r="D276" s="89"/>
      <c r="E276" s="90"/>
      <c r="F276" s="90"/>
      <c r="G276" s="91"/>
      <c r="H276" s="91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2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3"/>
      <c r="AR276" s="93"/>
      <c r="AS276" s="94"/>
      <c r="AT276" s="93"/>
      <c r="AU276" s="93"/>
      <c r="AV276" s="93"/>
    </row>
    <row r="277" spans="1:48" ht="12.75" customHeight="1" x14ac:dyDescent="0.2">
      <c r="A277" s="86"/>
      <c r="B277" s="87"/>
      <c r="C277" s="88"/>
      <c r="D277" s="89"/>
      <c r="E277" s="90"/>
      <c r="F277" s="90"/>
      <c r="G277" s="91"/>
      <c r="H277" s="91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2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3"/>
      <c r="AR277" s="93"/>
      <c r="AS277" s="94"/>
      <c r="AT277" s="93"/>
      <c r="AU277" s="93"/>
      <c r="AV277" s="93"/>
    </row>
    <row r="278" spans="1:48" ht="12.75" customHeight="1" x14ac:dyDescent="0.2">
      <c r="A278" s="86"/>
      <c r="B278" s="87"/>
      <c r="C278" s="88"/>
      <c r="D278" s="89"/>
      <c r="E278" s="90"/>
      <c r="F278" s="90"/>
      <c r="G278" s="91"/>
      <c r="H278" s="91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2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3"/>
      <c r="AR278" s="93"/>
      <c r="AS278" s="94"/>
      <c r="AT278" s="93"/>
      <c r="AU278" s="93"/>
      <c r="AV278" s="93"/>
    </row>
    <row r="279" spans="1:48" ht="12.75" customHeight="1" x14ac:dyDescent="0.2">
      <c r="A279" s="86"/>
      <c r="B279" s="87"/>
      <c r="C279" s="88"/>
      <c r="D279" s="89"/>
      <c r="E279" s="90"/>
      <c r="F279" s="90"/>
      <c r="G279" s="91"/>
      <c r="H279" s="91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2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3"/>
      <c r="AR279" s="93"/>
      <c r="AS279" s="94"/>
      <c r="AT279" s="93"/>
      <c r="AU279" s="93"/>
      <c r="AV279" s="93"/>
    </row>
    <row r="280" spans="1:48" ht="12.75" customHeight="1" x14ac:dyDescent="0.2">
      <c r="A280" s="86"/>
      <c r="B280" s="87"/>
      <c r="C280" s="88"/>
      <c r="D280" s="89"/>
      <c r="E280" s="90"/>
      <c r="F280" s="90"/>
      <c r="G280" s="91"/>
      <c r="H280" s="91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2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3"/>
      <c r="AR280" s="93"/>
      <c r="AS280" s="94"/>
      <c r="AT280" s="93"/>
      <c r="AU280" s="93"/>
      <c r="AV280" s="93"/>
    </row>
    <row r="281" spans="1:48" ht="12.75" customHeight="1" x14ac:dyDescent="0.2">
      <c r="A281" s="86"/>
      <c r="B281" s="87"/>
      <c r="C281" s="88"/>
      <c r="D281" s="89"/>
      <c r="E281" s="90"/>
      <c r="F281" s="90"/>
      <c r="G281" s="91"/>
      <c r="H281" s="91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2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3"/>
      <c r="AR281" s="93"/>
      <c r="AS281" s="94"/>
      <c r="AT281" s="93"/>
      <c r="AU281" s="93"/>
      <c r="AV281" s="93"/>
    </row>
    <row r="282" spans="1:48" ht="12.75" customHeight="1" x14ac:dyDescent="0.2">
      <c r="A282" s="86"/>
      <c r="B282" s="87"/>
      <c r="C282" s="88"/>
      <c r="D282" s="89"/>
      <c r="E282" s="90"/>
      <c r="F282" s="90"/>
      <c r="G282" s="91"/>
      <c r="H282" s="91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2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3"/>
      <c r="AR282" s="93"/>
      <c r="AS282" s="94"/>
      <c r="AT282" s="93"/>
      <c r="AU282" s="93"/>
      <c r="AV282" s="93"/>
    </row>
    <row r="283" spans="1:48" ht="12.75" customHeight="1" x14ac:dyDescent="0.2">
      <c r="A283" s="86"/>
      <c r="B283" s="87"/>
      <c r="C283" s="88"/>
      <c r="D283" s="89"/>
      <c r="E283" s="90"/>
      <c r="F283" s="90"/>
      <c r="G283" s="91"/>
      <c r="H283" s="91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2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  <c r="AQ283" s="93"/>
      <c r="AR283" s="93"/>
      <c r="AS283" s="94"/>
      <c r="AT283" s="93"/>
      <c r="AU283" s="93"/>
      <c r="AV283" s="93"/>
    </row>
    <row r="284" spans="1:48" ht="12.75" customHeight="1" x14ac:dyDescent="0.2">
      <c r="A284" s="86"/>
      <c r="B284" s="87"/>
      <c r="C284" s="88"/>
      <c r="D284" s="89"/>
      <c r="E284" s="90"/>
      <c r="F284" s="90"/>
      <c r="G284" s="91"/>
      <c r="H284" s="91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2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3"/>
      <c r="AR284" s="93"/>
      <c r="AS284" s="94"/>
      <c r="AT284" s="93"/>
      <c r="AU284" s="93"/>
      <c r="AV284" s="93"/>
    </row>
    <row r="285" spans="1:48" ht="12.75" customHeight="1" x14ac:dyDescent="0.2">
      <c r="A285" s="86"/>
      <c r="B285" s="87"/>
      <c r="C285" s="88"/>
      <c r="D285" s="89"/>
      <c r="E285" s="90"/>
      <c r="F285" s="90"/>
      <c r="G285" s="91"/>
      <c r="H285" s="91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2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3"/>
      <c r="AR285" s="93"/>
      <c r="AS285" s="94"/>
      <c r="AT285" s="93"/>
      <c r="AU285" s="93"/>
      <c r="AV285" s="93"/>
    </row>
    <row r="286" spans="1:48" ht="12.75" customHeight="1" x14ac:dyDescent="0.2">
      <c r="A286" s="86"/>
      <c r="B286" s="87"/>
      <c r="C286" s="88"/>
      <c r="D286" s="89"/>
      <c r="E286" s="90"/>
      <c r="F286" s="90"/>
      <c r="G286" s="91"/>
      <c r="H286" s="91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2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3"/>
      <c r="AR286" s="93"/>
      <c r="AS286" s="94"/>
      <c r="AT286" s="93"/>
      <c r="AU286" s="93"/>
      <c r="AV286" s="93"/>
    </row>
    <row r="287" spans="1:48" ht="12.75" customHeight="1" x14ac:dyDescent="0.2">
      <c r="A287" s="86"/>
      <c r="B287" s="87"/>
      <c r="C287" s="88"/>
      <c r="D287" s="89"/>
      <c r="E287" s="90"/>
      <c r="F287" s="90"/>
      <c r="G287" s="91"/>
      <c r="H287" s="91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2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  <c r="AQ287" s="93"/>
      <c r="AR287" s="93"/>
      <c r="AS287" s="94"/>
      <c r="AT287" s="93"/>
      <c r="AU287" s="93"/>
      <c r="AV287" s="93"/>
    </row>
    <row r="288" spans="1:48" ht="12.75" customHeight="1" x14ac:dyDescent="0.2">
      <c r="A288" s="86"/>
      <c r="B288" s="87"/>
      <c r="C288" s="88"/>
      <c r="D288" s="89"/>
      <c r="E288" s="90"/>
      <c r="F288" s="90"/>
      <c r="G288" s="91"/>
      <c r="H288" s="91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2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3"/>
      <c r="AR288" s="93"/>
      <c r="AS288" s="94"/>
      <c r="AT288" s="93"/>
      <c r="AU288" s="93"/>
      <c r="AV288" s="93"/>
    </row>
    <row r="289" spans="1:48" ht="12.75" customHeight="1" x14ac:dyDescent="0.2">
      <c r="A289" s="86"/>
      <c r="B289" s="87"/>
      <c r="C289" s="88"/>
      <c r="D289" s="89"/>
      <c r="E289" s="90"/>
      <c r="F289" s="90"/>
      <c r="G289" s="91"/>
      <c r="H289" s="91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2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  <c r="AQ289" s="93"/>
      <c r="AR289" s="93"/>
      <c r="AS289" s="94"/>
      <c r="AT289" s="93"/>
      <c r="AU289" s="93"/>
      <c r="AV289" s="93"/>
    </row>
    <row r="290" spans="1:48" ht="12.75" customHeight="1" x14ac:dyDescent="0.2">
      <c r="A290" s="86"/>
      <c r="B290" s="87"/>
      <c r="C290" s="88"/>
      <c r="D290" s="89"/>
      <c r="E290" s="90"/>
      <c r="F290" s="90"/>
      <c r="G290" s="91"/>
      <c r="H290" s="91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2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3"/>
      <c r="AR290" s="93"/>
      <c r="AS290" s="94"/>
      <c r="AT290" s="93"/>
      <c r="AU290" s="93"/>
      <c r="AV290" s="93"/>
    </row>
    <row r="291" spans="1:48" ht="12.75" customHeight="1" x14ac:dyDescent="0.2">
      <c r="A291" s="86"/>
      <c r="B291" s="87"/>
      <c r="C291" s="88"/>
      <c r="D291" s="89"/>
      <c r="E291" s="90"/>
      <c r="F291" s="90"/>
      <c r="G291" s="91"/>
      <c r="H291" s="91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2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3"/>
      <c r="AR291" s="93"/>
      <c r="AS291" s="94"/>
      <c r="AT291" s="93"/>
      <c r="AU291" s="93"/>
      <c r="AV291" s="93"/>
    </row>
    <row r="292" spans="1:48" ht="12.75" customHeight="1" x14ac:dyDescent="0.2">
      <c r="A292" s="86"/>
      <c r="B292" s="87"/>
      <c r="C292" s="88"/>
      <c r="D292" s="89"/>
      <c r="E292" s="90"/>
      <c r="F292" s="90"/>
      <c r="G292" s="91"/>
      <c r="H292" s="91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2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3"/>
      <c r="AR292" s="93"/>
      <c r="AS292" s="94"/>
      <c r="AT292" s="93"/>
      <c r="AU292" s="93"/>
      <c r="AV292" s="93"/>
    </row>
    <row r="293" spans="1:48" ht="12.75" customHeight="1" x14ac:dyDescent="0.2">
      <c r="A293" s="86"/>
      <c r="B293" s="87"/>
      <c r="C293" s="88"/>
      <c r="D293" s="89"/>
      <c r="E293" s="90"/>
      <c r="F293" s="90"/>
      <c r="G293" s="91"/>
      <c r="H293" s="91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2"/>
      <c r="AG293" s="90"/>
      <c r="AH293" s="90"/>
      <c r="AI293" s="90"/>
      <c r="AJ293" s="90"/>
      <c r="AK293" s="90"/>
      <c r="AL293" s="90"/>
      <c r="AM293" s="90"/>
      <c r="AN293" s="90"/>
      <c r="AO293" s="90"/>
      <c r="AP293" s="90"/>
      <c r="AQ293" s="93"/>
      <c r="AR293" s="93"/>
      <c r="AS293" s="94"/>
      <c r="AT293" s="93"/>
      <c r="AU293" s="93"/>
      <c r="AV293" s="93"/>
    </row>
    <row r="294" spans="1:48" ht="12.75" customHeight="1" x14ac:dyDescent="0.2">
      <c r="A294" s="86"/>
      <c r="B294" s="87"/>
      <c r="C294" s="88"/>
      <c r="D294" s="89"/>
      <c r="E294" s="90"/>
      <c r="F294" s="90"/>
      <c r="G294" s="91"/>
      <c r="H294" s="91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2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3"/>
      <c r="AR294" s="93"/>
      <c r="AS294" s="94"/>
      <c r="AT294" s="93"/>
      <c r="AU294" s="93"/>
      <c r="AV294" s="93"/>
    </row>
    <row r="295" spans="1:48" ht="12.75" customHeight="1" x14ac:dyDescent="0.2">
      <c r="A295" s="86"/>
      <c r="B295" s="87"/>
      <c r="C295" s="88"/>
      <c r="D295" s="89"/>
      <c r="E295" s="90"/>
      <c r="F295" s="90"/>
      <c r="G295" s="91"/>
      <c r="H295" s="91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2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  <c r="AQ295" s="93"/>
      <c r="AR295" s="93"/>
      <c r="AS295" s="94"/>
      <c r="AT295" s="93"/>
      <c r="AU295" s="93"/>
      <c r="AV295" s="93"/>
    </row>
    <row r="296" spans="1:48" ht="12.75" customHeight="1" x14ac:dyDescent="0.2">
      <c r="A296" s="86"/>
      <c r="B296" s="87"/>
      <c r="C296" s="88"/>
      <c r="D296" s="89"/>
      <c r="E296" s="90"/>
      <c r="F296" s="90"/>
      <c r="G296" s="91"/>
      <c r="H296" s="91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2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3"/>
      <c r="AR296" s="93"/>
      <c r="AS296" s="94"/>
      <c r="AT296" s="93"/>
      <c r="AU296" s="93"/>
      <c r="AV296" s="93"/>
    </row>
    <row r="297" spans="1:48" ht="12.75" customHeight="1" x14ac:dyDescent="0.2">
      <c r="A297" s="86"/>
      <c r="B297" s="87"/>
      <c r="C297" s="88"/>
      <c r="D297" s="89"/>
      <c r="E297" s="90"/>
      <c r="F297" s="90"/>
      <c r="G297" s="91"/>
      <c r="H297" s="91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2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3"/>
      <c r="AR297" s="93"/>
      <c r="AS297" s="94"/>
      <c r="AT297" s="93"/>
      <c r="AU297" s="93"/>
      <c r="AV297" s="93"/>
    </row>
    <row r="298" spans="1:48" ht="12.75" customHeight="1" x14ac:dyDescent="0.2">
      <c r="A298" s="86"/>
      <c r="B298" s="87"/>
      <c r="C298" s="88"/>
      <c r="D298" s="89"/>
      <c r="E298" s="90"/>
      <c r="F298" s="90"/>
      <c r="G298" s="91"/>
      <c r="H298" s="91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2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3"/>
      <c r="AR298" s="93"/>
      <c r="AS298" s="94"/>
      <c r="AT298" s="93"/>
      <c r="AU298" s="93"/>
      <c r="AV298" s="93"/>
    </row>
    <row r="299" spans="1:48" ht="12.75" customHeight="1" x14ac:dyDescent="0.2">
      <c r="A299" s="86"/>
      <c r="B299" s="87"/>
      <c r="C299" s="88"/>
      <c r="D299" s="89"/>
      <c r="E299" s="90"/>
      <c r="F299" s="90"/>
      <c r="G299" s="91"/>
      <c r="H299" s="91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2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3"/>
      <c r="AR299" s="93"/>
      <c r="AS299" s="94"/>
      <c r="AT299" s="93"/>
      <c r="AU299" s="93"/>
      <c r="AV299" s="93"/>
    </row>
    <row r="300" spans="1:48" ht="12.75" customHeight="1" x14ac:dyDescent="0.2">
      <c r="A300" s="86"/>
      <c r="B300" s="87"/>
      <c r="C300" s="88"/>
      <c r="D300" s="89"/>
      <c r="E300" s="90"/>
      <c r="F300" s="90"/>
      <c r="G300" s="91"/>
      <c r="H300" s="91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2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3"/>
      <c r="AR300" s="93"/>
      <c r="AS300" s="94"/>
      <c r="AT300" s="93"/>
      <c r="AU300" s="93"/>
      <c r="AV300" s="93"/>
    </row>
    <row r="301" spans="1:48" ht="12.75" customHeight="1" x14ac:dyDescent="0.2">
      <c r="A301" s="86"/>
      <c r="B301" s="87"/>
      <c r="C301" s="88"/>
      <c r="D301" s="89"/>
      <c r="E301" s="90"/>
      <c r="F301" s="90"/>
      <c r="G301" s="91"/>
      <c r="H301" s="91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2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  <c r="AQ301" s="93"/>
      <c r="AR301" s="93"/>
      <c r="AS301" s="94"/>
      <c r="AT301" s="93"/>
      <c r="AU301" s="93"/>
      <c r="AV301" s="93"/>
    </row>
    <row r="302" spans="1:48" ht="12.75" customHeight="1" x14ac:dyDescent="0.2">
      <c r="A302" s="86"/>
      <c r="B302" s="87"/>
      <c r="C302" s="88"/>
      <c r="D302" s="89"/>
      <c r="E302" s="90"/>
      <c r="F302" s="90"/>
      <c r="G302" s="91"/>
      <c r="H302" s="91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2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3"/>
      <c r="AR302" s="93"/>
      <c r="AS302" s="94"/>
      <c r="AT302" s="93"/>
      <c r="AU302" s="93"/>
      <c r="AV302" s="93"/>
    </row>
    <row r="303" spans="1:48" ht="12.75" customHeight="1" x14ac:dyDescent="0.2">
      <c r="A303" s="86"/>
      <c r="B303" s="87"/>
      <c r="C303" s="88"/>
      <c r="D303" s="89"/>
      <c r="E303" s="90"/>
      <c r="F303" s="90"/>
      <c r="G303" s="91"/>
      <c r="H303" s="91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2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3"/>
      <c r="AR303" s="93"/>
      <c r="AS303" s="94"/>
      <c r="AT303" s="93"/>
      <c r="AU303" s="93"/>
      <c r="AV303" s="93"/>
    </row>
    <row r="304" spans="1:48" ht="12.75" customHeight="1" x14ac:dyDescent="0.2">
      <c r="A304" s="86"/>
      <c r="B304" s="87"/>
      <c r="C304" s="88"/>
      <c r="D304" s="89"/>
      <c r="E304" s="90"/>
      <c r="F304" s="90"/>
      <c r="G304" s="91"/>
      <c r="H304" s="91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2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3"/>
      <c r="AR304" s="93"/>
      <c r="AS304" s="94"/>
      <c r="AT304" s="93"/>
      <c r="AU304" s="93"/>
      <c r="AV304" s="93"/>
    </row>
    <row r="305" spans="1:48" ht="12.75" customHeight="1" x14ac:dyDescent="0.2">
      <c r="A305" s="86"/>
      <c r="B305" s="87"/>
      <c r="C305" s="88"/>
      <c r="D305" s="89"/>
      <c r="E305" s="90"/>
      <c r="F305" s="90"/>
      <c r="G305" s="91"/>
      <c r="H305" s="91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2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3"/>
      <c r="AR305" s="93"/>
      <c r="AS305" s="94"/>
      <c r="AT305" s="93"/>
      <c r="AU305" s="93"/>
      <c r="AV305" s="93"/>
    </row>
    <row r="306" spans="1:48" ht="12.75" customHeight="1" x14ac:dyDescent="0.2">
      <c r="A306" s="86"/>
      <c r="B306" s="87"/>
      <c r="C306" s="88"/>
      <c r="D306" s="89"/>
      <c r="E306" s="90"/>
      <c r="F306" s="90"/>
      <c r="G306" s="91"/>
      <c r="H306" s="91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2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3"/>
      <c r="AR306" s="93"/>
      <c r="AS306" s="94"/>
      <c r="AT306" s="93"/>
      <c r="AU306" s="93"/>
      <c r="AV306" s="93"/>
    </row>
    <row r="307" spans="1:48" ht="12.75" customHeight="1" x14ac:dyDescent="0.2">
      <c r="A307" s="86"/>
      <c r="B307" s="87"/>
      <c r="C307" s="88"/>
      <c r="D307" s="89"/>
      <c r="E307" s="90"/>
      <c r="F307" s="90"/>
      <c r="G307" s="91"/>
      <c r="H307" s="91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2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3"/>
      <c r="AR307" s="93"/>
      <c r="AS307" s="94"/>
      <c r="AT307" s="93"/>
      <c r="AU307" s="93"/>
      <c r="AV307" s="93"/>
    </row>
    <row r="308" spans="1:48" ht="12.75" customHeight="1" x14ac:dyDescent="0.2">
      <c r="A308" s="86"/>
      <c r="B308" s="87"/>
      <c r="C308" s="88"/>
      <c r="D308" s="89"/>
      <c r="E308" s="90"/>
      <c r="F308" s="90"/>
      <c r="G308" s="91"/>
      <c r="H308" s="91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2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3"/>
      <c r="AR308" s="93"/>
      <c r="AS308" s="94"/>
      <c r="AT308" s="93"/>
      <c r="AU308" s="93"/>
      <c r="AV308" s="93"/>
    </row>
    <row r="309" spans="1:48" ht="12.75" customHeight="1" x14ac:dyDescent="0.2">
      <c r="A309" s="86"/>
      <c r="B309" s="87"/>
      <c r="C309" s="88"/>
      <c r="D309" s="89"/>
      <c r="E309" s="90"/>
      <c r="F309" s="90"/>
      <c r="G309" s="91"/>
      <c r="H309" s="91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2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3"/>
      <c r="AR309" s="93"/>
      <c r="AS309" s="94"/>
      <c r="AT309" s="93"/>
      <c r="AU309" s="93"/>
      <c r="AV309" s="93"/>
    </row>
    <row r="310" spans="1:48" ht="12.75" customHeight="1" x14ac:dyDescent="0.2">
      <c r="A310" s="86"/>
      <c r="B310" s="87"/>
      <c r="C310" s="88"/>
      <c r="D310" s="89"/>
      <c r="E310" s="90"/>
      <c r="F310" s="90"/>
      <c r="G310" s="91"/>
      <c r="H310" s="91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2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3"/>
      <c r="AR310" s="93"/>
      <c r="AS310" s="94"/>
      <c r="AT310" s="93"/>
      <c r="AU310" s="93"/>
      <c r="AV310" s="93"/>
    </row>
    <row r="311" spans="1:48" ht="12.75" customHeight="1" x14ac:dyDescent="0.2">
      <c r="A311" s="86"/>
      <c r="B311" s="87"/>
      <c r="C311" s="88"/>
      <c r="D311" s="89"/>
      <c r="E311" s="90"/>
      <c r="F311" s="90"/>
      <c r="G311" s="91"/>
      <c r="H311" s="91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2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  <c r="AQ311" s="93"/>
      <c r="AR311" s="93"/>
      <c r="AS311" s="94"/>
      <c r="AT311" s="93"/>
      <c r="AU311" s="93"/>
      <c r="AV311" s="93"/>
    </row>
    <row r="312" spans="1:48" ht="12.75" customHeight="1" x14ac:dyDescent="0.2">
      <c r="A312" s="86"/>
      <c r="B312" s="87"/>
      <c r="C312" s="88"/>
      <c r="D312" s="89"/>
      <c r="E312" s="90"/>
      <c r="F312" s="90"/>
      <c r="G312" s="91"/>
      <c r="H312" s="91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2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3"/>
      <c r="AR312" s="93"/>
      <c r="AS312" s="94"/>
      <c r="AT312" s="93"/>
      <c r="AU312" s="93"/>
      <c r="AV312" s="93"/>
    </row>
    <row r="313" spans="1:48" ht="12.75" customHeight="1" x14ac:dyDescent="0.2">
      <c r="A313" s="86"/>
      <c r="B313" s="87"/>
      <c r="C313" s="88"/>
      <c r="D313" s="89"/>
      <c r="E313" s="90"/>
      <c r="F313" s="90"/>
      <c r="G313" s="91"/>
      <c r="H313" s="91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2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3"/>
      <c r="AR313" s="93"/>
      <c r="AS313" s="94"/>
      <c r="AT313" s="93"/>
      <c r="AU313" s="93"/>
      <c r="AV313" s="93"/>
    </row>
    <row r="314" spans="1:48" ht="12.75" customHeight="1" x14ac:dyDescent="0.2">
      <c r="A314" s="86"/>
      <c r="B314" s="87"/>
      <c r="C314" s="88"/>
      <c r="D314" s="89"/>
      <c r="E314" s="90"/>
      <c r="F314" s="90"/>
      <c r="G314" s="91"/>
      <c r="H314" s="91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2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3"/>
      <c r="AR314" s="93"/>
      <c r="AS314" s="94"/>
      <c r="AT314" s="93"/>
      <c r="AU314" s="93"/>
      <c r="AV314" s="93"/>
    </row>
    <row r="315" spans="1:48" ht="12.75" customHeight="1" x14ac:dyDescent="0.2">
      <c r="A315" s="86"/>
      <c r="B315" s="87"/>
      <c r="C315" s="88"/>
      <c r="D315" s="89"/>
      <c r="E315" s="90"/>
      <c r="F315" s="90"/>
      <c r="G315" s="91"/>
      <c r="H315" s="91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2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3"/>
      <c r="AR315" s="93"/>
      <c r="AS315" s="94"/>
      <c r="AT315" s="93"/>
      <c r="AU315" s="93"/>
      <c r="AV315" s="93"/>
    </row>
    <row r="316" spans="1:48" ht="12.75" customHeight="1" x14ac:dyDescent="0.2">
      <c r="A316" s="86"/>
      <c r="B316" s="87"/>
      <c r="C316" s="88"/>
      <c r="D316" s="89"/>
      <c r="E316" s="90"/>
      <c r="F316" s="90"/>
      <c r="G316" s="91"/>
      <c r="H316" s="91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2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3"/>
      <c r="AR316" s="93"/>
      <c r="AS316" s="94"/>
      <c r="AT316" s="93"/>
      <c r="AU316" s="93"/>
      <c r="AV316" s="93"/>
    </row>
    <row r="317" spans="1:48" ht="12.75" customHeight="1" x14ac:dyDescent="0.2">
      <c r="A317" s="86"/>
      <c r="B317" s="87"/>
      <c r="C317" s="88"/>
      <c r="D317" s="89"/>
      <c r="E317" s="90"/>
      <c r="F317" s="90"/>
      <c r="G317" s="91"/>
      <c r="H317" s="91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2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  <c r="AQ317" s="93"/>
      <c r="AR317" s="93"/>
      <c r="AS317" s="94"/>
      <c r="AT317" s="93"/>
      <c r="AU317" s="93"/>
      <c r="AV317" s="93"/>
    </row>
    <row r="318" spans="1:48" ht="12.75" customHeight="1" x14ac:dyDescent="0.2">
      <c r="A318" s="86"/>
      <c r="B318" s="87"/>
      <c r="C318" s="88"/>
      <c r="D318" s="89"/>
      <c r="E318" s="90"/>
      <c r="F318" s="90"/>
      <c r="G318" s="91"/>
      <c r="H318" s="91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2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3"/>
      <c r="AR318" s="93"/>
      <c r="AS318" s="94"/>
      <c r="AT318" s="93"/>
      <c r="AU318" s="93"/>
      <c r="AV318" s="93"/>
    </row>
    <row r="319" spans="1:48" ht="12.75" customHeight="1" x14ac:dyDescent="0.2">
      <c r="A319" s="86"/>
      <c r="B319" s="87"/>
      <c r="C319" s="88"/>
      <c r="D319" s="89"/>
      <c r="E319" s="90"/>
      <c r="F319" s="90"/>
      <c r="G319" s="91"/>
      <c r="H319" s="91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2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  <c r="AQ319" s="93"/>
      <c r="AR319" s="93"/>
      <c r="AS319" s="94"/>
      <c r="AT319" s="93"/>
      <c r="AU319" s="93"/>
      <c r="AV319" s="93"/>
    </row>
    <row r="320" spans="1:48" ht="12.75" customHeight="1" x14ac:dyDescent="0.2">
      <c r="A320" s="86"/>
      <c r="B320" s="87"/>
      <c r="C320" s="88"/>
      <c r="D320" s="89"/>
      <c r="E320" s="90"/>
      <c r="F320" s="90"/>
      <c r="G320" s="91"/>
      <c r="H320" s="91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2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3"/>
      <c r="AR320" s="93"/>
      <c r="AS320" s="94"/>
      <c r="AT320" s="93"/>
      <c r="AU320" s="93"/>
      <c r="AV320" s="93"/>
    </row>
    <row r="321" spans="1:48" ht="12.75" customHeight="1" x14ac:dyDescent="0.2">
      <c r="A321" s="86"/>
      <c r="B321" s="87"/>
      <c r="C321" s="88"/>
      <c r="D321" s="89"/>
      <c r="E321" s="90"/>
      <c r="F321" s="90"/>
      <c r="G321" s="91"/>
      <c r="H321" s="91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2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3"/>
      <c r="AR321" s="93"/>
      <c r="AS321" s="94"/>
      <c r="AT321" s="93"/>
      <c r="AU321" s="93"/>
      <c r="AV321" s="93"/>
    </row>
    <row r="322" spans="1:48" ht="12.75" customHeight="1" x14ac:dyDescent="0.2">
      <c r="A322" s="86"/>
      <c r="B322" s="87"/>
      <c r="C322" s="88"/>
      <c r="D322" s="89"/>
      <c r="E322" s="90"/>
      <c r="F322" s="90"/>
      <c r="G322" s="91"/>
      <c r="H322" s="91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2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3"/>
      <c r="AR322" s="93"/>
      <c r="AS322" s="94"/>
      <c r="AT322" s="93"/>
      <c r="AU322" s="93"/>
      <c r="AV322" s="93"/>
    </row>
    <row r="323" spans="1:48" ht="12.75" customHeight="1" x14ac:dyDescent="0.2">
      <c r="A323" s="86"/>
      <c r="B323" s="87"/>
      <c r="C323" s="88"/>
      <c r="D323" s="89"/>
      <c r="E323" s="90"/>
      <c r="F323" s="90"/>
      <c r="G323" s="91"/>
      <c r="H323" s="91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2"/>
      <c r="AG323" s="90"/>
      <c r="AH323" s="90"/>
      <c r="AI323" s="90"/>
      <c r="AJ323" s="90"/>
      <c r="AK323" s="90"/>
      <c r="AL323" s="90"/>
      <c r="AM323" s="90"/>
      <c r="AN323" s="90"/>
      <c r="AO323" s="90"/>
      <c r="AP323" s="90"/>
      <c r="AQ323" s="93"/>
      <c r="AR323" s="93"/>
      <c r="AS323" s="94"/>
      <c r="AT323" s="93"/>
      <c r="AU323" s="93"/>
      <c r="AV323" s="93"/>
    </row>
    <row r="324" spans="1:48" ht="12.75" customHeight="1" x14ac:dyDescent="0.2">
      <c r="A324" s="86"/>
      <c r="B324" s="87"/>
      <c r="C324" s="88"/>
      <c r="D324" s="89"/>
      <c r="E324" s="90"/>
      <c r="F324" s="90"/>
      <c r="G324" s="91"/>
      <c r="H324" s="91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2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3"/>
      <c r="AR324" s="93"/>
      <c r="AS324" s="94"/>
      <c r="AT324" s="93"/>
      <c r="AU324" s="93"/>
      <c r="AV324" s="93"/>
    </row>
    <row r="325" spans="1:48" ht="12.75" customHeight="1" x14ac:dyDescent="0.2">
      <c r="A325" s="86"/>
      <c r="B325" s="87"/>
      <c r="C325" s="88"/>
      <c r="D325" s="89"/>
      <c r="E325" s="90"/>
      <c r="F325" s="90"/>
      <c r="G325" s="91"/>
      <c r="H325" s="91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2"/>
      <c r="AG325" s="90"/>
      <c r="AH325" s="90"/>
      <c r="AI325" s="90"/>
      <c r="AJ325" s="90"/>
      <c r="AK325" s="90"/>
      <c r="AL325" s="90"/>
      <c r="AM325" s="90"/>
      <c r="AN325" s="90"/>
      <c r="AO325" s="90"/>
      <c r="AP325" s="90"/>
      <c r="AQ325" s="93"/>
      <c r="AR325" s="93"/>
      <c r="AS325" s="94"/>
      <c r="AT325" s="93"/>
      <c r="AU325" s="93"/>
      <c r="AV325" s="93"/>
    </row>
    <row r="326" spans="1:48" ht="12.75" customHeight="1" x14ac:dyDescent="0.2">
      <c r="A326" s="86"/>
      <c r="B326" s="87"/>
      <c r="C326" s="88"/>
      <c r="D326" s="89"/>
      <c r="E326" s="90"/>
      <c r="F326" s="90"/>
      <c r="G326" s="91"/>
      <c r="H326" s="91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2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3"/>
      <c r="AR326" s="93"/>
      <c r="AS326" s="94"/>
      <c r="AT326" s="93"/>
      <c r="AU326" s="93"/>
      <c r="AV326" s="93"/>
    </row>
    <row r="327" spans="1:48" ht="12.75" customHeight="1" x14ac:dyDescent="0.2">
      <c r="A327" s="86"/>
      <c r="B327" s="87"/>
      <c r="C327" s="88"/>
      <c r="D327" s="89"/>
      <c r="E327" s="90"/>
      <c r="F327" s="90"/>
      <c r="G327" s="91"/>
      <c r="H327" s="91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2"/>
      <c r="AG327" s="90"/>
      <c r="AH327" s="90"/>
      <c r="AI327" s="90"/>
      <c r="AJ327" s="90"/>
      <c r="AK327" s="90"/>
      <c r="AL327" s="90"/>
      <c r="AM327" s="90"/>
      <c r="AN327" s="90"/>
      <c r="AO327" s="90"/>
      <c r="AP327" s="90"/>
      <c r="AQ327" s="93"/>
      <c r="AR327" s="93"/>
      <c r="AS327" s="94"/>
      <c r="AT327" s="93"/>
      <c r="AU327" s="93"/>
      <c r="AV327" s="93"/>
    </row>
    <row r="328" spans="1:48" ht="12.75" customHeight="1" x14ac:dyDescent="0.2">
      <c r="A328" s="86"/>
      <c r="B328" s="87"/>
      <c r="C328" s="88"/>
      <c r="D328" s="89"/>
      <c r="E328" s="90"/>
      <c r="F328" s="90"/>
      <c r="G328" s="91"/>
      <c r="H328" s="91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2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3"/>
      <c r="AR328" s="93"/>
      <c r="AS328" s="94"/>
      <c r="AT328" s="93"/>
      <c r="AU328" s="93"/>
      <c r="AV328" s="93"/>
    </row>
    <row r="329" spans="1:48" ht="12.75" customHeight="1" x14ac:dyDescent="0.2">
      <c r="A329" s="86"/>
      <c r="B329" s="87"/>
      <c r="C329" s="88"/>
      <c r="D329" s="89"/>
      <c r="E329" s="90"/>
      <c r="F329" s="90"/>
      <c r="G329" s="91"/>
      <c r="H329" s="91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2"/>
      <c r="AG329" s="90"/>
      <c r="AH329" s="90"/>
      <c r="AI329" s="90"/>
      <c r="AJ329" s="90"/>
      <c r="AK329" s="90"/>
      <c r="AL329" s="90"/>
      <c r="AM329" s="90"/>
      <c r="AN329" s="90"/>
      <c r="AO329" s="90"/>
      <c r="AP329" s="90"/>
      <c r="AQ329" s="93"/>
      <c r="AR329" s="93"/>
      <c r="AS329" s="94"/>
      <c r="AT329" s="93"/>
      <c r="AU329" s="93"/>
      <c r="AV329" s="93"/>
    </row>
    <row r="330" spans="1:48" ht="12.75" customHeight="1" x14ac:dyDescent="0.2">
      <c r="A330" s="86"/>
      <c r="B330" s="87"/>
      <c r="C330" s="88"/>
      <c r="D330" s="89"/>
      <c r="E330" s="90"/>
      <c r="F330" s="90"/>
      <c r="G330" s="91"/>
      <c r="H330" s="91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2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3"/>
      <c r="AR330" s="93"/>
      <c r="AS330" s="94"/>
      <c r="AT330" s="93"/>
      <c r="AU330" s="93"/>
      <c r="AV330" s="93"/>
    </row>
    <row r="331" spans="1:48" ht="12.75" customHeight="1" x14ac:dyDescent="0.2">
      <c r="A331" s="86"/>
      <c r="B331" s="87"/>
      <c r="C331" s="88"/>
      <c r="D331" s="89"/>
      <c r="E331" s="90"/>
      <c r="F331" s="90"/>
      <c r="G331" s="91"/>
      <c r="H331" s="91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2"/>
      <c r="AG331" s="90"/>
      <c r="AH331" s="90"/>
      <c r="AI331" s="90"/>
      <c r="AJ331" s="90"/>
      <c r="AK331" s="90"/>
      <c r="AL331" s="90"/>
      <c r="AM331" s="90"/>
      <c r="AN331" s="90"/>
      <c r="AO331" s="90"/>
      <c r="AP331" s="90"/>
      <c r="AQ331" s="93"/>
      <c r="AR331" s="93"/>
      <c r="AS331" s="94"/>
      <c r="AT331" s="93"/>
      <c r="AU331" s="93"/>
      <c r="AV331" s="93"/>
    </row>
    <row r="332" spans="1:48" ht="12.75" customHeight="1" x14ac:dyDescent="0.2">
      <c r="A332" s="86"/>
      <c r="B332" s="87"/>
      <c r="C332" s="88"/>
      <c r="D332" s="89"/>
      <c r="E332" s="90"/>
      <c r="F332" s="90"/>
      <c r="G332" s="91"/>
      <c r="H332" s="91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2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3"/>
      <c r="AR332" s="93"/>
      <c r="AS332" s="94"/>
      <c r="AT332" s="93"/>
      <c r="AU332" s="93"/>
      <c r="AV332" s="93"/>
    </row>
    <row r="333" spans="1:48" ht="12.75" customHeight="1" x14ac:dyDescent="0.2">
      <c r="A333" s="86"/>
      <c r="B333" s="87"/>
      <c r="C333" s="88"/>
      <c r="D333" s="89"/>
      <c r="E333" s="90"/>
      <c r="F333" s="90"/>
      <c r="G333" s="91"/>
      <c r="H333" s="91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2"/>
      <c r="AG333" s="90"/>
      <c r="AH333" s="90"/>
      <c r="AI333" s="90"/>
      <c r="AJ333" s="90"/>
      <c r="AK333" s="90"/>
      <c r="AL333" s="90"/>
      <c r="AM333" s="90"/>
      <c r="AN333" s="90"/>
      <c r="AO333" s="90"/>
      <c r="AP333" s="90"/>
      <c r="AQ333" s="93"/>
      <c r="AR333" s="93"/>
      <c r="AS333" s="94"/>
      <c r="AT333" s="93"/>
      <c r="AU333" s="93"/>
      <c r="AV333" s="93"/>
    </row>
    <row r="334" spans="1:48" ht="12.75" customHeight="1" x14ac:dyDescent="0.2">
      <c r="A334" s="86"/>
      <c r="B334" s="87"/>
      <c r="C334" s="88"/>
      <c r="D334" s="89"/>
      <c r="E334" s="90"/>
      <c r="F334" s="90"/>
      <c r="G334" s="91"/>
      <c r="H334" s="91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2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3"/>
      <c r="AR334" s="93"/>
      <c r="AS334" s="94"/>
      <c r="AT334" s="93"/>
      <c r="AU334" s="93"/>
      <c r="AV334" s="93"/>
    </row>
    <row r="335" spans="1:48" ht="12.75" customHeight="1" x14ac:dyDescent="0.2">
      <c r="A335" s="86"/>
      <c r="B335" s="87"/>
      <c r="C335" s="88"/>
      <c r="D335" s="89"/>
      <c r="E335" s="90"/>
      <c r="F335" s="90"/>
      <c r="G335" s="91"/>
      <c r="H335" s="91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2"/>
      <c r="AG335" s="90"/>
      <c r="AH335" s="90"/>
      <c r="AI335" s="90"/>
      <c r="AJ335" s="90"/>
      <c r="AK335" s="90"/>
      <c r="AL335" s="90"/>
      <c r="AM335" s="90"/>
      <c r="AN335" s="90"/>
      <c r="AO335" s="90"/>
      <c r="AP335" s="90"/>
      <c r="AQ335" s="93"/>
      <c r="AR335" s="93"/>
      <c r="AS335" s="94"/>
      <c r="AT335" s="93"/>
      <c r="AU335" s="93"/>
      <c r="AV335" s="93"/>
    </row>
    <row r="336" spans="1:48" ht="12.75" customHeight="1" x14ac:dyDescent="0.2">
      <c r="A336" s="86"/>
      <c r="B336" s="87"/>
      <c r="C336" s="88"/>
      <c r="D336" s="89"/>
      <c r="E336" s="90"/>
      <c r="F336" s="90"/>
      <c r="G336" s="91"/>
      <c r="H336" s="91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2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3"/>
      <c r="AR336" s="93"/>
      <c r="AS336" s="94"/>
      <c r="AT336" s="93"/>
      <c r="AU336" s="93"/>
      <c r="AV336" s="93"/>
    </row>
    <row r="337" spans="1:48" ht="12.75" customHeight="1" x14ac:dyDescent="0.2">
      <c r="A337" s="86"/>
      <c r="B337" s="87"/>
      <c r="C337" s="88"/>
      <c r="D337" s="89"/>
      <c r="E337" s="90"/>
      <c r="F337" s="90"/>
      <c r="G337" s="91"/>
      <c r="H337" s="91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2"/>
      <c r="AG337" s="90"/>
      <c r="AH337" s="90"/>
      <c r="AI337" s="90"/>
      <c r="AJ337" s="90"/>
      <c r="AK337" s="90"/>
      <c r="AL337" s="90"/>
      <c r="AM337" s="90"/>
      <c r="AN337" s="90"/>
      <c r="AO337" s="90"/>
      <c r="AP337" s="90"/>
      <c r="AQ337" s="93"/>
      <c r="AR337" s="93"/>
      <c r="AS337" s="94"/>
      <c r="AT337" s="93"/>
      <c r="AU337" s="93"/>
      <c r="AV337" s="93"/>
    </row>
    <row r="338" spans="1:48" ht="12.75" customHeight="1" x14ac:dyDescent="0.2">
      <c r="A338" s="86"/>
      <c r="B338" s="87"/>
      <c r="C338" s="88"/>
      <c r="D338" s="89"/>
      <c r="E338" s="90"/>
      <c r="F338" s="90"/>
      <c r="G338" s="91"/>
      <c r="H338" s="91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2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3"/>
      <c r="AR338" s="93"/>
      <c r="AS338" s="94"/>
      <c r="AT338" s="93"/>
      <c r="AU338" s="93"/>
      <c r="AV338" s="93"/>
    </row>
    <row r="339" spans="1:48" ht="12.75" customHeight="1" x14ac:dyDescent="0.2">
      <c r="A339" s="86"/>
      <c r="B339" s="87"/>
      <c r="C339" s="88"/>
      <c r="D339" s="89"/>
      <c r="E339" s="90"/>
      <c r="F339" s="90"/>
      <c r="G339" s="91"/>
      <c r="H339" s="91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2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3"/>
      <c r="AR339" s="93"/>
      <c r="AS339" s="94"/>
      <c r="AT339" s="93"/>
      <c r="AU339" s="93"/>
      <c r="AV339" s="93"/>
    </row>
    <row r="340" spans="1:48" ht="12.75" customHeight="1" x14ac:dyDescent="0.2">
      <c r="A340" s="86"/>
      <c r="B340" s="87"/>
      <c r="C340" s="88"/>
      <c r="D340" s="89"/>
      <c r="E340" s="90"/>
      <c r="F340" s="90"/>
      <c r="G340" s="91"/>
      <c r="H340" s="91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2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3"/>
      <c r="AR340" s="93"/>
      <c r="AS340" s="94"/>
      <c r="AT340" s="93"/>
      <c r="AU340" s="93"/>
      <c r="AV340" s="93"/>
    </row>
    <row r="341" spans="1:48" ht="12.75" customHeight="1" x14ac:dyDescent="0.2">
      <c r="A341" s="86"/>
      <c r="B341" s="87"/>
      <c r="C341" s="88"/>
      <c r="D341" s="89"/>
      <c r="E341" s="90"/>
      <c r="F341" s="90"/>
      <c r="G341" s="91"/>
      <c r="H341" s="91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2"/>
      <c r="AG341" s="90"/>
      <c r="AH341" s="90"/>
      <c r="AI341" s="90"/>
      <c r="AJ341" s="90"/>
      <c r="AK341" s="90"/>
      <c r="AL341" s="90"/>
      <c r="AM341" s="90"/>
      <c r="AN341" s="90"/>
      <c r="AO341" s="90"/>
      <c r="AP341" s="90"/>
      <c r="AQ341" s="93"/>
      <c r="AR341" s="93"/>
      <c r="AS341" s="94"/>
      <c r="AT341" s="93"/>
      <c r="AU341" s="93"/>
      <c r="AV341" s="93"/>
    </row>
    <row r="342" spans="1:48" ht="12.75" customHeight="1" x14ac:dyDescent="0.2">
      <c r="A342" s="86"/>
      <c r="B342" s="87"/>
      <c r="C342" s="88"/>
      <c r="D342" s="89"/>
      <c r="E342" s="90"/>
      <c r="F342" s="90"/>
      <c r="G342" s="91"/>
      <c r="H342" s="91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2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3"/>
      <c r="AR342" s="93"/>
      <c r="AS342" s="94"/>
      <c r="AT342" s="93"/>
      <c r="AU342" s="93"/>
      <c r="AV342" s="93"/>
    </row>
    <row r="343" spans="1:48" ht="12.75" customHeight="1" x14ac:dyDescent="0.2">
      <c r="A343" s="86"/>
      <c r="B343" s="87"/>
      <c r="C343" s="88"/>
      <c r="D343" s="89"/>
      <c r="E343" s="90"/>
      <c r="F343" s="90"/>
      <c r="G343" s="91"/>
      <c r="H343" s="91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2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3"/>
      <c r="AR343" s="93"/>
      <c r="AS343" s="94"/>
      <c r="AT343" s="93"/>
      <c r="AU343" s="93"/>
      <c r="AV343" s="93"/>
    </row>
    <row r="344" spans="1:48" ht="12.75" customHeight="1" x14ac:dyDescent="0.2">
      <c r="A344" s="86"/>
      <c r="B344" s="87"/>
      <c r="C344" s="88"/>
      <c r="D344" s="89"/>
      <c r="E344" s="90"/>
      <c r="F344" s="90"/>
      <c r="G344" s="91"/>
      <c r="H344" s="91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2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3"/>
      <c r="AR344" s="93"/>
      <c r="AS344" s="94"/>
      <c r="AT344" s="93"/>
      <c r="AU344" s="93"/>
      <c r="AV344" s="93"/>
    </row>
    <row r="345" spans="1:48" ht="12.75" customHeight="1" x14ac:dyDescent="0.2">
      <c r="A345" s="86"/>
      <c r="B345" s="87"/>
      <c r="C345" s="88"/>
      <c r="D345" s="89"/>
      <c r="E345" s="90"/>
      <c r="F345" s="90"/>
      <c r="G345" s="91"/>
      <c r="H345" s="91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2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3"/>
      <c r="AR345" s="93"/>
      <c r="AS345" s="94"/>
      <c r="AT345" s="93"/>
      <c r="AU345" s="93"/>
      <c r="AV345" s="93"/>
    </row>
    <row r="346" spans="1:48" ht="12.75" customHeight="1" x14ac:dyDescent="0.2">
      <c r="A346" s="86"/>
      <c r="B346" s="87"/>
      <c r="C346" s="88"/>
      <c r="D346" s="89"/>
      <c r="E346" s="90"/>
      <c r="F346" s="90"/>
      <c r="G346" s="91"/>
      <c r="H346" s="91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2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3"/>
      <c r="AR346" s="93"/>
      <c r="AS346" s="94"/>
      <c r="AT346" s="93"/>
      <c r="AU346" s="93"/>
      <c r="AV346" s="93"/>
    </row>
    <row r="347" spans="1:48" ht="12.75" customHeight="1" x14ac:dyDescent="0.2">
      <c r="A347" s="86"/>
      <c r="B347" s="87"/>
      <c r="C347" s="88"/>
      <c r="D347" s="89"/>
      <c r="E347" s="90"/>
      <c r="F347" s="90"/>
      <c r="G347" s="91"/>
      <c r="H347" s="91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2"/>
      <c r="AG347" s="90"/>
      <c r="AH347" s="90"/>
      <c r="AI347" s="90"/>
      <c r="AJ347" s="90"/>
      <c r="AK347" s="90"/>
      <c r="AL347" s="90"/>
      <c r="AM347" s="90"/>
      <c r="AN347" s="90"/>
      <c r="AO347" s="90"/>
      <c r="AP347" s="90"/>
      <c r="AQ347" s="93"/>
      <c r="AR347" s="93"/>
      <c r="AS347" s="94"/>
      <c r="AT347" s="93"/>
      <c r="AU347" s="93"/>
      <c r="AV347" s="93"/>
    </row>
    <row r="348" spans="1:48" ht="12.75" customHeight="1" x14ac:dyDescent="0.2">
      <c r="A348" s="86"/>
      <c r="B348" s="87"/>
      <c r="C348" s="88"/>
      <c r="D348" s="89"/>
      <c r="E348" s="90"/>
      <c r="F348" s="90"/>
      <c r="G348" s="91"/>
      <c r="H348" s="91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2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3"/>
      <c r="AR348" s="93"/>
      <c r="AS348" s="94"/>
      <c r="AT348" s="93"/>
      <c r="AU348" s="93"/>
      <c r="AV348" s="93"/>
    </row>
    <row r="349" spans="1:48" ht="12.75" customHeight="1" x14ac:dyDescent="0.2">
      <c r="A349" s="86"/>
      <c r="B349" s="87"/>
      <c r="C349" s="88"/>
      <c r="D349" s="89"/>
      <c r="E349" s="90"/>
      <c r="F349" s="90"/>
      <c r="G349" s="91"/>
      <c r="H349" s="91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2"/>
      <c r="AG349" s="90"/>
      <c r="AH349" s="90"/>
      <c r="AI349" s="90"/>
      <c r="AJ349" s="90"/>
      <c r="AK349" s="90"/>
      <c r="AL349" s="90"/>
      <c r="AM349" s="90"/>
      <c r="AN349" s="90"/>
      <c r="AO349" s="90"/>
      <c r="AP349" s="90"/>
      <c r="AQ349" s="93"/>
      <c r="AR349" s="93"/>
      <c r="AS349" s="94"/>
      <c r="AT349" s="93"/>
      <c r="AU349" s="93"/>
      <c r="AV349" s="93"/>
    </row>
    <row r="350" spans="1:48" ht="12.75" customHeight="1" x14ac:dyDescent="0.2">
      <c r="A350" s="86"/>
      <c r="B350" s="87"/>
      <c r="C350" s="88"/>
      <c r="D350" s="89"/>
      <c r="E350" s="90"/>
      <c r="F350" s="90"/>
      <c r="G350" s="91"/>
      <c r="H350" s="91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2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3"/>
      <c r="AR350" s="93"/>
      <c r="AS350" s="94"/>
      <c r="AT350" s="93"/>
      <c r="AU350" s="93"/>
      <c r="AV350" s="93"/>
    </row>
    <row r="351" spans="1:48" ht="12.75" customHeight="1" x14ac:dyDescent="0.2">
      <c r="A351" s="86"/>
      <c r="B351" s="87"/>
      <c r="C351" s="88"/>
      <c r="D351" s="89"/>
      <c r="E351" s="90"/>
      <c r="F351" s="90"/>
      <c r="G351" s="91"/>
      <c r="H351" s="91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2"/>
      <c r="AG351" s="90"/>
      <c r="AH351" s="90"/>
      <c r="AI351" s="90"/>
      <c r="AJ351" s="90"/>
      <c r="AK351" s="90"/>
      <c r="AL351" s="90"/>
      <c r="AM351" s="90"/>
      <c r="AN351" s="90"/>
      <c r="AO351" s="90"/>
      <c r="AP351" s="90"/>
      <c r="AQ351" s="93"/>
      <c r="AR351" s="93"/>
      <c r="AS351" s="94"/>
      <c r="AT351" s="93"/>
      <c r="AU351" s="93"/>
      <c r="AV351" s="93"/>
    </row>
    <row r="352" spans="1:48" ht="12.75" customHeight="1" x14ac:dyDescent="0.2">
      <c r="A352" s="86"/>
      <c r="B352" s="87"/>
      <c r="C352" s="88"/>
      <c r="D352" s="89"/>
      <c r="E352" s="90"/>
      <c r="F352" s="90"/>
      <c r="G352" s="91"/>
      <c r="H352" s="91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2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3"/>
      <c r="AR352" s="93"/>
      <c r="AS352" s="94"/>
      <c r="AT352" s="93"/>
      <c r="AU352" s="93"/>
      <c r="AV352" s="93"/>
    </row>
    <row r="353" spans="1:48" ht="12.75" customHeight="1" x14ac:dyDescent="0.2">
      <c r="A353" s="86"/>
      <c r="B353" s="87"/>
      <c r="C353" s="88"/>
      <c r="D353" s="89"/>
      <c r="E353" s="90"/>
      <c r="F353" s="90"/>
      <c r="G353" s="91"/>
      <c r="H353" s="91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2"/>
      <c r="AG353" s="90"/>
      <c r="AH353" s="90"/>
      <c r="AI353" s="90"/>
      <c r="AJ353" s="90"/>
      <c r="AK353" s="90"/>
      <c r="AL353" s="90"/>
      <c r="AM353" s="90"/>
      <c r="AN353" s="90"/>
      <c r="AO353" s="90"/>
      <c r="AP353" s="90"/>
      <c r="AQ353" s="93"/>
      <c r="AR353" s="93"/>
      <c r="AS353" s="94"/>
      <c r="AT353" s="93"/>
      <c r="AU353" s="93"/>
      <c r="AV353" s="93"/>
    </row>
    <row r="354" spans="1:48" ht="12.75" customHeight="1" x14ac:dyDescent="0.2">
      <c r="A354" s="86"/>
      <c r="B354" s="87"/>
      <c r="C354" s="88"/>
      <c r="D354" s="89"/>
      <c r="E354" s="90"/>
      <c r="F354" s="90"/>
      <c r="G354" s="91"/>
      <c r="H354" s="91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2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3"/>
      <c r="AR354" s="93"/>
      <c r="AS354" s="94"/>
      <c r="AT354" s="93"/>
      <c r="AU354" s="93"/>
      <c r="AV354" s="93"/>
    </row>
    <row r="355" spans="1:48" ht="12.75" customHeight="1" x14ac:dyDescent="0.2">
      <c r="A355" s="86"/>
      <c r="B355" s="87"/>
      <c r="C355" s="88"/>
      <c r="D355" s="89"/>
      <c r="E355" s="90"/>
      <c r="F355" s="90"/>
      <c r="G355" s="91"/>
      <c r="H355" s="91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2"/>
      <c r="AG355" s="90"/>
      <c r="AH355" s="90"/>
      <c r="AI355" s="90"/>
      <c r="AJ355" s="90"/>
      <c r="AK355" s="90"/>
      <c r="AL355" s="90"/>
      <c r="AM355" s="90"/>
      <c r="AN355" s="90"/>
      <c r="AO355" s="90"/>
      <c r="AP355" s="90"/>
      <c r="AQ355" s="93"/>
      <c r="AR355" s="93"/>
      <c r="AS355" s="94"/>
      <c r="AT355" s="93"/>
      <c r="AU355" s="93"/>
      <c r="AV355" s="93"/>
    </row>
    <row r="356" spans="1:48" ht="12.75" customHeight="1" x14ac:dyDescent="0.2">
      <c r="A356" s="86"/>
      <c r="B356" s="87"/>
      <c r="C356" s="88"/>
      <c r="D356" s="89"/>
      <c r="E356" s="90"/>
      <c r="F356" s="90"/>
      <c r="G356" s="91"/>
      <c r="H356" s="91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2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3"/>
      <c r="AR356" s="93"/>
      <c r="AS356" s="94"/>
      <c r="AT356" s="93"/>
      <c r="AU356" s="93"/>
      <c r="AV356" s="93"/>
    </row>
    <row r="357" spans="1:48" ht="12.75" customHeight="1" x14ac:dyDescent="0.2">
      <c r="A357" s="86"/>
      <c r="B357" s="87"/>
      <c r="C357" s="88"/>
      <c r="D357" s="89"/>
      <c r="E357" s="90"/>
      <c r="F357" s="90"/>
      <c r="G357" s="91"/>
      <c r="H357" s="91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2"/>
      <c r="AG357" s="90"/>
      <c r="AH357" s="90"/>
      <c r="AI357" s="90"/>
      <c r="AJ357" s="90"/>
      <c r="AK357" s="90"/>
      <c r="AL357" s="90"/>
      <c r="AM357" s="90"/>
      <c r="AN357" s="90"/>
      <c r="AO357" s="90"/>
      <c r="AP357" s="90"/>
      <c r="AQ357" s="93"/>
      <c r="AR357" s="93"/>
      <c r="AS357" s="94"/>
      <c r="AT357" s="93"/>
      <c r="AU357" s="93"/>
      <c r="AV357" s="93"/>
    </row>
    <row r="358" spans="1:48" ht="12.75" customHeight="1" x14ac:dyDescent="0.2">
      <c r="A358" s="86"/>
      <c r="B358" s="87"/>
      <c r="C358" s="88"/>
      <c r="D358" s="89"/>
      <c r="E358" s="90"/>
      <c r="F358" s="90"/>
      <c r="G358" s="91"/>
      <c r="H358" s="91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2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3"/>
      <c r="AR358" s="93"/>
      <c r="AS358" s="94"/>
      <c r="AT358" s="93"/>
      <c r="AU358" s="93"/>
      <c r="AV358" s="93"/>
    </row>
    <row r="359" spans="1:48" ht="12.75" customHeight="1" x14ac:dyDescent="0.2">
      <c r="A359" s="86"/>
      <c r="B359" s="87"/>
      <c r="C359" s="88"/>
      <c r="D359" s="89"/>
      <c r="E359" s="90"/>
      <c r="F359" s="90"/>
      <c r="G359" s="91"/>
      <c r="H359" s="91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2"/>
      <c r="AG359" s="90"/>
      <c r="AH359" s="90"/>
      <c r="AI359" s="90"/>
      <c r="AJ359" s="90"/>
      <c r="AK359" s="90"/>
      <c r="AL359" s="90"/>
      <c r="AM359" s="90"/>
      <c r="AN359" s="90"/>
      <c r="AO359" s="90"/>
      <c r="AP359" s="90"/>
      <c r="AQ359" s="93"/>
      <c r="AR359" s="93"/>
      <c r="AS359" s="94"/>
      <c r="AT359" s="93"/>
      <c r="AU359" s="93"/>
      <c r="AV359" s="93"/>
    </row>
    <row r="360" spans="1:48" ht="12.75" customHeight="1" x14ac:dyDescent="0.2">
      <c r="A360" s="86"/>
      <c r="B360" s="87"/>
      <c r="C360" s="88"/>
      <c r="D360" s="89"/>
      <c r="E360" s="90"/>
      <c r="F360" s="90"/>
      <c r="G360" s="91"/>
      <c r="H360" s="91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2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3"/>
      <c r="AR360" s="93"/>
      <c r="AS360" s="94"/>
      <c r="AT360" s="93"/>
      <c r="AU360" s="93"/>
      <c r="AV360" s="93"/>
    </row>
    <row r="361" spans="1:48" ht="12.75" customHeight="1" x14ac:dyDescent="0.2">
      <c r="A361" s="86"/>
      <c r="B361" s="87"/>
      <c r="C361" s="88"/>
      <c r="D361" s="89"/>
      <c r="E361" s="90"/>
      <c r="F361" s="90"/>
      <c r="G361" s="91"/>
      <c r="H361" s="91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2"/>
      <c r="AG361" s="90"/>
      <c r="AH361" s="90"/>
      <c r="AI361" s="90"/>
      <c r="AJ361" s="90"/>
      <c r="AK361" s="90"/>
      <c r="AL361" s="90"/>
      <c r="AM361" s="90"/>
      <c r="AN361" s="90"/>
      <c r="AO361" s="90"/>
      <c r="AP361" s="90"/>
      <c r="AQ361" s="93"/>
      <c r="AR361" s="93"/>
      <c r="AS361" s="94"/>
      <c r="AT361" s="93"/>
      <c r="AU361" s="93"/>
      <c r="AV361" s="93"/>
    </row>
    <row r="362" spans="1:48" ht="12.75" customHeight="1" x14ac:dyDescent="0.2">
      <c r="A362" s="86"/>
      <c r="B362" s="87"/>
      <c r="C362" s="88"/>
      <c r="D362" s="89"/>
      <c r="E362" s="90"/>
      <c r="F362" s="90"/>
      <c r="G362" s="91"/>
      <c r="H362" s="91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2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3"/>
      <c r="AR362" s="93"/>
      <c r="AS362" s="94"/>
      <c r="AT362" s="93"/>
      <c r="AU362" s="93"/>
      <c r="AV362" s="93"/>
    </row>
    <row r="363" spans="1:48" ht="12.75" customHeight="1" x14ac:dyDescent="0.2">
      <c r="A363" s="86"/>
      <c r="B363" s="87"/>
      <c r="C363" s="88"/>
      <c r="D363" s="89"/>
      <c r="E363" s="90"/>
      <c r="F363" s="90"/>
      <c r="G363" s="91"/>
      <c r="H363" s="91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2"/>
      <c r="AG363" s="90"/>
      <c r="AH363" s="90"/>
      <c r="AI363" s="90"/>
      <c r="AJ363" s="90"/>
      <c r="AK363" s="90"/>
      <c r="AL363" s="90"/>
      <c r="AM363" s="90"/>
      <c r="AN363" s="90"/>
      <c r="AO363" s="90"/>
      <c r="AP363" s="90"/>
      <c r="AQ363" s="93"/>
      <c r="AR363" s="93"/>
      <c r="AS363" s="94"/>
      <c r="AT363" s="93"/>
      <c r="AU363" s="93"/>
      <c r="AV363" s="93"/>
    </row>
    <row r="364" spans="1:48" ht="12.75" customHeight="1" x14ac:dyDescent="0.2">
      <c r="A364" s="86"/>
      <c r="B364" s="87"/>
      <c r="C364" s="88"/>
      <c r="D364" s="89"/>
      <c r="E364" s="90"/>
      <c r="F364" s="90"/>
      <c r="G364" s="91"/>
      <c r="H364" s="91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2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3"/>
      <c r="AR364" s="93"/>
      <c r="AS364" s="94"/>
      <c r="AT364" s="93"/>
      <c r="AU364" s="93"/>
      <c r="AV364" s="93"/>
    </row>
    <row r="365" spans="1:48" ht="12.75" customHeight="1" x14ac:dyDescent="0.2">
      <c r="A365" s="86"/>
      <c r="B365" s="87"/>
      <c r="C365" s="88"/>
      <c r="D365" s="89"/>
      <c r="E365" s="90"/>
      <c r="F365" s="90"/>
      <c r="G365" s="91"/>
      <c r="H365" s="91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2"/>
      <c r="AG365" s="90"/>
      <c r="AH365" s="90"/>
      <c r="AI365" s="90"/>
      <c r="AJ365" s="90"/>
      <c r="AK365" s="90"/>
      <c r="AL365" s="90"/>
      <c r="AM365" s="90"/>
      <c r="AN365" s="90"/>
      <c r="AO365" s="90"/>
      <c r="AP365" s="90"/>
      <c r="AQ365" s="93"/>
      <c r="AR365" s="93"/>
      <c r="AS365" s="94"/>
      <c r="AT365" s="93"/>
      <c r="AU365" s="93"/>
      <c r="AV365" s="93"/>
    </row>
    <row r="366" spans="1:48" ht="12.75" customHeight="1" x14ac:dyDescent="0.2">
      <c r="A366" s="86"/>
      <c r="B366" s="87"/>
      <c r="C366" s="88"/>
      <c r="D366" s="89"/>
      <c r="E366" s="90"/>
      <c r="F366" s="90"/>
      <c r="G366" s="91"/>
      <c r="H366" s="91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2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3"/>
      <c r="AR366" s="93"/>
      <c r="AS366" s="94"/>
      <c r="AT366" s="93"/>
      <c r="AU366" s="93"/>
      <c r="AV366" s="93"/>
    </row>
    <row r="367" spans="1:48" ht="12.75" customHeight="1" x14ac:dyDescent="0.2">
      <c r="A367" s="86"/>
      <c r="B367" s="87"/>
      <c r="C367" s="88"/>
      <c r="D367" s="89"/>
      <c r="E367" s="90"/>
      <c r="F367" s="90"/>
      <c r="G367" s="91"/>
      <c r="H367" s="91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2"/>
      <c r="AG367" s="90"/>
      <c r="AH367" s="90"/>
      <c r="AI367" s="90"/>
      <c r="AJ367" s="90"/>
      <c r="AK367" s="90"/>
      <c r="AL367" s="90"/>
      <c r="AM367" s="90"/>
      <c r="AN367" s="90"/>
      <c r="AO367" s="90"/>
      <c r="AP367" s="90"/>
      <c r="AQ367" s="93"/>
      <c r="AR367" s="93"/>
      <c r="AS367" s="94"/>
      <c r="AT367" s="93"/>
      <c r="AU367" s="93"/>
      <c r="AV367" s="93"/>
    </row>
    <row r="368" spans="1:48" ht="12.75" customHeight="1" x14ac:dyDescent="0.2">
      <c r="A368" s="86"/>
      <c r="B368" s="87"/>
      <c r="C368" s="88"/>
      <c r="D368" s="89"/>
      <c r="E368" s="90"/>
      <c r="F368" s="90"/>
      <c r="G368" s="91"/>
      <c r="H368" s="91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2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3"/>
      <c r="AR368" s="93"/>
      <c r="AS368" s="94"/>
      <c r="AT368" s="93"/>
      <c r="AU368" s="93"/>
      <c r="AV368" s="93"/>
    </row>
    <row r="369" spans="1:48" ht="12.75" customHeight="1" x14ac:dyDescent="0.2">
      <c r="A369" s="86"/>
      <c r="B369" s="87"/>
      <c r="C369" s="88"/>
      <c r="D369" s="89"/>
      <c r="E369" s="90"/>
      <c r="F369" s="90"/>
      <c r="G369" s="91"/>
      <c r="H369" s="91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2"/>
      <c r="AG369" s="90"/>
      <c r="AH369" s="90"/>
      <c r="AI369" s="90"/>
      <c r="AJ369" s="90"/>
      <c r="AK369" s="90"/>
      <c r="AL369" s="90"/>
      <c r="AM369" s="90"/>
      <c r="AN369" s="90"/>
      <c r="AO369" s="90"/>
      <c r="AP369" s="90"/>
      <c r="AQ369" s="93"/>
      <c r="AR369" s="93"/>
      <c r="AS369" s="94"/>
      <c r="AT369" s="93"/>
      <c r="AU369" s="93"/>
      <c r="AV369" s="93"/>
    </row>
    <row r="370" spans="1:48" ht="12.75" customHeight="1" x14ac:dyDescent="0.2">
      <c r="A370" s="86"/>
      <c r="B370" s="87"/>
      <c r="C370" s="88"/>
      <c r="D370" s="89"/>
      <c r="E370" s="90"/>
      <c r="F370" s="90"/>
      <c r="G370" s="91"/>
      <c r="H370" s="91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2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3"/>
      <c r="AR370" s="93"/>
      <c r="AS370" s="94"/>
      <c r="AT370" s="93"/>
      <c r="AU370" s="93"/>
      <c r="AV370" s="93"/>
    </row>
    <row r="371" spans="1:48" ht="12.75" customHeight="1" x14ac:dyDescent="0.2">
      <c r="A371" s="86"/>
      <c r="B371" s="87"/>
      <c r="C371" s="88"/>
      <c r="D371" s="89"/>
      <c r="E371" s="90"/>
      <c r="F371" s="90"/>
      <c r="G371" s="91"/>
      <c r="H371" s="91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2"/>
      <c r="AG371" s="90"/>
      <c r="AH371" s="90"/>
      <c r="AI371" s="90"/>
      <c r="AJ371" s="90"/>
      <c r="AK371" s="90"/>
      <c r="AL371" s="90"/>
      <c r="AM371" s="90"/>
      <c r="AN371" s="90"/>
      <c r="AO371" s="90"/>
      <c r="AP371" s="90"/>
      <c r="AQ371" s="93"/>
      <c r="AR371" s="93"/>
      <c r="AS371" s="94"/>
      <c r="AT371" s="93"/>
      <c r="AU371" s="93"/>
      <c r="AV371" s="93"/>
    </row>
    <row r="372" spans="1:48" ht="12.75" customHeight="1" x14ac:dyDescent="0.2">
      <c r="A372" s="86"/>
      <c r="B372" s="87"/>
      <c r="C372" s="88"/>
      <c r="D372" s="89"/>
      <c r="E372" s="90"/>
      <c r="F372" s="90"/>
      <c r="G372" s="91"/>
      <c r="H372" s="91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2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3"/>
      <c r="AR372" s="93"/>
      <c r="AS372" s="94"/>
      <c r="AT372" s="93"/>
      <c r="AU372" s="93"/>
      <c r="AV372" s="93"/>
    </row>
    <row r="373" spans="1:48" ht="12.75" customHeight="1" x14ac:dyDescent="0.2">
      <c r="A373" s="86"/>
      <c r="B373" s="87"/>
      <c r="C373" s="88"/>
      <c r="D373" s="89"/>
      <c r="E373" s="90"/>
      <c r="F373" s="90"/>
      <c r="G373" s="91"/>
      <c r="H373" s="91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2"/>
      <c r="AG373" s="90"/>
      <c r="AH373" s="90"/>
      <c r="AI373" s="90"/>
      <c r="AJ373" s="90"/>
      <c r="AK373" s="90"/>
      <c r="AL373" s="90"/>
      <c r="AM373" s="90"/>
      <c r="AN373" s="90"/>
      <c r="AO373" s="90"/>
      <c r="AP373" s="90"/>
      <c r="AQ373" s="93"/>
      <c r="AR373" s="93"/>
      <c r="AS373" s="94"/>
      <c r="AT373" s="93"/>
      <c r="AU373" s="93"/>
      <c r="AV373" s="93"/>
    </row>
    <row r="374" spans="1:48" ht="12.75" customHeight="1" x14ac:dyDescent="0.2">
      <c r="A374" s="86"/>
      <c r="B374" s="87"/>
      <c r="C374" s="88"/>
      <c r="D374" s="89"/>
      <c r="E374" s="90"/>
      <c r="F374" s="90"/>
      <c r="G374" s="91"/>
      <c r="H374" s="91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2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3"/>
      <c r="AR374" s="93"/>
      <c r="AS374" s="94"/>
      <c r="AT374" s="93"/>
      <c r="AU374" s="93"/>
      <c r="AV374" s="93"/>
    </row>
    <row r="375" spans="1:48" ht="12.75" customHeight="1" x14ac:dyDescent="0.2">
      <c r="A375" s="86"/>
      <c r="B375" s="87"/>
      <c r="C375" s="88"/>
      <c r="D375" s="89"/>
      <c r="E375" s="90"/>
      <c r="F375" s="90"/>
      <c r="G375" s="91"/>
      <c r="H375" s="91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2"/>
      <c r="AG375" s="90"/>
      <c r="AH375" s="90"/>
      <c r="AI375" s="90"/>
      <c r="AJ375" s="90"/>
      <c r="AK375" s="90"/>
      <c r="AL375" s="90"/>
      <c r="AM375" s="90"/>
      <c r="AN375" s="90"/>
      <c r="AO375" s="90"/>
      <c r="AP375" s="90"/>
      <c r="AQ375" s="93"/>
      <c r="AR375" s="93"/>
      <c r="AS375" s="94"/>
      <c r="AT375" s="93"/>
      <c r="AU375" s="93"/>
      <c r="AV375" s="93"/>
    </row>
    <row r="376" spans="1:48" ht="12.75" customHeight="1" x14ac:dyDescent="0.2">
      <c r="A376" s="86"/>
      <c r="B376" s="87"/>
      <c r="C376" s="88"/>
      <c r="D376" s="89"/>
      <c r="E376" s="90"/>
      <c r="F376" s="90"/>
      <c r="G376" s="91"/>
      <c r="H376" s="91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2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3"/>
      <c r="AR376" s="93"/>
      <c r="AS376" s="94"/>
      <c r="AT376" s="93"/>
      <c r="AU376" s="93"/>
      <c r="AV376" s="93"/>
    </row>
    <row r="377" spans="1:48" ht="12.75" customHeight="1" x14ac:dyDescent="0.2">
      <c r="A377" s="86"/>
      <c r="B377" s="87"/>
      <c r="C377" s="88"/>
      <c r="D377" s="89"/>
      <c r="E377" s="90"/>
      <c r="F377" s="90"/>
      <c r="G377" s="91"/>
      <c r="H377" s="91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2"/>
      <c r="AG377" s="90"/>
      <c r="AH377" s="90"/>
      <c r="AI377" s="90"/>
      <c r="AJ377" s="90"/>
      <c r="AK377" s="90"/>
      <c r="AL377" s="90"/>
      <c r="AM377" s="90"/>
      <c r="AN377" s="90"/>
      <c r="AO377" s="90"/>
      <c r="AP377" s="90"/>
      <c r="AQ377" s="93"/>
      <c r="AR377" s="93"/>
      <c r="AS377" s="94"/>
      <c r="AT377" s="93"/>
      <c r="AU377" s="93"/>
      <c r="AV377" s="93"/>
    </row>
    <row r="378" spans="1:48" ht="12.75" customHeight="1" x14ac:dyDescent="0.2">
      <c r="A378" s="86"/>
      <c r="B378" s="87"/>
      <c r="C378" s="88"/>
      <c r="D378" s="89"/>
      <c r="E378" s="90"/>
      <c r="F378" s="90"/>
      <c r="G378" s="91"/>
      <c r="H378" s="91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2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3"/>
      <c r="AR378" s="93"/>
      <c r="AS378" s="94"/>
      <c r="AT378" s="93"/>
      <c r="AU378" s="93"/>
      <c r="AV378" s="93"/>
    </row>
    <row r="379" spans="1:48" ht="12.75" customHeight="1" x14ac:dyDescent="0.2">
      <c r="A379" s="86"/>
      <c r="B379" s="87"/>
      <c r="C379" s="88"/>
      <c r="D379" s="89"/>
      <c r="E379" s="90"/>
      <c r="F379" s="90"/>
      <c r="G379" s="91"/>
      <c r="H379" s="91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2"/>
      <c r="AG379" s="90"/>
      <c r="AH379" s="90"/>
      <c r="AI379" s="90"/>
      <c r="AJ379" s="90"/>
      <c r="AK379" s="90"/>
      <c r="AL379" s="90"/>
      <c r="AM379" s="90"/>
      <c r="AN379" s="90"/>
      <c r="AO379" s="90"/>
      <c r="AP379" s="90"/>
      <c r="AQ379" s="93"/>
      <c r="AR379" s="93"/>
      <c r="AS379" s="94"/>
      <c r="AT379" s="93"/>
      <c r="AU379" s="93"/>
      <c r="AV379" s="93"/>
    </row>
    <row r="380" spans="1:48" ht="12.75" customHeight="1" x14ac:dyDescent="0.2">
      <c r="A380" s="86"/>
      <c r="B380" s="87"/>
      <c r="C380" s="88"/>
      <c r="D380" s="89"/>
      <c r="E380" s="90"/>
      <c r="F380" s="90"/>
      <c r="G380" s="91"/>
      <c r="H380" s="91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2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3"/>
      <c r="AR380" s="93"/>
      <c r="AS380" s="94"/>
      <c r="AT380" s="93"/>
      <c r="AU380" s="93"/>
      <c r="AV380" s="93"/>
    </row>
    <row r="381" spans="1:48" ht="12.75" customHeight="1" x14ac:dyDescent="0.2">
      <c r="A381" s="86"/>
      <c r="B381" s="87"/>
      <c r="C381" s="88"/>
      <c r="D381" s="89"/>
      <c r="E381" s="90"/>
      <c r="F381" s="90"/>
      <c r="G381" s="91"/>
      <c r="H381" s="91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2"/>
      <c r="AG381" s="90"/>
      <c r="AH381" s="90"/>
      <c r="AI381" s="90"/>
      <c r="AJ381" s="90"/>
      <c r="AK381" s="90"/>
      <c r="AL381" s="90"/>
      <c r="AM381" s="90"/>
      <c r="AN381" s="90"/>
      <c r="AO381" s="90"/>
      <c r="AP381" s="90"/>
      <c r="AQ381" s="93"/>
      <c r="AR381" s="93"/>
      <c r="AS381" s="94"/>
      <c r="AT381" s="93"/>
      <c r="AU381" s="93"/>
      <c r="AV381" s="93"/>
    </row>
    <row r="382" spans="1:48" ht="12.75" customHeight="1" x14ac:dyDescent="0.2">
      <c r="A382" s="86"/>
      <c r="B382" s="87"/>
      <c r="C382" s="88"/>
      <c r="D382" s="89"/>
      <c r="E382" s="90"/>
      <c r="F382" s="90"/>
      <c r="G382" s="91"/>
      <c r="H382" s="91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2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3"/>
      <c r="AR382" s="93"/>
      <c r="AS382" s="94"/>
      <c r="AT382" s="93"/>
      <c r="AU382" s="93"/>
      <c r="AV382" s="93"/>
    </row>
    <row r="383" spans="1:48" ht="12.75" customHeight="1" x14ac:dyDescent="0.2">
      <c r="A383" s="86"/>
      <c r="B383" s="87"/>
      <c r="C383" s="88"/>
      <c r="D383" s="89"/>
      <c r="E383" s="90"/>
      <c r="F383" s="90"/>
      <c r="G383" s="91"/>
      <c r="H383" s="91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2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3"/>
      <c r="AR383" s="93"/>
      <c r="AS383" s="94"/>
      <c r="AT383" s="93"/>
      <c r="AU383" s="93"/>
      <c r="AV383" s="93"/>
    </row>
    <row r="384" spans="1:48" ht="12.75" customHeight="1" x14ac:dyDescent="0.2">
      <c r="A384" s="86"/>
      <c r="B384" s="87"/>
      <c r="C384" s="88"/>
      <c r="D384" s="89"/>
      <c r="E384" s="90"/>
      <c r="F384" s="90"/>
      <c r="G384" s="91"/>
      <c r="H384" s="91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2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3"/>
      <c r="AR384" s="93"/>
      <c r="AS384" s="94"/>
      <c r="AT384" s="93"/>
      <c r="AU384" s="93"/>
      <c r="AV384" s="93"/>
    </row>
    <row r="385" spans="1:48" ht="12.75" customHeight="1" x14ac:dyDescent="0.2">
      <c r="A385" s="86"/>
      <c r="B385" s="87"/>
      <c r="C385" s="88"/>
      <c r="D385" s="89"/>
      <c r="E385" s="90"/>
      <c r="F385" s="90"/>
      <c r="G385" s="91"/>
      <c r="H385" s="91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2"/>
      <c r="AG385" s="90"/>
      <c r="AH385" s="90"/>
      <c r="AI385" s="90"/>
      <c r="AJ385" s="90"/>
      <c r="AK385" s="90"/>
      <c r="AL385" s="90"/>
      <c r="AM385" s="90"/>
      <c r="AN385" s="90"/>
      <c r="AO385" s="90"/>
      <c r="AP385" s="90"/>
      <c r="AQ385" s="93"/>
      <c r="AR385" s="93"/>
      <c r="AS385" s="94"/>
      <c r="AT385" s="93"/>
      <c r="AU385" s="93"/>
      <c r="AV385" s="93"/>
    </row>
    <row r="386" spans="1:48" ht="12.75" customHeight="1" x14ac:dyDescent="0.2">
      <c r="A386" s="86"/>
      <c r="B386" s="87"/>
      <c r="C386" s="88"/>
      <c r="D386" s="89"/>
      <c r="E386" s="90"/>
      <c r="F386" s="90"/>
      <c r="G386" s="91"/>
      <c r="H386" s="91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2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3"/>
      <c r="AR386" s="93"/>
      <c r="AS386" s="94"/>
      <c r="AT386" s="93"/>
      <c r="AU386" s="93"/>
      <c r="AV386" s="93"/>
    </row>
    <row r="387" spans="1:48" ht="12.75" customHeight="1" x14ac:dyDescent="0.2">
      <c r="A387" s="86"/>
      <c r="B387" s="87"/>
      <c r="C387" s="88"/>
      <c r="D387" s="89"/>
      <c r="E387" s="90"/>
      <c r="F387" s="90"/>
      <c r="G387" s="91"/>
      <c r="H387" s="91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2"/>
      <c r="AG387" s="90"/>
      <c r="AH387" s="90"/>
      <c r="AI387" s="90"/>
      <c r="AJ387" s="90"/>
      <c r="AK387" s="90"/>
      <c r="AL387" s="90"/>
      <c r="AM387" s="90"/>
      <c r="AN387" s="90"/>
      <c r="AO387" s="90"/>
      <c r="AP387" s="90"/>
      <c r="AQ387" s="93"/>
      <c r="AR387" s="93"/>
      <c r="AS387" s="94"/>
      <c r="AT387" s="93"/>
      <c r="AU387" s="93"/>
      <c r="AV387" s="93"/>
    </row>
    <row r="388" spans="1:48" ht="12.75" customHeight="1" x14ac:dyDescent="0.2">
      <c r="A388" s="86"/>
      <c r="B388" s="87"/>
      <c r="C388" s="88"/>
      <c r="D388" s="89"/>
      <c r="E388" s="90"/>
      <c r="F388" s="90"/>
      <c r="G388" s="91"/>
      <c r="H388" s="91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2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3"/>
      <c r="AR388" s="93"/>
      <c r="AS388" s="94"/>
      <c r="AT388" s="93"/>
      <c r="AU388" s="93"/>
      <c r="AV388" s="93"/>
    </row>
    <row r="389" spans="1:48" ht="12.75" customHeight="1" x14ac:dyDescent="0.2">
      <c r="A389" s="86"/>
      <c r="B389" s="87"/>
      <c r="C389" s="88"/>
      <c r="D389" s="89"/>
      <c r="E389" s="90"/>
      <c r="F389" s="90"/>
      <c r="G389" s="91"/>
      <c r="H389" s="91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2"/>
      <c r="AG389" s="90"/>
      <c r="AH389" s="90"/>
      <c r="AI389" s="90"/>
      <c r="AJ389" s="90"/>
      <c r="AK389" s="90"/>
      <c r="AL389" s="90"/>
      <c r="AM389" s="90"/>
      <c r="AN389" s="90"/>
      <c r="AO389" s="90"/>
      <c r="AP389" s="90"/>
      <c r="AQ389" s="93"/>
      <c r="AR389" s="93"/>
      <c r="AS389" s="94"/>
      <c r="AT389" s="93"/>
      <c r="AU389" s="93"/>
      <c r="AV389" s="93"/>
    </row>
    <row r="390" spans="1:48" ht="12.75" customHeight="1" x14ac:dyDescent="0.2">
      <c r="A390" s="86"/>
      <c r="B390" s="87"/>
      <c r="C390" s="88"/>
      <c r="D390" s="89"/>
      <c r="E390" s="90"/>
      <c r="F390" s="90"/>
      <c r="G390" s="91"/>
      <c r="H390" s="91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2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3"/>
      <c r="AR390" s="93"/>
      <c r="AS390" s="94"/>
      <c r="AT390" s="93"/>
      <c r="AU390" s="93"/>
      <c r="AV390" s="93"/>
    </row>
    <row r="391" spans="1:48" ht="12.75" customHeight="1" x14ac:dyDescent="0.2">
      <c r="A391" s="86"/>
      <c r="B391" s="87"/>
      <c r="C391" s="88"/>
      <c r="D391" s="89"/>
      <c r="E391" s="90"/>
      <c r="F391" s="90"/>
      <c r="G391" s="91"/>
      <c r="H391" s="91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2"/>
      <c r="AG391" s="90"/>
      <c r="AH391" s="90"/>
      <c r="AI391" s="90"/>
      <c r="AJ391" s="90"/>
      <c r="AK391" s="90"/>
      <c r="AL391" s="90"/>
      <c r="AM391" s="90"/>
      <c r="AN391" s="90"/>
      <c r="AO391" s="90"/>
      <c r="AP391" s="90"/>
      <c r="AQ391" s="93"/>
      <c r="AR391" s="93"/>
      <c r="AS391" s="94"/>
      <c r="AT391" s="93"/>
      <c r="AU391" s="93"/>
      <c r="AV391" s="93"/>
    </row>
    <row r="392" spans="1:48" ht="12.75" customHeight="1" x14ac:dyDescent="0.2">
      <c r="A392" s="86"/>
      <c r="B392" s="87"/>
      <c r="C392" s="88"/>
      <c r="D392" s="89"/>
      <c r="E392" s="90"/>
      <c r="F392" s="90"/>
      <c r="G392" s="91"/>
      <c r="H392" s="91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2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3"/>
      <c r="AR392" s="93"/>
      <c r="AS392" s="94"/>
      <c r="AT392" s="93"/>
      <c r="AU392" s="93"/>
      <c r="AV392" s="93"/>
    </row>
    <row r="393" spans="1:48" ht="12.75" customHeight="1" x14ac:dyDescent="0.2">
      <c r="A393" s="86"/>
      <c r="B393" s="87"/>
      <c r="C393" s="88"/>
      <c r="D393" s="89"/>
      <c r="E393" s="90"/>
      <c r="F393" s="90"/>
      <c r="G393" s="91"/>
      <c r="H393" s="91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2"/>
      <c r="AG393" s="90"/>
      <c r="AH393" s="90"/>
      <c r="AI393" s="90"/>
      <c r="AJ393" s="90"/>
      <c r="AK393" s="90"/>
      <c r="AL393" s="90"/>
      <c r="AM393" s="90"/>
      <c r="AN393" s="90"/>
      <c r="AO393" s="90"/>
      <c r="AP393" s="90"/>
      <c r="AQ393" s="93"/>
      <c r="AR393" s="93"/>
      <c r="AS393" s="94"/>
      <c r="AT393" s="93"/>
      <c r="AU393" s="93"/>
      <c r="AV393" s="93"/>
    </row>
    <row r="394" spans="1:48" ht="12.75" customHeight="1" x14ac:dyDescent="0.2">
      <c r="A394" s="86"/>
      <c r="B394" s="87"/>
      <c r="C394" s="88"/>
      <c r="D394" s="89"/>
      <c r="E394" s="90"/>
      <c r="F394" s="90"/>
      <c r="G394" s="91"/>
      <c r="H394" s="91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2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3"/>
      <c r="AR394" s="93"/>
      <c r="AS394" s="94"/>
      <c r="AT394" s="93"/>
      <c r="AU394" s="93"/>
      <c r="AV394" s="93"/>
    </row>
    <row r="395" spans="1:48" ht="12.75" customHeight="1" x14ac:dyDescent="0.2">
      <c r="A395" s="86"/>
      <c r="B395" s="87"/>
      <c r="C395" s="88"/>
      <c r="D395" s="89"/>
      <c r="E395" s="90"/>
      <c r="F395" s="90"/>
      <c r="G395" s="91"/>
      <c r="H395" s="91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2"/>
      <c r="AG395" s="90"/>
      <c r="AH395" s="90"/>
      <c r="AI395" s="90"/>
      <c r="AJ395" s="90"/>
      <c r="AK395" s="90"/>
      <c r="AL395" s="90"/>
      <c r="AM395" s="90"/>
      <c r="AN395" s="90"/>
      <c r="AO395" s="90"/>
      <c r="AP395" s="90"/>
      <c r="AQ395" s="93"/>
      <c r="AR395" s="93"/>
      <c r="AS395" s="94"/>
      <c r="AT395" s="93"/>
      <c r="AU395" s="93"/>
      <c r="AV395" s="93"/>
    </row>
    <row r="396" spans="1:48" ht="12.75" customHeight="1" x14ac:dyDescent="0.2">
      <c r="A396" s="86"/>
      <c r="B396" s="87"/>
      <c r="C396" s="88"/>
      <c r="D396" s="89"/>
      <c r="E396" s="90"/>
      <c r="F396" s="90"/>
      <c r="G396" s="91"/>
      <c r="H396" s="91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2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3"/>
      <c r="AR396" s="93"/>
      <c r="AS396" s="94"/>
      <c r="AT396" s="93"/>
      <c r="AU396" s="93"/>
      <c r="AV396" s="93"/>
    </row>
    <row r="397" spans="1:48" ht="12.75" customHeight="1" x14ac:dyDescent="0.2">
      <c r="A397" s="86"/>
      <c r="B397" s="87"/>
      <c r="C397" s="88"/>
      <c r="D397" s="89"/>
      <c r="E397" s="90"/>
      <c r="F397" s="90"/>
      <c r="G397" s="91"/>
      <c r="H397" s="91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2"/>
      <c r="AG397" s="90"/>
      <c r="AH397" s="90"/>
      <c r="AI397" s="90"/>
      <c r="AJ397" s="90"/>
      <c r="AK397" s="90"/>
      <c r="AL397" s="90"/>
      <c r="AM397" s="90"/>
      <c r="AN397" s="90"/>
      <c r="AO397" s="90"/>
      <c r="AP397" s="90"/>
      <c r="AQ397" s="93"/>
      <c r="AR397" s="93"/>
      <c r="AS397" s="94"/>
      <c r="AT397" s="93"/>
      <c r="AU397" s="93"/>
      <c r="AV397" s="93"/>
    </row>
    <row r="398" spans="1:48" ht="12.75" customHeight="1" x14ac:dyDescent="0.2">
      <c r="A398" s="86"/>
      <c r="B398" s="87"/>
      <c r="C398" s="88"/>
      <c r="D398" s="89"/>
      <c r="E398" s="90"/>
      <c r="F398" s="90"/>
      <c r="G398" s="91"/>
      <c r="H398" s="91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2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3"/>
      <c r="AR398" s="93"/>
      <c r="AS398" s="94"/>
      <c r="AT398" s="93"/>
      <c r="AU398" s="93"/>
      <c r="AV398" s="93"/>
    </row>
    <row r="399" spans="1:48" ht="12.75" customHeight="1" x14ac:dyDescent="0.2">
      <c r="A399" s="86"/>
      <c r="B399" s="87"/>
      <c r="C399" s="88"/>
      <c r="D399" s="89"/>
      <c r="E399" s="90"/>
      <c r="F399" s="90"/>
      <c r="G399" s="91"/>
      <c r="H399" s="91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2"/>
      <c r="AG399" s="90"/>
      <c r="AH399" s="90"/>
      <c r="AI399" s="90"/>
      <c r="AJ399" s="90"/>
      <c r="AK399" s="90"/>
      <c r="AL399" s="90"/>
      <c r="AM399" s="90"/>
      <c r="AN399" s="90"/>
      <c r="AO399" s="90"/>
      <c r="AP399" s="90"/>
      <c r="AQ399" s="93"/>
      <c r="AR399" s="93"/>
      <c r="AS399" s="94"/>
      <c r="AT399" s="93"/>
      <c r="AU399" s="93"/>
      <c r="AV399" s="93"/>
    </row>
    <row r="400" spans="1:48" ht="12.75" customHeight="1" x14ac:dyDescent="0.2">
      <c r="A400" s="86"/>
      <c r="B400" s="87"/>
      <c r="C400" s="88"/>
      <c r="D400" s="89"/>
      <c r="E400" s="90"/>
      <c r="F400" s="90"/>
      <c r="G400" s="91"/>
      <c r="H400" s="91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2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3"/>
      <c r="AR400" s="93"/>
      <c r="AS400" s="94"/>
      <c r="AT400" s="93"/>
      <c r="AU400" s="93"/>
      <c r="AV400" s="93"/>
    </row>
    <row r="401" spans="1:48" ht="12.75" customHeight="1" x14ac:dyDescent="0.2">
      <c r="A401" s="86"/>
      <c r="B401" s="87"/>
      <c r="C401" s="88"/>
      <c r="D401" s="89"/>
      <c r="E401" s="90"/>
      <c r="F401" s="90"/>
      <c r="G401" s="91"/>
      <c r="H401" s="91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2"/>
      <c r="AG401" s="90"/>
      <c r="AH401" s="90"/>
      <c r="AI401" s="90"/>
      <c r="AJ401" s="90"/>
      <c r="AK401" s="90"/>
      <c r="AL401" s="90"/>
      <c r="AM401" s="90"/>
      <c r="AN401" s="90"/>
      <c r="AO401" s="90"/>
      <c r="AP401" s="90"/>
      <c r="AQ401" s="93"/>
      <c r="AR401" s="93"/>
      <c r="AS401" s="94"/>
      <c r="AT401" s="93"/>
      <c r="AU401" s="93"/>
      <c r="AV401" s="93"/>
    </row>
    <row r="402" spans="1:48" ht="12.75" customHeight="1" x14ac:dyDescent="0.2">
      <c r="A402" s="86"/>
      <c r="B402" s="87"/>
      <c r="C402" s="88"/>
      <c r="D402" s="89"/>
      <c r="E402" s="90"/>
      <c r="F402" s="90"/>
      <c r="G402" s="91"/>
      <c r="H402" s="91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2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3"/>
      <c r="AR402" s="93"/>
      <c r="AS402" s="94"/>
      <c r="AT402" s="93"/>
      <c r="AU402" s="93"/>
      <c r="AV402" s="93"/>
    </row>
    <row r="403" spans="1:48" ht="12.75" customHeight="1" x14ac:dyDescent="0.2">
      <c r="A403" s="86"/>
      <c r="B403" s="87"/>
      <c r="C403" s="88"/>
      <c r="D403" s="89"/>
      <c r="E403" s="90"/>
      <c r="F403" s="90"/>
      <c r="G403" s="91"/>
      <c r="H403" s="91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2"/>
      <c r="AG403" s="90"/>
      <c r="AH403" s="90"/>
      <c r="AI403" s="90"/>
      <c r="AJ403" s="90"/>
      <c r="AK403" s="90"/>
      <c r="AL403" s="90"/>
      <c r="AM403" s="90"/>
      <c r="AN403" s="90"/>
      <c r="AO403" s="90"/>
      <c r="AP403" s="90"/>
      <c r="AQ403" s="93"/>
      <c r="AR403" s="93"/>
      <c r="AS403" s="94"/>
      <c r="AT403" s="93"/>
      <c r="AU403" s="93"/>
      <c r="AV403" s="93"/>
    </row>
    <row r="404" spans="1:48" ht="12.75" customHeight="1" x14ac:dyDescent="0.2">
      <c r="A404" s="86"/>
      <c r="B404" s="87"/>
      <c r="C404" s="88"/>
      <c r="D404" s="89"/>
      <c r="E404" s="90"/>
      <c r="F404" s="90"/>
      <c r="G404" s="91"/>
      <c r="H404" s="91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2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3"/>
      <c r="AR404" s="93"/>
      <c r="AS404" s="94"/>
      <c r="AT404" s="93"/>
      <c r="AU404" s="93"/>
      <c r="AV404" s="93"/>
    </row>
    <row r="405" spans="1:48" ht="12.75" customHeight="1" x14ac:dyDescent="0.2">
      <c r="A405" s="86"/>
      <c r="B405" s="87"/>
      <c r="C405" s="88"/>
      <c r="D405" s="89"/>
      <c r="E405" s="90"/>
      <c r="F405" s="90"/>
      <c r="G405" s="91"/>
      <c r="H405" s="91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2"/>
      <c r="AG405" s="90"/>
      <c r="AH405" s="90"/>
      <c r="AI405" s="90"/>
      <c r="AJ405" s="90"/>
      <c r="AK405" s="90"/>
      <c r="AL405" s="90"/>
      <c r="AM405" s="90"/>
      <c r="AN405" s="90"/>
      <c r="AO405" s="90"/>
      <c r="AP405" s="90"/>
      <c r="AQ405" s="93"/>
      <c r="AR405" s="93"/>
      <c r="AS405" s="94"/>
      <c r="AT405" s="93"/>
      <c r="AU405" s="93"/>
      <c r="AV405" s="93"/>
    </row>
    <row r="406" spans="1:48" ht="12.75" customHeight="1" x14ac:dyDescent="0.2">
      <c r="A406" s="86"/>
      <c r="B406" s="87"/>
      <c r="C406" s="88"/>
      <c r="D406" s="89"/>
      <c r="E406" s="90"/>
      <c r="F406" s="90"/>
      <c r="G406" s="91"/>
      <c r="H406" s="91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2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3"/>
      <c r="AR406" s="93"/>
      <c r="AS406" s="94"/>
      <c r="AT406" s="93"/>
      <c r="AU406" s="93"/>
      <c r="AV406" s="93"/>
    </row>
    <row r="407" spans="1:48" ht="12.75" customHeight="1" x14ac:dyDescent="0.2">
      <c r="A407" s="86"/>
      <c r="B407" s="87"/>
      <c r="C407" s="88"/>
      <c r="D407" s="89"/>
      <c r="E407" s="90"/>
      <c r="F407" s="90"/>
      <c r="G407" s="91"/>
      <c r="H407" s="91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2"/>
      <c r="AG407" s="90"/>
      <c r="AH407" s="90"/>
      <c r="AI407" s="90"/>
      <c r="AJ407" s="90"/>
      <c r="AK407" s="90"/>
      <c r="AL407" s="90"/>
      <c r="AM407" s="90"/>
      <c r="AN407" s="90"/>
      <c r="AO407" s="90"/>
      <c r="AP407" s="90"/>
      <c r="AQ407" s="93"/>
      <c r="AR407" s="93"/>
      <c r="AS407" s="94"/>
      <c r="AT407" s="93"/>
      <c r="AU407" s="93"/>
      <c r="AV407" s="93"/>
    </row>
    <row r="408" spans="1:48" ht="12.75" customHeight="1" x14ac:dyDescent="0.2">
      <c r="A408" s="86"/>
      <c r="B408" s="87"/>
      <c r="C408" s="88"/>
      <c r="D408" s="89"/>
      <c r="E408" s="90"/>
      <c r="F408" s="90"/>
      <c r="G408" s="91"/>
      <c r="H408" s="91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2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3"/>
      <c r="AR408" s="93"/>
      <c r="AS408" s="94"/>
      <c r="AT408" s="93"/>
      <c r="AU408" s="93"/>
      <c r="AV408" s="93"/>
    </row>
    <row r="409" spans="1:48" ht="12.75" customHeight="1" x14ac:dyDescent="0.2">
      <c r="A409" s="86"/>
      <c r="B409" s="87"/>
      <c r="C409" s="88"/>
      <c r="D409" s="89"/>
      <c r="E409" s="90"/>
      <c r="F409" s="90"/>
      <c r="G409" s="91"/>
      <c r="H409" s="91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2"/>
      <c r="AG409" s="90"/>
      <c r="AH409" s="90"/>
      <c r="AI409" s="90"/>
      <c r="AJ409" s="90"/>
      <c r="AK409" s="90"/>
      <c r="AL409" s="90"/>
      <c r="AM409" s="90"/>
      <c r="AN409" s="90"/>
      <c r="AO409" s="90"/>
      <c r="AP409" s="90"/>
      <c r="AQ409" s="93"/>
      <c r="AR409" s="93"/>
      <c r="AS409" s="94"/>
      <c r="AT409" s="93"/>
      <c r="AU409" s="93"/>
      <c r="AV409" s="93"/>
    </row>
    <row r="410" spans="1:48" ht="12.75" customHeight="1" x14ac:dyDescent="0.2">
      <c r="A410" s="86"/>
      <c r="B410" s="87"/>
      <c r="C410" s="88"/>
      <c r="D410" s="89"/>
      <c r="E410" s="90"/>
      <c r="F410" s="90"/>
      <c r="G410" s="91"/>
      <c r="H410" s="91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2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3"/>
      <c r="AR410" s="93"/>
      <c r="AS410" s="94"/>
      <c r="AT410" s="93"/>
      <c r="AU410" s="93"/>
      <c r="AV410" s="93"/>
    </row>
    <row r="411" spans="1:48" ht="12.75" customHeight="1" x14ac:dyDescent="0.2">
      <c r="A411" s="86"/>
      <c r="B411" s="87"/>
      <c r="C411" s="88"/>
      <c r="D411" s="89"/>
      <c r="E411" s="90"/>
      <c r="F411" s="90"/>
      <c r="G411" s="91"/>
      <c r="H411" s="91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2"/>
      <c r="AG411" s="90"/>
      <c r="AH411" s="90"/>
      <c r="AI411" s="90"/>
      <c r="AJ411" s="90"/>
      <c r="AK411" s="90"/>
      <c r="AL411" s="90"/>
      <c r="AM411" s="90"/>
      <c r="AN411" s="90"/>
      <c r="AO411" s="90"/>
      <c r="AP411" s="90"/>
      <c r="AQ411" s="93"/>
      <c r="AR411" s="93"/>
      <c r="AS411" s="94"/>
      <c r="AT411" s="93"/>
      <c r="AU411" s="93"/>
      <c r="AV411" s="93"/>
    </row>
    <row r="412" spans="1:48" ht="12.75" customHeight="1" x14ac:dyDescent="0.2">
      <c r="A412" s="86"/>
      <c r="B412" s="87"/>
      <c r="C412" s="88"/>
      <c r="D412" s="89"/>
      <c r="E412" s="90"/>
      <c r="F412" s="90"/>
      <c r="G412" s="91"/>
      <c r="H412" s="91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2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3"/>
      <c r="AR412" s="93"/>
      <c r="AS412" s="94"/>
      <c r="AT412" s="93"/>
      <c r="AU412" s="93"/>
      <c r="AV412" s="93"/>
    </row>
    <row r="413" spans="1:48" ht="12.75" customHeight="1" x14ac:dyDescent="0.2">
      <c r="A413" s="86"/>
      <c r="B413" s="87"/>
      <c r="C413" s="88"/>
      <c r="D413" s="89"/>
      <c r="E413" s="90"/>
      <c r="F413" s="90"/>
      <c r="G413" s="91"/>
      <c r="H413" s="91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2"/>
      <c r="AG413" s="90"/>
      <c r="AH413" s="90"/>
      <c r="AI413" s="90"/>
      <c r="AJ413" s="90"/>
      <c r="AK413" s="90"/>
      <c r="AL413" s="90"/>
      <c r="AM413" s="90"/>
      <c r="AN413" s="90"/>
      <c r="AO413" s="90"/>
      <c r="AP413" s="90"/>
      <c r="AQ413" s="93"/>
      <c r="AR413" s="93"/>
      <c r="AS413" s="94"/>
      <c r="AT413" s="93"/>
      <c r="AU413" s="93"/>
      <c r="AV413" s="93"/>
    </row>
    <row r="414" spans="1:48" ht="12.75" customHeight="1" x14ac:dyDescent="0.2">
      <c r="A414" s="86"/>
      <c r="B414" s="87"/>
      <c r="C414" s="88"/>
      <c r="D414" s="89"/>
      <c r="E414" s="90"/>
      <c r="F414" s="90"/>
      <c r="G414" s="91"/>
      <c r="H414" s="91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2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3"/>
      <c r="AR414" s="93"/>
      <c r="AS414" s="94"/>
      <c r="AT414" s="93"/>
      <c r="AU414" s="93"/>
      <c r="AV414" s="93"/>
    </row>
    <row r="415" spans="1:48" ht="12.75" customHeight="1" x14ac:dyDescent="0.2">
      <c r="A415" s="86"/>
      <c r="B415" s="87"/>
      <c r="C415" s="88"/>
      <c r="D415" s="89"/>
      <c r="E415" s="90"/>
      <c r="F415" s="90"/>
      <c r="G415" s="91"/>
      <c r="H415" s="91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2"/>
      <c r="AG415" s="90"/>
      <c r="AH415" s="90"/>
      <c r="AI415" s="90"/>
      <c r="AJ415" s="90"/>
      <c r="AK415" s="90"/>
      <c r="AL415" s="90"/>
      <c r="AM415" s="90"/>
      <c r="AN415" s="90"/>
      <c r="AO415" s="90"/>
      <c r="AP415" s="90"/>
      <c r="AQ415" s="93"/>
      <c r="AR415" s="93"/>
      <c r="AS415" s="94"/>
      <c r="AT415" s="93"/>
      <c r="AU415" s="93"/>
      <c r="AV415" s="93"/>
    </row>
    <row r="416" spans="1:48" ht="12.75" customHeight="1" x14ac:dyDescent="0.2">
      <c r="A416" s="86"/>
      <c r="B416" s="87"/>
      <c r="C416" s="88"/>
      <c r="D416" s="89"/>
      <c r="E416" s="90"/>
      <c r="F416" s="90"/>
      <c r="G416" s="91"/>
      <c r="H416" s="91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2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3"/>
      <c r="AR416" s="93"/>
      <c r="AS416" s="94"/>
      <c r="AT416" s="93"/>
      <c r="AU416" s="93"/>
      <c r="AV416" s="93"/>
    </row>
    <row r="417" spans="1:48" ht="12.75" customHeight="1" x14ac:dyDescent="0.2">
      <c r="A417" s="86"/>
      <c r="B417" s="87"/>
      <c r="C417" s="88"/>
      <c r="D417" s="89"/>
      <c r="E417" s="90"/>
      <c r="F417" s="90"/>
      <c r="G417" s="91"/>
      <c r="H417" s="91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2"/>
      <c r="AG417" s="90"/>
      <c r="AH417" s="90"/>
      <c r="AI417" s="90"/>
      <c r="AJ417" s="90"/>
      <c r="AK417" s="90"/>
      <c r="AL417" s="90"/>
      <c r="AM417" s="90"/>
      <c r="AN417" s="90"/>
      <c r="AO417" s="90"/>
      <c r="AP417" s="90"/>
      <c r="AQ417" s="93"/>
      <c r="AR417" s="93"/>
      <c r="AS417" s="94"/>
      <c r="AT417" s="93"/>
      <c r="AU417" s="93"/>
      <c r="AV417" s="93"/>
    </row>
    <row r="418" spans="1:48" ht="12.75" customHeight="1" x14ac:dyDescent="0.2">
      <c r="A418" s="86"/>
      <c r="B418" s="87"/>
      <c r="C418" s="88"/>
      <c r="D418" s="89"/>
      <c r="E418" s="90"/>
      <c r="F418" s="90"/>
      <c r="G418" s="91"/>
      <c r="H418" s="91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2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3"/>
      <c r="AR418" s="93"/>
      <c r="AS418" s="94"/>
      <c r="AT418" s="93"/>
      <c r="AU418" s="93"/>
      <c r="AV418" s="93"/>
    </row>
    <row r="419" spans="1:48" ht="12.75" customHeight="1" x14ac:dyDescent="0.2">
      <c r="A419" s="86"/>
      <c r="B419" s="87"/>
      <c r="C419" s="88"/>
      <c r="D419" s="89"/>
      <c r="E419" s="90"/>
      <c r="F419" s="90"/>
      <c r="G419" s="91"/>
      <c r="H419" s="91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2"/>
      <c r="AG419" s="90"/>
      <c r="AH419" s="90"/>
      <c r="AI419" s="90"/>
      <c r="AJ419" s="90"/>
      <c r="AK419" s="90"/>
      <c r="AL419" s="90"/>
      <c r="AM419" s="90"/>
      <c r="AN419" s="90"/>
      <c r="AO419" s="90"/>
      <c r="AP419" s="90"/>
      <c r="AQ419" s="93"/>
      <c r="AR419" s="93"/>
      <c r="AS419" s="94"/>
      <c r="AT419" s="93"/>
      <c r="AU419" s="93"/>
      <c r="AV419" s="93"/>
    </row>
    <row r="420" spans="1:48" ht="12.75" customHeight="1" x14ac:dyDescent="0.2">
      <c r="A420" s="86"/>
      <c r="B420" s="87"/>
      <c r="C420" s="88"/>
      <c r="D420" s="89"/>
      <c r="E420" s="90"/>
      <c r="F420" s="90"/>
      <c r="G420" s="91"/>
      <c r="H420" s="91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2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3"/>
      <c r="AR420" s="93"/>
      <c r="AS420" s="94"/>
      <c r="AT420" s="93"/>
      <c r="AU420" s="93"/>
      <c r="AV420" s="93"/>
    </row>
    <row r="421" spans="1:48" ht="12.75" customHeight="1" x14ac:dyDescent="0.2">
      <c r="A421" s="86"/>
      <c r="B421" s="87"/>
      <c r="C421" s="88"/>
      <c r="D421" s="89"/>
      <c r="E421" s="90"/>
      <c r="F421" s="90"/>
      <c r="G421" s="91"/>
      <c r="H421" s="91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2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3"/>
      <c r="AR421" s="93"/>
      <c r="AS421" s="94"/>
      <c r="AT421" s="93"/>
      <c r="AU421" s="93"/>
      <c r="AV421" s="93"/>
    </row>
    <row r="422" spans="1:48" ht="12.75" customHeight="1" x14ac:dyDescent="0.2">
      <c r="A422" s="86"/>
      <c r="B422" s="87"/>
      <c r="C422" s="88"/>
      <c r="D422" s="89"/>
      <c r="E422" s="90"/>
      <c r="F422" s="90"/>
      <c r="G422" s="91"/>
      <c r="H422" s="91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2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3"/>
      <c r="AR422" s="93"/>
      <c r="AS422" s="94"/>
      <c r="AT422" s="93"/>
      <c r="AU422" s="93"/>
      <c r="AV422" s="93"/>
    </row>
    <row r="423" spans="1:48" ht="12.75" customHeight="1" x14ac:dyDescent="0.2">
      <c r="A423" s="86"/>
      <c r="B423" s="87"/>
      <c r="C423" s="88"/>
      <c r="D423" s="89"/>
      <c r="E423" s="90"/>
      <c r="F423" s="90"/>
      <c r="G423" s="91"/>
      <c r="H423" s="91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2"/>
      <c r="AG423" s="90"/>
      <c r="AH423" s="90"/>
      <c r="AI423" s="90"/>
      <c r="AJ423" s="90"/>
      <c r="AK423" s="90"/>
      <c r="AL423" s="90"/>
      <c r="AM423" s="90"/>
      <c r="AN423" s="90"/>
      <c r="AO423" s="90"/>
      <c r="AP423" s="90"/>
      <c r="AQ423" s="93"/>
      <c r="AR423" s="93"/>
      <c r="AS423" s="94"/>
      <c r="AT423" s="93"/>
      <c r="AU423" s="93"/>
      <c r="AV423" s="93"/>
    </row>
    <row r="424" spans="1:48" ht="12.75" customHeight="1" x14ac:dyDescent="0.2">
      <c r="A424" s="86"/>
      <c r="B424" s="87"/>
      <c r="C424" s="88"/>
      <c r="D424" s="89"/>
      <c r="E424" s="90"/>
      <c r="F424" s="90"/>
      <c r="G424" s="91"/>
      <c r="H424" s="91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2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  <c r="AQ424" s="93"/>
      <c r="AR424" s="93"/>
      <c r="AS424" s="94"/>
      <c r="AT424" s="93"/>
      <c r="AU424" s="93"/>
      <c r="AV424" s="93"/>
    </row>
    <row r="425" spans="1:48" ht="12.75" customHeight="1" x14ac:dyDescent="0.2">
      <c r="A425" s="86"/>
      <c r="B425" s="87"/>
      <c r="C425" s="88"/>
      <c r="D425" s="89"/>
      <c r="E425" s="90"/>
      <c r="F425" s="90"/>
      <c r="G425" s="91"/>
      <c r="H425" s="91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2"/>
      <c r="AG425" s="90"/>
      <c r="AH425" s="90"/>
      <c r="AI425" s="90"/>
      <c r="AJ425" s="90"/>
      <c r="AK425" s="90"/>
      <c r="AL425" s="90"/>
      <c r="AM425" s="90"/>
      <c r="AN425" s="90"/>
      <c r="AO425" s="90"/>
      <c r="AP425" s="90"/>
      <c r="AQ425" s="93"/>
      <c r="AR425" s="93"/>
      <c r="AS425" s="94"/>
      <c r="AT425" s="93"/>
      <c r="AU425" s="93"/>
      <c r="AV425" s="93"/>
    </row>
    <row r="426" spans="1:48" ht="12.75" customHeight="1" x14ac:dyDescent="0.2">
      <c r="A426" s="86"/>
      <c r="B426" s="87"/>
      <c r="C426" s="88"/>
      <c r="D426" s="89"/>
      <c r="E426" s="90"/>
      <c r="F426" s="90"/>
      <c r="G426" s="91"/>
      <c r="H426" s="91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2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  <c r="AQ426" s="93"/>
      <c r="AR426" s="93"/>
      <c r="AS426" s="94"/>
      <c r="AT426" s="93"/>
      <c r="AU426" s="93"/>
      <c r="AV426" s="93"/>
    </row>
    <row r="427" spans="1:48" ht="12.75" customHeight="1" x14ac:dyDescent="0.2">
      <c r="A427" s="86"/>
      <c r="B427" s="87"/>
      <c r="C427" s="88"/>
      <c r="D427" s="89"/>
      <c r="E427" s="90"/>
      <c r="F427" s="90"/>
      <c r="G427" s="91"/>
      <c r="H427" s="91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2"/>
      <c r="AG427" s="90"/>
      <c r="AH427" s="90"/>
      <c r="AI427" s="90"/>
      <c r="AJ427" s="90"/>
      <c r="AK427" s="90"/>
      <c r="AL427" s="90"/>
      <c r="AM427" s="90"/>
      <c r="AN427" s="90"/>
      <c r="AO427" s="90"/>
      <c r="AP427" s="90"/>
      <c r="AQ427" s="93"/>
      <c r="AR427" s="93"/>
      <c r="AS427" s="94"/>
      <c r="AT427" s="93"/>
      <c r="AU427" s="93"/>
      <c r="AV427" s="93"/>
    </row>
    <row r="428" spans="1:48" ht="12.75" customHeight="1" x14ac:dyDescent="0.2">
      <c r="A428" s="86"/>
      <c r="B428" s="87"/>
      <c r="C428" s="88"/>
      <c r="D428" s="89"/>
      <c r="E428" s="90"/>
      <c r="F428" s="90"/>
      <c r="G428" s="91"/>
      <c r="H428" s="91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2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3"/>
      <c r="AR428" s="93"/>
      <c r="AS428" s="94"/>
      <c r="AT428" s="93"/>
      <c r="AU428" s="93"/>
      <c r="AV428" s="93"/>
    </row>
    <row r="429" spans="1:48" ht="12.75" customHeight="1" x14ac:dyDescent="0.2">
      <c r="A429" s="86"/>
      <c r="B429" s="87"/>
      <c r="C429" s="88"/>
      <c r="D429" s="89"/>
      <c r="E429" s="90"/>
      <c r="F429" s="90"/>
      <c r="G429" s="91"/>
      <c r="H429" s="91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2"/>
      <c r="AG429" s="90"/>
      <c r="AH429" s="90"/>
      <c r="AI429" s="90"/>
      <c r="AJ429" s="90"/>
      <c r="AK429" s="90"/>
      <c r="AL429" s="90"/>
      <c r="AM429" s="90"/>
      <c r="AN429" s="90"/>
      <c r="AO429" s="90"/>
      <c r="AP429" s="90"/>
      <c r="AQ429" s="93"/>
      <c r="AR429" s="93"/>
      <c r="AS429" s="94"/>
      <c r="AT429" s="93"/>
      <c r="AU429" s="93"/>
      <c r="AV429" s="93"/>
    </row>
    <row r="430" spans="1:48" ht="12.75" customHeight="1" x14ac:dyDescent="0.2">
      <c r="A430" s="86"/>
      <c r="B430" s="87"/>
      <c r="C430" s="88"/>
      <c r="D430" s="89"/>
      <c r="E430" s="90"/>
      <c r="F430" s="90"/>
      <c r="G430" s="91"/>
      <c r="H430" s="91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2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3"/>
      <c r="AR430" s="93"/>
      <c r="AS430" s="94"/>
      <c r="AT430" s="93"/>
      <c r="AU430" s="93"/>
      <c r="AV430" s="93"/>
    </row>
    <row r="431" spans="1:48" ht="12.75" customHeight="1" x14ac:dyDescent="0.2">
      <c r="A431" s="86"/>
      <c r="B431" s="87"/>
      <c r="C431" s="88"/>
      <c r="D431" s="89"/>
      <c r="E431" s="90"/>
      <c r="F431" s="90"/>
      <c r="G431" s="91"/>
      <c r="H431" s="91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2"/>
      <c r="AG431" s="90"/>
      <c r="AH431" s="90"/>
      <c r="AI431" s="90"/>
      <c r="AJ431" s="90"/>
      <c r="AK431" s="90"/>
      <c r="AL431" s="90"/>
      <c r="AM431" s="90"/>
      <c r="AN431" s="90"/>
      <c r="AO431" s="90"/>
      <c r="AP431" s="90"/>
      <c r="AQ431" s="93"/>
      <c r="AR431" s="93"/>
      <c r="AS431" s="94"/>
      <c r="AT431" s="93"/>
      <c r="AU431" s="93"/>
      <c r="AV431" s="93"/>
    </row>
    <row r="432" spans="1:48" ht="12.75" customHeight="1" x14ac:dyDescent="0.2">
      <c r="A432" s="86"/>
      <c r="B432" s="87"/>
      <c r="C432" s="88"/>
      <c r="D432" s="89"/>
      <c r="E432" s="90"/>
      <c r="F432" s="90"/>
      <c r="G432" s="91"/>
      <c r="H432" s="91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2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  <c r="AQ432" s="93"/>
      <c r="AR432" s="93"/>
      <c r="AS432" s="94"/>
      <c r="AT432" s="93"/>
      <c r="AU432" s="93"/>
      <c r="AV432" s="93"/>
    </row>
    <row r="433" spans="1:48" ht="12.75" customHeight="1" x14ac:dyDescent="0.2">
      <c r="A433" s="86"/>
      <c r="B433" s="87"/>
      <c r="C433" s="88"/>
      <c r="D433" s="89"/>
      <c r="E433" s="90"/>
      <c r="F433" s="90"/>
      <c r="G433" s="91"/>
      <c r="H433" s="91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2"/>
      <c r="AG433" s="90"/>
      <c r="AH433" s="90"/>
      <c r="AI433" s="90"/>
      <c r="AJ433" s="90"/>
      <c r="AK433" s="90"/>
      <c r="AL433" s="90"/>
      <c r="AM433" s="90"/>
      <c r="AN433" s="90"/>
      <c r="AO433" s="90"/>
      <c r="AP433" s="90"/>
      <c r="AQ433" s="93"/>
      <c r="AR433" s="93"/>
      <c r="AS433" s="94"/>
      <c r="AT433" s="93"/>
      <c r="AU433" s="93"/>
      <c r="AV433" s="93"/>
    </row>
    <row r="434" spans="1:48" ht="12.75" customHeight="1" x14ac:dyDescent="0.2">
      <c r="A434" s="86"/>
      <c r="B434" s="87"/>
      <c r="C434" s="88"/>
      <c r="D434" s="89"/>
      <c r="E434" s="90"/>
      <c r="F434" s="90"/>
      <c r="G434" s="91"/>
      <c r="H434" s="91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2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  <c r="AQ434" s="93"/>
      <c r="AR434" s="93"/>
      <c r="AS434" s="94"/>
      <c r="AT434" s="93"/>
      <c r="AU434" s="93"/>
      <c r="AV434" s="93"/>
    </row>
    <row r="435" spans="1:48" ht="12.75" customHeight="1" x14ac:dyDescent="0.2">
      <c r="A435" s="86"/>
      <c r="B435" s="87"/>
      <c r="C435" s="88"/>
      <c r="D435" s="89"/>
      <c r="E435" s="90"/>
      <c r="F435" s="90"/>
      <c r="G435" s="91"/>
      <c r="H435" s="91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2"/>
      <c r="AG435" s="90"/>
      <c r="AH435" s="90"/>
      <c r="AI435" s="90"/>
      <c r="AJ435" s="90"/>
      <c r="AK435" s="90"/>
      <c r="AL435" s="90"/>
      <c r="AM435" s="90"/>
      <c r="AN435" s="90"/>
      <c r="AO435" s="90"/>
      <c r="AP435" s="90"/>
      <c r="AQ435" s="93"/>
      <c r="AR435" s="93"/>
      <c r="AS435" s="94"/>
      <c r="AT435" s="93"/>
      <c r="AU435" s="93"/>
      <c r="AV435" s="93"/>
    </row>
    <row r="436" spans="1:48" ht="12.75" customHeight="1" x14ac:dyDescent="0.2">
      <c r="A436" s="86"/>
      <c r="B436" s="87"/>
      <c r="C436" s="88"/>
      <c r="D436" s="89"/>
      <c r="E436" s="90"/>
      <c r="F436" s="90"/>
      <c r="G436" s="91"/>
      <c r="H436" s="91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2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  <c r="AQ436" s="93"/>
      <c r="AR436" s="93"/>
      <c r="AS436" s="94"/>
      <c r="AT436" s="93"/>
      <c r="AU436" s="93"/>
      <c r="AV436" s="93"/>
    </row>
    <row r="437" spans="1:48" ht="12.75" customHeight="1" x14ac:dyDescent="0.2">
      <c r="A437" s="86"/>
      <c r="B437" s="87"/>
      <c r="C437" s="88"/>
      <c r="D437" s="89"/>
      <c r="E437" s="90"/>
      <c r="F437" s="90"/>
      <c r="G437" s="91"/>
      <c r="H437" s="91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2"/>
      <c r="AG437" s="90"/>
      <c r="AH437" s="90"/>
      <c r="AI437" s="90"/>
      <c r="AJ437" s="90"/>
      <c r="AK437" s="90"/>
      <c r="AL437" s="90"/>
      <c r="AM437" s="90"/>
      <c r="AN437" s="90"/>
      <c r="AO437" s="90"/>
      <c r="AP437" s="90"/>
      <c r="AQ437" s="93"/>
      <c r="AR437" s="93"/>
      <c r="AS437" s="94"/>
      <c r="AT437" s="93"/>
      <c r="AU437" s="93"/>
      <c r="AV437" s="93"/>
    </row>
    <row r="438" spans="1:48" ht="12.75" customHeight="1" x14ac:dyDescent="0.2">
      <c r="A438" s="86"/>
      <c r="B438" s="87"/>
      <c r="C438" s="88"/>
      <c r="D438" s="89"/>
      <c r="E438" s="90"/>
      <c r="F438" s="90"/>
      <c r="G438" s="91"/>
      <c r="H438" s="91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2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  <c r="AQ438" s="93"/>
      <c r="AR438" s="93"/>
      <c r="AS438" s="94"/>
      <c r="AT438" s="93"/>
      <c r="AU438" s="93"/>
      <c r="AV438" s="93"/>
    </row>
    <row r="439" spans="1:48" ht="12.75" customHeight="1" x14ac:dyDescent="0.2">
      <c r="A439" s="86"/>
      <c r="B439" s="87"/>
      <c r="C439" s="88"/>
      <c r="D439" s="89"/>
      <c r="E439" s="90"/>
      <c r="F439" s="90"/>
      <c r="G439" s="91"/>
      <c r="H439" s="91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2"/>
      <c r="AG439" s="90"/>
      <c r="AH439" s="90"/>
      <c r="AI439" s="90"/>
      <c r="AJ439" s="90"/>
      <c r="AK439" s="90"/>
      <c r="AL439" s="90"/>
      <c r="AM439" s="90"/>
      <c r="AN439" s="90"/>
      <c r="AO439" s="90"/>
      <c r="AP439" s="90"/>
      <c r="AQ439" s="93"/>
      <c r="AR439" s="93"/>
      <c r="AS439" s="94"/>
      <c r="AT439" s="93"/>
      <c r="AU439" s="93"/>
      <c r="AV439" s="93"/>
    </row>
    <row r="440" spans="1:48" ht="12.75" customHeight="1" x14ac:dyDescent="0.2">
      <c r="A440" s="86"/>
      <c r="B440" s="87"/>
      <c r="C440" s="88"/>
      <c r="D440" s="89"/>
      <c r="E440" s="90"/>
      <c r="F440" s="90"/>
      <c r="G440" s="91"/>
      <c r="H440" s="91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2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  <c r="AQ440" s="93"/>
      <c r="AR440" s="93"/>
      <c r="AS440" s="94"/>
      <c r="AT440" s="93"/>
      <c r="AU440" s="93"/>
      <c r="AV440" s="93"/>
    </row>
    <row r="441" spans="1:48" ht="12.75" customHeight="1" x14ac:dyDescent="0.2">
      <c r="A441" s="86"/>
      <c r="B441" s="87"/>
      <c r="C441" s="88"/>
      <c r="D441" s="89"/>
      <c r="E441" s="90"/>
      <c r="F441" s="90"/>
      <c r="G441" s="91"/>
      <c r="H441" s="91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2"/>
      <c r="AG441" s="90"/>
      <c r="AH441" s="90"/>
      <c r="AI441" s="90"/>
      <c r="AJ441" s="90"/>
      <c r="AK441" s="90"/>
      <c r="AL441" s="90"/>
      <c r="AM441" s="90"/>
      <c r="AN441" s="90"/>
      <c r="AO441" s="90"/>
      <c r="AP441" s="90"/>
      <c r="AQ441" s="93"/>
      <c r="AR441" s="93"/>
      <c r="AS441" s="94"/>
      <c r="AT441" s="93"/>
      <c r="AU441" s="93"/>
      <c r="AV441" s="93"/>
    </row>
    <row r="442" spans="1:48" ht="12.75" customHeight="1" x14ac:dyDescent="0.2">
      <c r="A442" s="86"/>
      <c r="B442" s="87"/>
      <c r="C442" s="88"/>
      <c r="D442" s="89"/>
      <c r="E442" s="90"/>
      <c r="F442" s="90"/>
      <c r="G442" s="91"/>
      <c r="H442" s="91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2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3"/>
      <c r="AR442" s="93"/>
      <c r="AS442" s="94"/>
      <c r="AT442" s="93"/>
      <c r="AU442" s="93"/>
      <c r="AV442" s="93"/>
    </row>
    <row r="443" spans="1:48" ht="12.75" customHeight="1" x14ac:dyDescent="0.2">
      <c r="A443" s="86"/>
      <c r="B443" s="87"/>
      <c r="C443" s="88"/>
      <c r="D443" s="89"/>
      <c r="E443" s="90"/>
      <c r="F443" s="90"/>
      <c r="G443" s="91"/>
      <c r="H443" s="91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2"/>
      <c r="AG443" s="90"/>
      <c r="AH443" s="90"/>
      <c r="AI443" s="90"/>
      <c r="AJ443" s="90"/>
      <c r="AK443" s="90"/>
      <c r="AL443" s="90"/>
      <c r="AM443" s="90"/>
      <c r="AN443" s="90"/>
      <c r="AO443" s="90"/>
      <c r="AP443" s="90"/>
      <c r="AQ443" s="93"/>
      <c r="AR443" s="93"/>
      <c r="AS443" s="94"/>
      <c r="AT443" s="93"/>
      <c r="AU443" s="93"/>
      <c r="AV443" s="93"/>
    </row>
    <row r="444" spans="1:48" ht="12.75" customHeight="1" x14ac:dyDescent="0.2">
      <c r="A444" s="86"/>
      <c r="B444" s="87"/>
      <c r="C444" s="88"/>
      <c r="D444" s="89"/>
      <c r="E444" s="90"/>
      <c r="F444" s="90"/>
      <c r="G444" s="91"/>
      <c r="H444" s="91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2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3"/>
      <c r="AR444" s="93"/>
      <c r="AS444" s="94"/>
      <c r="AT444" s="93"/>
      <c r="AU444" s="93"/>
      <c r="AV444" s="93"/>
    </row>
    <row r="445" spans="1:48" ht="12.75" customHeight="1" x14ac:dyDescent="0.2">
      <c r="A445" s="86"/>
      <c r="B445" s="87"/>
      <c r="C445" s="88"/>
      <c r="D445" s="89"/>
      <c r="E445" s="90"/>
      <c r="F445" s="90"/>
      <c r="G445" s="91"/>
      <c r="H445" s="91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2"/>
      <c r="AG445" s="90"/>
      <c r="AH445" s="90"/>
      <c r="AI445" s="90"/>
      <c r="AJ445" s="90"/>
      <c r="AK445" s="90"/>
      <c r="AL445" s="90"/>
      <c r="AM445" s="90"/>
      <c r="AN445" s="90"/>
      <c r="AO445" s="90"/>
      <c r="AP445" s="90"/>
      <c r="AQ445" s="93"/>
      <c r="AR445" s="93"/>
      <c r="AS445" s="94"/>
      <c r="AT445" s="93"/>
      <c r="AU445" s="93"/>
      <c r="AV445" s="93"/>
    </row>
    <row r="446" spans="1:48" ht="12.75" customHeight="1" x14ac:dyDescent="0.2">
      <c r="A446" s="86"/>
      <c r="B446" s="87"/>
      <c r="C446" s="88"/>
      <c r="D446" s="89"/>
      <c r="E446" s="90"/>
      <c r="F446" s="90"/>
      <c r="G446" s="91"/>
      <c r="H446" s="91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2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  <c r="AQ446" s="93"/>
      <c r="AR446" s="93"/>
      <c r="AS446" s="94"/>
      <c r="AT446" s="93"/>
      <c r="AU446" s="93"/>
      <c r="AV446" s="93"/>
    </row>
    <row r="447" spans="1:48" ht="12.75" customHeight="1" x14ac:dyDescent="0.2">
      <c r="A447" s="86"/>
      <c r="B447" s="87"/>
      <c r="C447" s="88"/>
      <c r="D447" s="89"/>
      <c r="E447" s="90"/>
      <c r="F447" s="90"/>
      <c r="G447" s="91"/>
      <c r="H447" s="91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2"/>
      <c r="AG447" s="90"/>
      <c r="AH447" s="90"/>
      <c r="AI447" s="90"/>
      <c r="AJ447" s="90"/>
      <c r="AK447" s="90"/>
      <c r="AL447" s="90"/>
      <c r="AM447" s="90"/>
      <c r="AN447" s="90"/>
      <c r="AO447" s="90"/>
      <c r="AP447" s="90"/>
      <c r="AQ447" s="93"/>
      <c r="AR447" s="93"/>
      <c r="AS447" s="94"/>
      <c r="AT447" s="93"/>
      <c r="AU447" s="93"/>
      <c r="AV447" s="93"/>
    </row>
    <row r="448" spans="1:48" ht="12.75" customHeight="1" x14ac:dyDescent="0.2">
      <c r="A448" s="86"/>
      <c r="B448" s="87"/>
      <c r="C448" s="88"/>
      <c r="D448" s="89"/>
      <c r="E448" s="90"/>
      <c r="F448" s="90"/>
      <c r="G448" s="91"/>
      <c r="H448" s="91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2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3"/>
      <c r="AR448" s="93"/>
      <c r="AS448" s="94"/>
      <c r="AT448" s="93"/>
      <c r="AU448" s="93"/>
      <c r="AV448" s="93"/>
    </row>
    <row r="449" spans="1:48" ht="12.75" customHeight="1" x14ac:dyDescent="0.2">
      <c r="A449" s="86"/>
      <c r="B449" s="87"/>
      <c r="C449" s="88"/>
      <c r="D449" s="89"/>
      <c r="E449" s="90"/>
      <c r="F449" s="90"/>
      <c r="G449" s="91"/>
      <c r="H449" s="91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2"/>
      <c r="AG449" s="90"/>
      <c r="AH449" s="90"/>
      <c r="AI449" s="90"/>
      <c r="AJ449" s="90"/>
      <c r="AK449" s="90"/>
      <c r="AL449" s="90"/>
      <c r="AM449" s="90"/>
      <c r="AN449" s="90"/>
      <c r="AO449" s="90"/>
      <c r="AP449" s="90"/>
      <c r="AQ449" s="93"/>
      <c r="AR449" s="93"/>
      <c r="AS449" s="94"/>
      <c r="AT449" s="93"/>
      <c r="AU449" s="93"/>
      <c r="AV449" s="93"/>
    </row>
    <row r="450" spans="1:48" ht="12.75" customHeight="1" x14ac:dyDescent="0.2">
      <c r="A450" s="86"/>
      <c r="B450" s="87"/>
      <c r="C450" s="88"/>
      <c r="D450" s="89"/>
      <c r="E450" s="90"/>
      <c r="F450" s="90"/>
      <c r="G450" s="91"/>
      <c r="H450" s="91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2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3"/>
      <c r="AR450" s="93"/>
      <c r="AS450" s="94"/>
      <c r="AT450" s="93"/>
      <c r="AU450" s="93"/>
      <c r="AV450" s="93"/>
    </row>
    <row r="451" spans="1:48" ht="12.75" customHeight="1" x14ac:dyDescent="0.2">
      <c r="A451" s="86"/>
      <c r="B451" s="87"/>
      <c r="C451" s="88"/>
      <c r="D451" s="89"/>
      <c r="E451" s="90"/>
      <c r="F451" s="90"/>
      <c r="G451" s="91"/>
      <c r="H451" s="91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2"/>
      <c r="AG451" s="90"/>
      <c r="AH451" s="90"/>
      <c r="AI451" s="90"/>
      <c r="AJ451" s="90"/>
      <c r="AK451" s="90"/>
      <c r="AL451" s="90"/>
      <c r="AM451" s="90"/>
      <c r="AN451" s="90"/>
      <c r="AO451" s="90"/>
      <c r="AP451" s="90"/>
      <c r="AQ451" s="93"/>
      <c r="AR451" s="93"/>
      <c r="AS451" s="94"/>
      <c r="AT451" s="93"/>
      <c r="AU451" s="93"/>
      <c r="AV451" s="93"/>
    </row>
    <row r="452" spans="1:48" ht="12.75" customHeight="1" x14ac:dyDescent="0.2">
      <c r="A452" s="86"/>
      <c r="B452" s="87"/>
      <c r="C452" s="88"/>
      <c r="D452" s="89"/>
      <c r="E452" s="90"/>
      <c r="F452" s="90"/>
      <c r="G452" s="91"/>
      <c r="H452" s="91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2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  <c r="AQ452" s="93"/>
      <c r="AR452" s="93"/>
      <c r="AS452" s="94"/>
      <c r="AT452" s="93"/>
      <c r="AU452" s="93"/>
      <c r="AV452" s="93"/>
    </row>
    <row r="453" spans="1:48" ht="12.75" customHeight="1" x14ac:dyDescent="0.2">
      <c r="A453" s="86"/>
      <c r="B453" s="87"/>
      <c r="C453" s="88"/>
      <c r="D453" s="89"/>
      <c r="E453" s="90"/>
      <c r="F453" s="90"/>
      <c r="G453" s="91"/>
      <c r="H453" s="91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2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  <c r="AQ453" s="93"/>
      <c r="AR453" s="93"/>
      <c r="AS453" s="94"/>
      <c r="AT453" s="93"/>
      <c r="AU453" s="93"/>
      <c r="AV453" s="93"/>
    </row>
    <row r="454" spans="1:48" ht="12.75" customHeight="1" x14ac:dyDescent="0.2">
      <c r="A454" s="86"/>
      <c r="B454" s="87"/>
      <c r="C454" s="88"/>
      <c r="D454" s="89"/>
      <c r="E454" s="90"/>
      <c r="F454" s="90"/>
      <c r="G454" s="91"/>
      <c r="H454" s="91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2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3"/>
      <c r="AR454" s="93"/>
      <c r="AS454" s="94"/>
      <c r="AT454" s="93"/>
      <c r="AU454" s="93"/>
      <c r="AV454" s="93"/>
    </row>
    <row r="455" spans="1:48" ht="12.75" customHeight="1" x14ac:dyDescent="0.2">
      <c r="A455" s="86"/>
      <c r="B455" s="87"/>
      <c r="C455" s="88"/>
      <c r="D455" s="89"/>
      <c r="E455" s="90"/>
      <c r="F455" s="90"/>
      <c r="G455" s="91"/>
      <c r="H455" s="91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2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  <c r="AQ455" s="93"/>
      <c r="AR455" s="93"/>
      <c r="AS455" s="94"/>
      <c r="AT455" s="93"/>
      <c r="AU455" s="93"/>
      <c r="AV455" s="93"/>
    </row>
    <row r="456" spans="1:48" ht="12.75" customHeight="1" x14ac:dyDescent="0.2">
      <c r="A456" s="86"/>
      <c r="B456" s="87"/>
      <c r="C456" s="88"/>
      <c r="D456" s="89"/>
      <c r="E456" s="90"/>
      <c r="F456" s="90"/>
      <c r="G456" s="91"/>
      <c r="H456" s="91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2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3"/>
      <c r="AR456" s="93"/>
      <c r="AS456" s="94"/>
      <c r="AT456" s="93"/>
      <c r="AU456" s="93"/>
      <c r="AV456" s="93"/>
    </row>
    <row r="457" spans="1:48" ht="12.75" customHeight="1" x14ac:dyDescent="0.2">
      <c r="A457" s="86"/>
      <c r="B457" s="87"/>
      <c r="C457" s="88"/>
      <c r="D457" s="89"/>
      <c r="E457" s="90"/>
      <c r="F457" s="90"/>
      <c r="G457" s="91"/>
      <c r="H457" s="91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2"/>
      <c r="AG457" s="90"/>
      <c r="AH457" s="90"/>
      <c r="AI457" s="90"/>
      <c r="AJ457" s="90"/>
      <c r="AK457" s="90"/>
      <c r="AL457" s="90"/>
      <c r="AM457" s="90"/>
      <c r="AN457" s="90"/>
      <c r="AO457" s="90"/>
      <c r="AP457" s="90"/>
      <c r="AQ457" s="93"/>
      <c r="AR457" s="93"/>
      <c r="AS457" s="94"/>
      <c r="AT457" s="93"/>
      <c r="AU457" s="93"/>
      <c r="AV457" s="93"/>
    </row>
    <row r="458" spans="1:48" ht="12.75" customHeight="1" x14ac:dyDescent="0.2">
      <c r="A458" s="86"/>
      <c r="B458" s="87"/>
      <c r="C458" s="88"/>
      <c r="D458" s="89"/>
      <c r="E458" s="90"/>
      <c r="F458" s="90"/>
      <c r="G458" s="91"/>
      <c r="H458" s="91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2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3"/>
      <c r="AR458" s="93"/>
      <c r="AS458" s="94"/>
      <c r="AT458" s="93"/>
      <c r="AU458" s="93"/>
      <c r="AV458" s="93"/>
    </row>
    <row r="459" spans="1:48" ht="12.75" customHeight="1" x14ac:dyDescent="0.2">
      <c r="A459" s="86"/>
      <c r="B459" s="87"/>
      <c r="C459" s="88"/>
      <c r="D459" s="89"/>
      <c r="E459" s="90"/>
      <c r="F459" s="90"/>
      <c r="G459" s="91"/>
      <c r="H459" s="91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2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3"/>
      <c r="AR459" s="93"/>
      <c r="AS459" s="94"/>
      <c r="AT459" s="93"/>
      <c r="AU459" s="93"/>
      <c r="AV459" s="93"/>
    </row>
    <row r="460" spans="1:48" ht="12.75" customHeight="1" x14ac:dyDescent="0.2">
      <c r="A460" s="86"/>
      <c r="B460" s="87"/>
      <c r="C460" s="88"/>
      <c r="D460" s="89"/>
      <c r="E460" s="90"/>
      <c r="F460" s="90"/>
      <c r="G460" s="91"/>
      <c r="H460" s="91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2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  <c r="AQ460" s="93"/>
      <c r="AR460" s="93"/>
      <c r="AS460" s="94"/>
      <c r="AT460" s="93"/>
      <c r="AU460" s="93"/>
      <c r="AV460" s="93"/>
    </row>
    <row r="461" spans="1:48" ht="12.75" customHeight="1" x14ac:dyDescent="0.2">
      <c r="A461" s="86"/>
      <c r="B461" s="87"/>
      <c r="C461" s="88"/>
      <c r="D461" s="89"/>
      <c r="E461" s="90"/>
      <c r="F461" s="90"/>
      <c r="G461" s="91"/>
      <c r="H461" s="91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2"/>
      <c r="AG461" s="90"/>
      <c r="AH461" s="90"/>
      <c r="AI461" s="90"/>
      <c r="AJ461" s="90"/>
      <c r="AK461" s="90"/>
      <c r="AL461" s="90"/>
      <c r="AM461" s="90"/>
      <c r="AN461" s="90"/>
      <c r="AO461" s="90"/>
      <c r="AP461" s="90"/>
      <c r="AQ461" s="93"/>
      <c r="AR461" s="93"/>
      <c r="AS461" s="94"/>
      <c r="AT461" s="93"/>
      <c r="AU461" s="93"/>
      <c r="AV461" s="93"/>
    </row>
    <row r="462" spans="1:48" ht="12.75" customHeight="1" x14ac:dyDescent="0.2">
      <c r="A462" s="86"/>
      <c r="B462" s="87"/>
      <c r="C462" s="88"/>
      <c r="D462" s="89"/>
      <c r="E462" s="90"/>
      <c r="F462" s="90"/>
      <c r="G462" s="91"/>
      <c r="H462" s="91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2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3"/>
      <c r="AR462" s="93"/>
      <c r="AS462" s="94"/>
      <c r="AT462" s="93"/>
      <c r="AU462" s="93"/>
      <c r="AV462" s="93"/>
    </row>
    <row r="463" spans="1:48" ht="12.75" customHeight="1" x14ac:dyDescent="0.2">
      <c r="A463" s="86"/>
      <c r="B463" s="87"/>
      <c r="C463" s="88"/>
      <c r="D463" s="89"/>
      <c r="E463" s="90"/>
      <c r="F463" s="90"/>
      <c r="G463" s="91"/>
      <c r="H463" s="91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2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93"/>
      <c r="AR463" s="93"/>
      <c r="AS463" s="94"/>
      <c r="AT463" s="93"/>
      <c r="AU463" s="93"/>
      <c r="AV463" s="93"/>
    </row>
    <row r="464" spans="1:48" ht="12.75" customHeight="1" x14ac:dyDescent="0.2">
      <c r="A464" s="86"/>
      <c r="B464" s="87"/>
      <c r="C464" s="88"/>
      <c r="D464" s="89"/>
      <c r="E464" s="90"/>
      <c r="F464" s="90"/>
      <c r="G464" s="91"/>
      <c r="H464" s="91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2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  <c r="AQ464" s="93"/>
      <c r="AR464" s="93"/>
      <c r="AS464" s="94"/>
      <c r="AT464" s="93"/>
      <c r="AU464" s="93"/>
      <c r="AV464" s="93"/>
    </row>
    <row r="465" spans="1:48" ht="12.75" customHeight="1" x14ac:dyDescent="0.2">
      <c r="A465" s="86"/>
      <c r="B465" s="87"/>
      <c r="C465" s="88"/>
      <c r="D465" s="89"/>
      <c r="E465" s="90"/>
      <c r="F465" s="90"/>
      <c r="G465" s="91"/>
      <c r="H465" s="91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2"/>
      <c r="AG465" s="90"/>
      <c r="AH465" s="90"/>
      <c r="AI465" s="90"/>
      <c r="AJ465" s="90"/>
      <c r="AK465" s="90"/>
      <c r="AL465" s="90"/>
      <c r="AM465" s="90"/>
      <c r="AN465" s="90"/>
      <c r="AO465" s="90"/>
      <c r="AP465" s="90"/>
      <c r="AQ465" s="93"/>
      <c r="AR465" s="93"/>
      <c r="AS465" s="94"/>
      <c r="AT465" s="93"/>
      <c r="AU465" s="93"/>
      <c r="AV465" s="93"/>
    </row>
    <row r="466" spans="1:48" ht="12.75" customHeight="1" x14ac:dyDescent="0.2">
      <c r="A466" s="86"/>
      <c r="B466" s="87"/>
      <c r="C466" s="88"/>
      <c r="D466" s="89"/>
      <c r="E466" s="90"/>
      <c r="F466" s="90"/>
      <c r="G466" s="91"/>
      <c r="H466" s="91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2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3"/>
      <c r="AR466" s="93"/>
      <c r="AS466" s="94"/>
      <c r="AT466" s="93"/>
      <c r="AU466" s="93"/>
      <c r="AV466" s="93"/>
    </row>
    <row r="467" spans="1:48" ht="12.75" customHeight="1" x14ac:dyDescent="0.2">
      <c r="A467" s="86"/>
      <c r="B467" s="87"/>
      <c r="C467" s="88"/>
      <c r="D467" s="89"/>
      <c r="E467" s="90"/>
      <c r="F467" s="90"/>
      <c r="G467" s="91"/>
      <c r="H467" s="91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2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  <c r="AQ467" s="93"/>
      <c r="AR467" s="93"/>
      <c r="AS467" s="94"/>
      <c r="AT467" s="93"/>
      <c r="AU467" s="93"/>
      <c r="AV467" s="93"/>
    </row>
    <row r="468" spans="1:48" ht="12.75" customHeight="1" x14ac:dyDescent="0.2">
      <c r="A468" s="86"/>
      <c r="B468" s="87"/>
      <c r="C468" s="88"/>
      <c r="D468" s="89"/>
      <c r="E468" s="90"/>
      <c r="F468" s="90"/>
      <c r="G468" s="91"/>
      <c r="H468" s="91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2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93"/>
      <c r="AR468" s="93"/>
      <c r="AS468" s="94"/>
      <c r="AT468" s="93"/>
      <c r="AU468" s="93"/>
      <c r="AV468" s="93"/>
    </row>
    <row r="469" spans="1:48" ht="12.75" customHeight="1" x14ac:dyDescent="0.2">
      <c r="A469" s="86"/>
      <c r="B469" s="87"/>
      <c r="C469" s="88"/>
      <c r="D469" s="89"/>
      <c r="E469" s="90"/>
      <c r="F469" s="90"/>
      <c r="G469" s="91"/>
      <c r="H469" s="91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2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  <c r="AQ469" s="93"/>
      <c r="AR469" s="93"/>
      <c r="AS469" s="94"/>
      <c r="AT469" s="93"/>
      <c r="AU469" s="93"/>
      <c r="AV469" s="93"/>
    </row>
    <row r="470" spans="1:48" ht="12.75" customHeight="1" x14ac:dyDescent="0.2">
      <c r="A470" s="86"/>
      <c r="B470" s="87"/>
      <c r="C470" s="88"/>
      <c r="D470" s="89"/>
      <c r="E470" s="90"/>
      <c r="F470" s="90"/>
      <c r="G470" s="91"/>
      <c r="H470" s="91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2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  <c r="AQ470" s="93"/>
      <c r="AR470" s="93"/>
      <c r="AS470" s="94"/>
      <c r="AT470" s="93"/>
      <c r="AU470" s="93"/>
      <c r="AV470" s="93"/>
    </row>
    <row r="471" spans="1:48" ht="12.75" customHeight="1" x14ac:dyDescent="0.2">
      <c r="A471" s="86"/>
      <c r="B471" s="87"/>
      <c r="C471" s="88"/>
      <c r="D471" s="89"/>
      <c r="E471" s="90"/>
      <c r="F471" s="90"/>
      <c r="G471" s="91"/>
      <c r="H471" s="91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2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  <c r="AQ471" s="93"/>
      <c r="AR471" s="93"/>
      <c r="AS471" s="94"/>
      <c r="AT471" s="93"/>
      <c r="AU471" s="93"/>
      <c r="AV471" s="93"/>
    </row>
    <row r="472" spans="1:48" ht="12.75" customHeight="1" x14ac:dyDescent="0.2">
      <c r="A472" s="86"/>
      <c r="B472" s="87"/>
      <c r="C472" s="88"/>
      <c r="D472" s="89"/>
      <c r="E472" s="90"/>
      <c r="F472" s="90"/>
      <c r="G472" s="91"/>
      <c r="H472" s="91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2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3"/>
      <c r="AR472" s="93"/>
      <c r="AS472" s="94"/>
      <c r="AT472" s="93"/>
      <c r="AU472" s="93"/>
      <c r="AV472" s="93"/>
    </row>
    <row r="473" spans="1:48" ht="12.75" customHeight="1" x14ac:dyDescent="0.2">
      <c r="A473" s="86"/>
      <c r="B473" s="87"/>
      <c r="C473" s="88"/>
      <c r="D473" s="89"/>
      <c r="E473" s="90"/>
      <c r="F473" s="90"/>
      <c r="G473" s="91"/>
      <c r="H473" s="91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2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  <c r="AQ473" s="93"/>
      <c r="AR473" s="93"/>
      <c r="AS473" s="94"/>
      <c r="AT473" s="93"/>
      <c r="AU473" s="93"/>
      <c r="AV473" s="93"/>
    </row>
    <row r="474" spans="1:48" ht="12.75" customHeight="1" x14ac:dyDescent="0.2">
      <c r="A474" s="86"/>
      <c r="B474" s="87"/>
      <c r="C474" s="88"/>
      <c r="D474" s="89"/>
      <c r="E474" s="90"/>
      <c r="F474" s="90"/>
      <c r="G474" s="91"/>
      <c r="H474" s="91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2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  <c r="AQ474" s="93"/>
      <c r="AR474" s="93"/>
      <c r="AS474" s="94"/>
      <c r="AT474" s="93"/>
      <c r="AU474" s="93"/>
      <c r="AV474" s="93"/>
    </row>
    <row r="475" spans="1:48" ht="12.75" customHeight="1" x14ac:dyDescent="0.2">
      <c r="A475" s="86"/>
      <c r="B475" s="87"/>
      <c r="C475" s="88"/>
      <c r="D475" s="89"/>
      <c r="E475" s="90"/>
      <c r="F475" s="90"/>
      <c r="G475" s="91"/>
      <c r="H475" s="91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2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  <c r="AQ475" s="93"/>
      <c r="AR475" s="93"/>
      <c r="AS475" s="94"/>
      <c r="AT475" s="93"/>
      <c r="AU475" s="93"/>
      <c r="AV475" s="93"/>
    </row>
    <row r="476" spans="1:48" ht="12.75" customHeight="1" x14ac:dyDescent="0.2">
      <c r="A476" s="86"/>
      <c r="B476" s="87"/>
      <c r="C476" s="88"/>
      <c r="D476" s="89"/>
      <c r="E476" s="90"/>
      <c r="F476" s="90"/>
      <c r="G476" s="91"/>
      <c r="H476" s="91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2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  <c r="AQ476" s="93"/>
      <c r="AR476" s="93"/>
      <c r="AS476" s="94"/>
      <c r="AT476" s="93"/>
      <c r="AU476" s="93"/>
      <c r="AV476" s="93"/>
    </row>
    <row r="477" spans="1:48" ht="12.75" customHeight="1" x14ac:dyDescent="0.2">
      <c r="A477" s="86"/>
      <c r="B477" s="87"/>
      <c r="C477" s="88"/>
      <c r="D477" s="89"/>
      <c r="E477" s="90"/>
      <c r="F477" s="90"/>
      <c r="G477" s="91"/>
      <c r="H477" s="91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2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  <c r="AQ477" s="93"/>
      <c r="AR477" s="93"/>
      <c r="AS477" s="94"/>
      <c r="AT477" s="93"/>
      <c r="AU477" s="93"/>
      <c r="AV477" s="93"/>
    </row>
    <row r="478" spans="1:48" ht="12.75" customHeight="1" x14ac:dyDescent="0.2">
      <c r="A478" s="86"/>
      <c r="B478" s="87"/>
      <c r="C478" s="88"/>
      <c r="D478" s="89"/>
      <c r="E478" s="90"/>
      <c r="F478" s="90"/>
      <c r="G478" s="91"/>
      <c r="H478" s="91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2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  <c r="AQ478" s="93"/>
      <c r="AR478" s="93"/>
      <c r="AS478" s="94"/>
      <c r="AT478" s="93"/>
      <c r="AU478" s="93"/>
      <c r="AV478" s="93"/>
    </row>
    <row r="479" spans="1:48" ht="12.75" customHeight="1" x14ac:dyDescent="0.2">
      <c r="A479" s="86"/>
      <c r="B479" s="87"/>
      <c r="C479" s="88"/>
      <c r="D479" s="89"/>
      <c r="E479" s="90"/>
      <c r="F479" s="90"/>
      <c r="G479" s="91"/>
      <c r="H479" s="91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2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  <c r="AQ479" s="93"/>
      <c r="AR479" s="93"/>
      <c r="AS479" s="94"/>
      <c r="AT479" s="93"/>
      <c r="AU479" s="93"/>
      <c r="AV479" s="93"/>
    </row>
    <row r="480" spans="1:48" ht="12.75" customHeight="1" x14ac:dyDescent="0.2">
      <c r="A480" s="86"/>
      <c r="B480" s="87"/>
      <c r="C480" s="88"/>
      <c r="D480" s="89"/>
      <c r="E480" s="90"/>
      <c r="F480" s="90"/>
      <c r="G480" s="91"/>
      <c r="H480" s="91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2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  <c r="AQ480" s="93"/>
      <c r="AR480" s="93"/>
      <c r="AS480" s="94"/>
      <c r="AT480" s="93"/>
      <c r="AU480" s="93"/>
      <c r="AV480" s="93"/>
    </row>
    <row r="481" spans="1:48" ht="12.75" customHeight="1" x14ac:dyDescent="0.2">
      <c r="A481" s="86"/>
      <c r="B481" s="87"/>
      <c r="C481" s="88"/>
      <c r="D481" s="89"/>
      <c r="E481" s="90"/>
      <c r="F481" s="90"/>
      <c r="G481" s="91"/>
      <c r="H481" s="91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2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  <c r="AQ481" s="93"/>
      <c r="AR481" s="93"/>
      <c r="AS481" s="94"/>
      <c r="AT481" s="93"/>
      <c r="AU481" s="93"/>
      <c r="AV481" s="93"/>
    </row>
    <row r="482" spans="1:48" ht="12.75" customHeight="1" x14ac:dyDescent="0.2">
      <c r="A482" s="86"/>
      <c r="B482" s="87"/>
      <c r="C482" s="88"/>
      <c r="D482" s="89"/>
      <c r="E482" s="90"/>
      <c r="F482" s="90"/>
      <c r="G482" s="91"/>
      <c r="H482" s="91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2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3"/>
      <c r="AR482" s="93"/>
      <c r="AS482" s="94"/>
      <c r="AT482" s="93"/>
      <c r="AU482" s="93"/>
      <c r="AV482" s="93"/>
    </row>
    <row r="483" spans="1:48" ht="12.75" customHeight="1" x14ac:dyDescent="0.2">
      <c r="A483" s="86"/>
      <c r="B483" s="87"/>
      <c r="C483" s="88"/>
      <c r="D483" s="89"/>
      <c r="E483" s="90"/>
      <c r="F483" s="90"/>
      <c r="G483" s="91"/>
      <c r="H483" s="91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2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  <c r="AQ483" s="93"/>
      <c r="AR483" s="93"/>
      <c r="AS483" s="94"/>
      <c r="AT483" s="93"/>
      <c r="AU483" s="93"/>
      <c r="AV483" s="93"/>
    </row>
    <row r="484" spans="1:48" ht="12.75" customHeight="1" x14ac:dyDescent="0.2">
      <c r="A484" s="86"/>
      <c r="B484" s="87"/>
      <c r="C484" s="88"/>
      <c r="D484" s="89"/>
      <c r="E484" s="90"/>
      <c r="F484" s="90"/>
      <c r="G484" s="91"/>
      <c r="H484" s="91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2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  <c r="AQ484" s="93"/>
      <c r="AR484" s="93"/>
      <c r="AS484" s="94"/>
      <c r="AT484" s="93"/>
      <c r="AU484" s="93"/>
      <c r="AV484" s="93"/>
    </row>
    <row r="485" spans="1:48" ht="12.75" customHeight="1" x14ac:dyDescent="0.2">
      <c r="A485" s="86"/>
      <c r="B485" s="87"/>
      <c r="C485" s="88"/>
      <c r="D485" s="89"/>
      <c r="E485" s="90"/>
      <c r="F485" s="90"/>
      <c r="G485" s="91"/>
      <c r="H485" s="91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2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  <c r="AQ485" s="93"/>
      <c r="AR485" s="93"/>
      <c r="AS485" s="94"/>
      <c r="AT485" s="93"/>
      <c r="AU485" s="93"/>
      <c r="AV485" s="93"/>
    </row>
    <row r="486" spans="1:48" ht="12.75" customHeight="1" x14ac:dyDescent="0.2">
      <c r="A486" s="86"/>
      <c r="B486" s="87"/>
      <c r="C486" s="88"/>
      <c r="D486" s="89"/>
      <c r="E486" s="90"/>
      <c r="F486" s="90"/>
      <c r="G486" s="91"/>
      <c r="H486" s="91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2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  <c r="AQ486" s="93"/>
      <c r="AR486" s="93"/>
      <c r="AS486" s="94"/>
      <c r="AT486" s="93"/>
      <c r="AU486" s="93"/>
      <c r="AV486" s="93"/>
    </row>
    <row r="487" spans="1:48" ht="12.75" customHeight="1" x14ac:dyDescent="0.2">
      <c r="A487" s="86"/>
      <c r="B487" s="87"/>
      <c r="C487" s="88"/>
      <c r="D487" s="89"/>
      <c r="E487" s="90"/>
      <c r="F487" s="90"/>
      <c r="G487" s="91"/>
      <c r="H487" s="91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2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  <c r="AQ487" s="93"/>
      <c r="AR487" s="93"/>
      <c r="AS487" s="94"/>
      <c r="AT487" s="93"/>
      <c r="AU487" s="93"/>
      <c r="AV487" s="93"/>
    </row>
    <row r="488" spans="1:48" ht="12.75" customHeight="1" x14ac:dyDescent="0.2">
      <c r="A488" s="86"/>
      <c r="B488" s="87"/>
      <c r="C488" s="88"/>
      <c r="D488" s="89"/>
      <c r="E488" s="90"/>
      <c r="F488" s="90"/>
      <c r="G488" s="91"/>
      <c r="H488" s="91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2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  <c r="AQ488" s="93"/>
      <c r="AR488" s="93"/>
      <c r="AS488" s="94"/>
      <c r="AT488" s="93"/>
      <c r="AU488" s="93"/>
      <c r="AV488" s="93"/>
    </row>
    <row r="489" spans="1:48" ht="12.75" customHeight="1" x14ac:dyDescent="0.2">
      <c r="A489" s="86"/>
      <c r="B489" s="87"/>
      <c r="C489" s="88"/>
      <c r="D489" s="89"/>
      <c r="E489" s="90"/>
      <c r="F489" s="90"/>
      <c r="G489" s="91"/>
      <c r="H489" s="91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2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  <c r="AQ489" s="93"/>
      <c r="AR489" s="93"/>
      <c r="AS489" s="94"/>
      <c r="AT489" s="93"/>
      <c r="AU489" s="93"/>
      <c r="AV489" s="93"/>
    </row>
    <row r="490" spans="1:48" ht="12.75" customHeight="1" x14ac:dyDescent="0.2">
      <c r="A490" s="86"/>
      <c r="B490" s="87"/>
      <c r="C490" s="88"/>
      <c r="D490" s="89"/>
      <c r="E490" s="90"/>
      <c r="F490" s="90"/>
      <c r="G490" s="91"/>
      <c r="H490" s="91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2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  <c r="AQ490" s="93"/>
      <c r="AR490" s="93"/>
      <c r="AS490" s="94"/>
      <c r="AT490" s="93"/>
      <c r="AU490" s="93"/>
      <c r="AV490" s="93"/>
    </row>
    <row r="491" spans="1:48" ht="12.75" customHeight="1" x14ac:dyDescent="0.2">
      <c r="A491" s="86"/>
      <c r="B491" s="87"/>
      <c r="C491" s="88"/>
      <c r="D491" s="89"/>
      <c r="E491" s="90"/>
      <c r="F491" s="90"/>
      <c r="G491" s="91"/>
      <c r="H491" s="91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2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  <c r="AQ491" s="93"/>
      <c r="AR491" s="93"/>
      <c r="AS491" s="94"/>
      <c r="AT491" s="93"/>
      <c r="AU491" s="93"/>
      <c r="AV491" s="93"/>
    </row>
    <row r="492" spans="1:48" ht="12.75" customHeight="1" x14ac:dyDescent="0.2">
      <c r="A492" s="86"/>
      <c r="B492" s="87"/>
      <c r="C492" s="88"/>
      <c r="D492" s="89"/>
      <c r="E492" s="90"/>
      <c r="F492" s="90"/>
      <c r="G492" s="91"/>
      <c r="H492" s="91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2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  <c r="AQ492" s="93"/>
      <c r="AR492" s="93"/>
      <c r="AS492" s="94"/>
      <c r="AT492" s="93"/>
      <c r="AU492" s="93"/>
      <c r="AV492" s="93"/>
    </row>
    <row r="493" spans="1:48" ht="12.75" customHeight="1" x14ac:dyDescent="0.2">
      <c r="A493" s="86"/>
      <c r="B493" s="87"/>
      <c r="C493" s="88"/>
      <c r="D493" s="89"/>
      <c r="E493" s="90"/>
      <c r="F493" s="90"/>
      <c r="G493" s="91"/>
      <c r="H493" s="91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2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  <c r="AQ493" s="93"/>
      <c r="AR493" s="93"/>
      <c r="AS493" s="94"/>
      <c r="AT493" s="93"/>
      <c r="AU493" s="93"/>
      <c r="AV493" s="93"/>
    </row>
    <row r="494" spans="1:48" ht="12.75" customHeight="1" x14ac:dyDescent="0.2">
      <c r="A494" s="86"/>
      <c r="B494" s="87"/>
      <c r="C494" s="88"/>
      <c r="D494" s="89"/>
      <c r="E494" s="90"/>
      <c r="F494" s="90"/>
      <c r="G494" s="91"/>
      <c r="H494" s="91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2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93"/>
      <c r="AR494" s="93"/>
      <c r="AS494" s="94"/>
      <c r="AT494" s="93"/>
      <c r="AU494" s="93"/>
      <c r="AV494" s="93"/>
    </row>
    <row r="495" spans="1:48" ht="12.75" customHeight="1" x14ac:dyDescent="0.2">
      <c r="A495" s="86"/>
      <c r="B495" s="87"/>
      <c r="C495" s="88"/>
      <c r="D495" s="89"/>
      <c r="E495" s="90"/>
      <c r="F495" s="90"/>
      <c r="G495" s="91"/>
      <c r="H495" s="91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2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  <c r="AQ495" s="93"/>
      <c r="AR495" s="93"/>
      <c r="AS495" s="94"/>
      <c r="AT495" s="93"/>
      <c r="AU495" s="93"/>
      <c r="AV495" s="93"/>
    </row>
    <row r="496" spans="1:48" ht="12.75" customHeight="1" x14ac:dyDescent="0.2">
      <c r="A496" s="86"/>
      <c r="B496" s="87"/>
      <c r="C496" s="88"/>
      <c r="D496" s="89"/>
      <c r="E496" s="90"/>
      <c r="F496" s="90"/>
      <c r="G496" s="91"/>
      <c r="H496" s="91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2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  <c r="AQ496" s="93"/>
      <c r="AR496" s="93"/>
      <c r="AS496" s="94"/>
      <c r="AT496" s="93"/>
      <c r="AU496" s="93"/>
      <c r="AV496" s="93"/>
    </row>
    <row r="497" spans="1:48" ht="12.75" customHeight="1" x14ac:dyDescent="0.2">
      <c r="A497" s="86"/>
      <c r="B497" s="87"/>
      <c r="C497" s="88"/>
      <c r="D497" s="89"/>
      <c r="E497" s="90"/>
      <c r="F497" s="90"/>
      <c r="G497" s="91"/>
      <c r="H497" s="91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2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3"/>
      <c r="AR497" s="93"/>
      <c r="AS497" s="94"/>
      <c r="AT497" s="93"/>
      <c r="AU497" s="93"/>
      <c r="AV497" s="93"/>
    </row>
    <row r="498" spans="1:48" ht="12.75" customHeight="1" x14ac:dyDescent="0.2">
      <c r="A498" s="86"/>
      <c r="B498" s="87"/>
      <c r="C498" s="88"/>
      <c r="D498" s="89"/>
      <c r="E498" s="90"/>
      <c r="F498" s="90"/>
      <c r="G498" s="91"/>
      <c r="H498" s="91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2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  <c r="AQ498" s="93"/>
      <c r="AR498" s="93"/>
      <c r="AS498" s="94"/>
      <c r="AT498" s="93"/>
      <c r="AU498" s="93"/>
      <c r="AV498" s="93"/>
    </row>
    <row r="499" spans="1:48" ht="12.75" customHeight="1" x14ac:dyDescent="0.2">
      <c r="A499" s="86"/>
      <c r="B499" s="87"/>
      <c r="C499" s="88"/>
      <c r="D499" s="89"/>
      <c r="E499" s="90"/>
      <c r="F499" s="90"/>
      <c r="G499" s="91"/>
      <c r="H499" s="91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2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  <c r="AQ499" s="93"/>
      <c r="AR499" s="93"/>
      <c r="AS499" s="94"/>
      <c r="AT499" s="93"/>
      <c r="AU499" s="93"/>
      <c r="AV499" s="93"/>
    </row>
    <row r="500" spans="1:48" ht="12.75" customHeight="1" x14ac:dyDescent="0.2">
      <c r="A500" s="86"/>
      <c r="B500" s="87"/>
      <c r="C500" s="88"/>
      <c r="D500" s="89"/>
      <c r="E500" s="90"/>
      <c r="F500" s="90"/>
      <c r="G500" s="91"/>
      <c r="H500" s="91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2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  <c r="AQ500" s="93"/>
      <c r="AR500" s="93"/>
      <c r="AS500" s="94"/>
      <c r="AT500" s="93"/>
      <c r="AU500" s="93"/>
      <c r="AV500" s="93"/>
    </row>
    <row r="501" spans="1:48" ht="12.75" customHeight="1" x14ac:dyDescent="0.2">
      <c r="A501" s="86"/>
      <c r="B501" s="87"/>
      <c r="C501" s="88"/>
      <c r="D501" s="89"/>
      <c r="E501" s="90"/>
      <c r="F501" s="90"/>
      <c r="G501" s="91"/>
      <c r="H501" s="91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2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  <c r="AQ501" s="93"/>
      <c r="AR501" s="93"/>
      <c r="AS501" s="94"/>
      <c r="AT501" s="93"/>
      <c r="AU501" s="93"/>
      <c r="AV501" s="93"/>
    </row>
    <row r="502" spans="1:48" ht="12.75" customHeight="1" x14ac:dyDescent="0.2">
      <c r="A502" s="86"/>
      <c r="B502" s="87"/>
      <c r="C502" s="88"/>
      <c r="D502" s="89"/>
      <c r="E502" s="90"/>
      <c r="F502" s="90"/>
      <c r="G502" s="91"/>
      <c r="H502" s="91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2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  <c r="AQ502" s="93"/>
      <c r="AR502" s="93"/>
      <c r="AS502" s="94"/>
      <c r="AT502" s="93"/>
      <c r="AU502" s="93"/>
      <c r="AV502" s="93"/>
    </row>
    <row r="503" spans="1:48" ht="12.75" customHeight="1" x14ac:dyDescent="0.2">
      <c r="A503" s="86"/>
      <c r="B503" s="87"/>
      <c r="C503" s="88"/>
      <c r="D503" s="89"/>
      <c r="E503" s="90"/>
      <c r="F503" s="90"/>
      <c r="G503" s="91"/>
      <c r="H503" s="91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2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  <c r="AQ503" s="93"/>
      <c r="AR503" s="93"/>
      <c r="AS503" s="94"/>
      <c r="AT503" s="93"/>
      <c r="AU503" s="93"/>
      <c r="AV503" s="93"/>
    </row>
    <row r="504" spans="1:48" ht="12.75" customHeight="1" x14ac:dyDescent="0.2">
      <c r="A504" s="86"/>
      <c r="B504" s="87"/>
      <c r="C504" s="88"/>
      <c r="D504" s="89"/>
      <c r="E504" s="90"/>
      <c r="F504" s="90"/>
      <c r="G504" s="91"/>
      <c r="H504" s="91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2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  <c r="AQ504" s="93"/>
      <c r="AR504" s="93"/>
      <c r="AS504" s="94"/>
      <c r="AT504" s="93"/>
      <c r="AU504" s="93"/>
      <c r="AV504" s="93"/>
    </row>
    <row r="505" spans="1:48" ht="12.75" customHeight="1" x14ac:dyDescent="0.2">
      <c r="A505" s="86"/>
      <c r="B505" s="87"/>
      <c r="C505" s="88"/>
      <c r="D505" s="89"/>
      <c r="E505" s="90"/>
      <c r="F505" s="90"/>
      <c r="G505" s="91"/>
      <c r="H505" s="91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2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  <c r="AQ505" s="93"/>
      <c r="AR505" s="93"/>
      <c r="AS505" s="94"/>
      <c r="AT505" s="93"/>
      <c r="AU505" s="93"/>
      <c r="AV505" s="93"/>
    </row>
    <row r="506" spans="1:48" ht="12.75" customHeight="1" x14ac:dyDescent="0.2">
      <c r="A506" s="86"/>
      <c r="B506" s="87"/>
      <c r="C506" s="88"/>
      <c r="D506" s="89"/>
      <c r="E506" s="90"/>
      <c r="F506" s="90"/>
      <c r="G506" s="91"/>
      <c r="H506" s="91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2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93"/>
      <c r="AR506" s="93"/>
      <c r="AS506" s="94"/>
      <c r="AT506" s="93"/>
      <c r="AU506" s="93"/>
      <c r="AV506" s="93"/>
    </row>
    <row r="507" spans="1:48" ht="12.75" customHeight="1" x14ac:dyDescent="0.2">
      <c r="A507" s="86"/>
      <c r="B507" s="87"/>
      <c r="C507" s="88"/>
      <c r="D507" s="89"/>
      <c r="E507" s="90"/>
      <c r="F507" s="90"/>
      <c r="G507" s="91"/>
      <c r="H507" s="91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2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  <c r="AQ507" s="93"/>
      <c r="AR507" s="93"/>
      <c r="AS507" s="94"/>
      <c r="AT507" s="93"/>
      <c r="AU507" s="93"/>
      <c r="AV507" s="93"/>
    </row>
    <row r="508" spans="1:48" ht="12.75" customHeight="1" x14ac:dyDescent="0.2">
      <c r="A508" s="86"/>
      <c r="B508" s="87"/>
      <c r="C508" s="88"/>
      <c r="D508" s="89"/>
      <c r="E508" s="90"/>
      <c r="F508" s="90"/>
      <c r="G508" s="91"/>
      <c r="H508" s="91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2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  <c r="AQ508" s="93"/>
      <c r="AR508" s="93"/>
      <c r="AS508" s="94"/>
      <c r="AT508" s="93"/>
      <c r="AU508" s="93"/>
      <c r="AV508" s="93"/>
    </row>
    <row r="509" spans="1:48" ht="12.75" customHeight="1" x14ac:dyDescent="0.2">
      <c r="A509" s="86"/>
      <c r="B509" s="87"/>
      <c r="C509" s="88"/>
      <c r="D509" s="89"/>
      <c r="E509" s="90"/>
      <c r="F509" s="90"/>
      <c r="G509" s="91"/>
      <c r="H509" s="91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2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  <c r="AQ509" s="93"/>
      <c r="AR509" s="93"/>
      <c r="AS509" s="94"/>
      <c r="AT509" s="93"/>
      <c r="AU509" s="93"/>
      <c r="AV509" s="93"/>
    </row>
    <row r="510" spans="1:48" ht="12.75" customHeight="1" x14ac:dyDescent="0.2">
      <c r="A510" s="86"/>
      <c r="B510" s="87"/>
      <c r="C510" s="88"/>
      <c r="D510" s="89"/>
      <c r="E510" s="90"/>
      <c r="F510" s="90"/>
      <c r="G510" s="91"/>
      <c r="H510" s="91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2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  <c r="AQ510" s="93"/>
      <c r="AR510" s="93"/>
      <c r="AS510" s="94"/>
      <c r="AT510" s="93"/>
      <c r="AU510" s="93"/>
      <c r="AV510" s="93"/>
    </row>
    <row r="511" spans="1:48" ht="12.75" customHeight="1" x14ac:dyDescent="0.2">
      <c r="A511" s="86"/>
      <c r="B511" s="87"/>
      <c r="C511" s="88"/>
      <c r="D511" s="89"/>
      <c r="E511" s="90"/>
      <c r="F511" s="90"/>
      <c r="G511" s="91"/>
      <c r="H511" s="91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2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  <c r="AQ511" s="93"/>
      <c r="AR511" s="93"/>
      <c r="AS511" s="94"/>
      <c r="AT511" s="93"/>
      <c r="AU511" s="93"/>
      <c r="AV511" s="93"/>
    </row>
    <row r="512" spans="1:48" ht="12.75" customHeight="1" x14ac:dyDescent="0.2">
      <c r="A512" s="86"/>
      <c r="B512" s="87"/>
      <c r="C512" s="88"/>
      <c r="D512" s="89"/>
      <c r="E512" s="90"/>
      <c r="F512" s="90"/>
      <c r="G512" s="91"/>
      <c r="H512" s="91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2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  <c r="AQ512" s="93"/>
      <c r="AR512" s="93"/>
      <c r="AS512" s="94"/>
      <c r="AT512" s="93"/>
      <c r="AU512" s="93"/>
      <c r="AV512" s="93"/>
    </row>
    <row r="513" spans="1:48" ht="12.75" customHeight="1" x14ac:dyDescent="0.2">
      <c r="A513" s="86"/>
      <c r="B513" s="87"/>
      <c r="C513" s="88"/>
      <c r="D513" s="89"/>
      <c r="E513" s="90"/>
      <c r="F513" s="90"/>
      <c r="G513" s="91"/>
      <c r="H513" s="91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2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  <c r="AQ513" s="93"/>
      <c r="AR513" s="93"/>
      <c r="AS513" s="94"/>
      <c r="AT513" s="93"/>
      <c r="AU513" s="93"/>
      <c r="AV513" s="93"/>
    </row>
    <row r="514" spans="1:48" ht="12.75" customHeight="1" x14ac:dyDescent="0.2">
      <c r="A514" s="86"/>
      <c r="B514" s="87"/>
      <c r="C514" s="88"/>
      <c r="D514" s="89"/>
      <c r="E514" s="90"/>
      <c r="F514" s="90"/>
      <c r="G514" s="91"/>
      <c r="H514" s="91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2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3"/>
      <c r="AR514" s="93"/>
      <c r="AS514" s="94"/>
      <c r="AT514" s="93"/>
      <c r="AU514" s="93"/>
      <c r="AV514" s="93"/>
    </row>
    <row r="515" spans="1:48" ht="12.75" customHeight="1" x14ac:dyDescent="0.2">
      <c r="A515" s="86"/>
      <c r="B515" s="87"/>
      <c r="C515" s="88"/>
      <c r="D515" s="89"/>
      <c r="E515" s="90"/>
      <c r="F515" s="90"/>
      <c r="G515" s="91"/>
      <c r="H515" s="91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2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  <c r="AQ515" s="93"/>
      <c r="AR515" s="93"/>
      <c r="AS515" s="94"/>
      <c r="AT515" s="93"/>
      <c r="AU515" s="93"/>
      <c r="AV515" s="93"/>
    </row>
    <row r="516" spans="1:48" ht="12.75" customHeight="1" x14ac:dyDescent="0.2">
      <c r="A516" s="86"/>
      <c r="B516" s="87"/>
      <c r="C516" s="88"/>
      <c r="D516" s="89"/>
      <c r="E516" s="90"/>
      <c r="F516" s="90"/>
      <c r="G516" s="91"/>
      <c r="H516" s="91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2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3"/>
      <c r="AR516" s="93"/>
      <c r="AS516" s="94"/>
      <c r="AT516" s="93"/>
      <c r="AU516" s="93"/>
      <c r="AV516" s="93"/>
    </row>
    <row r="517" spans="1:48" ht="12.75" customHeight="1" x14ac:dyDescent="0.2">
      <c r="A517" s="86"/>
      <c r="B517" s="87"/>
      <c r="C517" s="88"/>
      <c r="D517" s="89"/>
      <c r="E517" s="90"/>
      <c r="F517" s="90"/>
      <c r="G517" s="91"/>
      <c r="H517" s="91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2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  <c r="AQ517" s="93"/>
      <c r="AR517" s="93"/>
      <c r="AS517" s="94"/>
      <c r="AT517" s="93"/>
      <c r="AU517" s="93"/>
      <c r="AV517" s="93"/>
    </row>
    <row r="518" spans="1:48" ht="12.75" customHeight="1" x14ac:dyDescent="0.2">
      <c r="A518" s="86"/>
      <c r="B518" s="87"/>
      <c r="C518" s="88"/>
      <c r="D518" s="89"/>
      <c r="E518" s="90"/>
      <c r="F518" s="90"/>
      <c r="G518" s="91"/>
      <c r="H518" s="91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2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  <c r="AQ518" s="93"/>
      <c r="AR518" s="93"/>
      <c r="AS518" s="94"/>
      <c r="AT518" s="93"/>
      <c r="AU518" s="93"/>
      <c r="AV518" s="93"/>
    </row>
    <row r="519" spans="1:48" ht="12.75" customHeight="1" x14ac:dyDescent="0.2">
      <c r="A519" s="86"/>
      <c r="B519" s="87"/>
      <c r="C519" s="88"/>
      <c r="D519" s="89"/>
      <c r="E519" s="90"/>
      <c r="F519" s="90"/>
      <c r="G519" s="91"/>
      <c r="H519" s="91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2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  <c r="AQ519" s="93"/>
      <c r="AR519" s="93"/>
      <c r="AS519" s="94"/>
      <c r="AT519" s="93"/>
      <c r="AU519" s="93"/>
      <c r="AV519" s="93"/>
    </row>
    <row r="520" spans="1:48" ht="12.75" customHeight="1" x14ac:dyDescent="0.2">
      <c r="A520" s="86"/>
      <c r="B520" s="87"/>
      <c r="C520" s="88"/>
      <c r="D520" s="89"/>
      <c r="E520" s="90"/>
      <c r="F520" s="90"/>
      <c r="G520" s="91"/>
      <c r="H520" s="91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2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  <c r="AQ520" s="93"/>
      <c r="AR520" s="93"/>
      <c r="AS520" s="94"/>
      <c r="AT520" s="93"/>
      <c r="AU520" s="93"/>
      <c r="AV520" s="93"/>
    </row>
    <row r="521" spans="1:48" ht="12.75" customHeight="1" x14ac:dyDescent="0.2">
      <c r="A521" s="86"/>
      <c r="B521" s="87"/>
      <c r="C521" s="88"/>
      <c r="D521" s="89"/>
      <c r="E521" s="90"/>
      <c r="F521" s="90"/>
      <c r="G521" s="91"/>
      <c r="H521" s="91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2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  <c r="AQ521" s="93"/>
      <c r="AR521" s="93"/>
      <c r="AS521" s="94"/>
      <c r="AT521" s="93"/>
      <c r="AU521" s="93"/>
      <c r="AV521" s="93"/>
    </row>
    <row r="522" spans="1:48" ht="12.75" customHeight="1" x14ac:dyDescent="0.2">
      <c r="A522" s="86"/>
      <c r="B522" s="87"/>
      <c r="C522" s="88"/>
      <c r="D522" s="89"/>
      <c r="E522" s="90"/>
      <c r="F522" s="90"/>
      <c r="G522" s="91"/>
      <c r="H522" s="91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2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  <c r="AQ522" s="93"/>
      <c r="AR522" s="93"/>
      <c r="AS522" s="94"/>
      <c r="AT522" s="93"/>
      <c r="AU522" s="93"/>
      <c r="AV522" s="93"/>
    </row>
    <row r="523" spans="1:48" ht="12.75" customHeight="1" x14ac:dyDescent="0.2">
      <c r="A523" s="86"/>
      <c r="B523" s="87"/>
      <c r="C523" s="88"/>
      <c r="D523" s="89"/>
      <c r="E523" s="90"/>
      <c r="F523" s="90"/>
      <c r="G523" s="91"/>
      <c r="H523" s="91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2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  <c r="AQ523" s="93"/>
      <c r="AR523" s="93"/>
      <c r="AS523" s="94"/>
      <c r="AT523" s="93"/>
      <c r="AU523" s="93"/>
      <c r="AV523" s="93"/>
    </row>
    <row r="524" spans="1:48" ht="12.75" customHeight="1" x14ac:dyDescent="0.2">
      <c r="A524" s="86"/>
      <c r="B524" s="87"/>
      <c r="C524" s="88"/>
      <c r="D524" s="89"/>
      <c r="E524" s="90"/>
      <c r="F524" s="90"/>
      <c r="G524" s="91"/>
      <c r="H524" s="91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2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  <c r="AQ524" s="93"/>
      <c r="AR524" s="93"/>
      <c r="AS524" s="94"/>
      <c r="AT524" s="93"/>
      <c r="AU524" s="93"/>
      <c r="AV524" s="93"/>
    </row>
    <row r="525" spans="1:48" ht="12.75" customHeight="1" x14ac:dyDescent="0.2">
      <c r="A525" s="86"/>
      <c r="B525" s="87"/>
      <c r="C525" s="88"/>
      <c r="D525" s="89"/>
      <c r="E525" s="90"/>
      <c r="F525" s="90"/>
      <c r="G525" s="91"/>
      <c r="H525" s="91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2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  <c r="AQ525" s="93"/>
      <c r="AR525" s="93"/>
      <c r="AS525" s="94"/>
      <c r="AT525" s="93"/>
      <c r="AU525" s="93"/>
      <c r="AV525" s="93"/>
    </row>
    <row r="526" spans="1:48" ht="12.75" customHeight="1" x14ac:dyDescent="0.2">
      <c r="A526" s="86"/>
      <c r="B526" s="87"/>
      <c r="C526" s="88"/>
      <c r="D526" s="89"/>
      <c r="E526" s="90"/>
      <c r="F526" s="90"/>
      <c r="G526" s="91"/>
      <c r="H526" s="91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2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3"/>
      <c r="AR526" s="93"/>
      <c r="AS526" s="94"/>
      <c r="AT526" s="93"/>
      <c r="AU526" s="93"/>
      <c r="AV526" s="93"/>
    </row>
    <row r="527" spans="1:48" ht="12.75" customHeight="1" x14ac:dyDescent="0.2">
      <c r="A527" s="86"/>
      <c r="B527" s="87"/>
      <c r="C527" s="88"/>
      <c r="D527" s="89"/>
      <c r="E527" s="90"/>
      <c r="F527" s="90"/>
      <c r="G527" s="91"/>
      <c r="H527" s="91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2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  <c r="AQ527" s="93"/>
      <c r="AR527" s="93"/>
      <c r="AS527" s="94"/>
      <c r="AT527" s="93"/>
      <c r="AU527" s="93"/>
      <c r="AV527" s="93"/>
    </row>
    <row r="528" spans="1:48" ht="12.75" customHeight="1" x14ac:dyDescent="0.2">
      <c r="A528" s="86"/>
      <c r="B528" s="87"/>
      <c r="C528" s="88"/>
      <c r="D528" s="89"/>
      <c r="E528" s="90"/>
      <c r="F528" s="90"/>
      <c r="G528" s="91"/>
      <c r="H528" s="91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2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93"/>
      <c r="AR528" s="93"/>
      <c r="AS528" s="94"/>
      <c r="AT528" s="93"/>
      <c r="AU528" s="93"/>
      <c r="AV528" s="93"/>
    </row>
    <row r="529" spans="1:48" ht="12.75" customHeight="1" x14ac:dyDescent="0.2">
      <c r="A529" s="86"/>
      <c r="B529" s="87"/>
      <c r="C529" s="88"/>
      <c r="D529" s="89"/>
      <c r="E529" s="90"/>
      <c r="F529" s="90"/>
      <c r="G529" s="91"/>
      <c r="H529" s="91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2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  <c r="AQ529" s="93"/>
      <c r="AR529" s="93"/>
      <c r="AS529" s="94"/>
      <c r="AT529" s="93"/>
      <c r="AU529" s="93"/>
      <c r="AV529" s="93"/>
    </row>
    <row r="530" spans="1:48" ht="12.75" customHeight="1" x14ac:dyDescent="0.2">
      <c r="A530" s="86"/>
      <c r="B530" s="87"/>
      <c r="C530" s="88"/>
      <c r="D530" s="89"/>
      <c r="E530" s="90"/>
      <c r="F530" s="90"/>
      <c r="G530" s="91"/>
      <c r="H530" s="91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2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93"/>
      <c r="AR530" s="93"/>
      <c r="AS530" s="94"/>
      <c r="AT530" s="93"/>
      <c r="AU530" s="93"/>
      <c r="AV530" s="93"/>
    </row>
    <row r="531" spans="1:48" ht="12.75" customHeight="1" x14ac:dyDescent="0.2">
      <c r="A531" s="86"/>
      <c r="B531" s="87"/>
      <c r="C531" s="88"/>
      <c r="D531" s="89"/>
      <c r="E531" s="90"/>
      <c r="F531" s="90"/>
      <c r="G531" s="91"/>
      <c r="H531" s="91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2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  <c r="AQ531" s="93"/>
      <c r="AR531" s="93"/>
      <c r="AS531" s="94"/>
      <c r="AT531" s="93"/>
      <c r="AU531" s="93"/>
      <c r="AV531" s="93"/>
    </row>
    <row r="532" spans="1:48" ht="12.75" customHeight="1" x14ac:dyDescent="0.2">
      <c r="A532" s="86"/>
      <c r="B532" s="87"/>
      <c r="C532" s="88"/>
      <c r="D532" s="89"/>
      <c r="E532" s="90"/>
      <c r="F532" s="90"/>
      <c r="G532" s="91"/>
      <c r="H532" s="91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2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  <c r="AQ532" s="93"/>
      <c r="AR532" s="93"/>
      <c r="AS532" s="94"/>
      <c r="AT532" s="93"/>
      <c r="AU532" s="93"/>
      <c r="AV532" s="93"/>
    </row>
    <row r="533" spans="1:48" ht="12.75" customHeight="1" x14ac:dyDescent="0.2">
      <c r="A533" s="86"/>
      <c r="B533" s="87"/>
      <c r="C533" s="88"/>
      <c r="D533" s="89"/>
      <c r="E533" s="90"/>
      <c r="F533" s="90"/>
      <c r="G533" s="91"/>
      <c r="H533" s="91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2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  <c r="AQ533" s="93"/>
      <c r="AR533" s="93"/>
      <c r="AS533" s="94"/>
      <c r="AT533" s="93"/>
      <c r="AU533" s="93"/>
      <c r="AV533" s="93"/>
    </row>
    <row r="534" spans="1:48" ht="12.75" customHeight="1" x14ac:dyDescent="0.2">
      <c r="A534" s="86"/>
      <c r="B534" s="87"/>
      <c r="C534" s="88"/>
      <c r="D534" s="89"/>
      <c r="E534" s="90"/>
      <c r="F534" s="90"/>
      <c r="G534" s="91"/>
      <c r="H534" s="91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2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  <c r="AQ534" s="93"/>
      <c r="AR534" s="93"/>
      <c r="AS534" s="94"/>
      <c r="AT534" s="93"/>
      <c r="AU534" s="93"/>
      <c r="AV534" s="93"/>
    </row>
    <row r="535" spans="1:48" ht="12.75" customHeight="1" x14ac:dyDescent="0.2">
      <c r="A535" s="86"/>
      <c r="B535" s="87"/>
      <c r="C535" s="88"/>
      <c r="D535" s="89"/>
      <c r="E535" s="90"/>
      <c r="F535" s="90"/>
      <c r="G535" s="91"/>
      <c r="H535" s="91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2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3"/>
      <c r="AR535" s="93"/>
      <c r="AS535" s="94"/>
      <c r="AT535" s="93"/>
      <c r="AU535" s="93"/>
      <c r="AV535" s="93"/>
    </row>
    <row r="536" spans="1:48" ht="12.75" customHeight="1" x14ac:dyDescent="0.2">
      <c r="A536" s="86"/>
      <c r="B536" s="87"/>
      <c r="C536" s="88"/>
      <c r="D536" s="89"/>
      <c r="E536" s="90"/>
      <c r="F536" s="90"/>
      <c r="G536" s="91"/>
      <c r="H536" s="91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2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3"/>
      <c r="AR536" s="93"/>
      <c r="AS536" s="94"/>
      <c r="AT536" s="93"/>
      <c r="AU536" s="93"/>
      <c r="AV536" s="93"/>
    </row>
    <row r="537" spans="1:48" ht="12.75" customHeight="1" x14ac:dyDescent="0.2">
      <c r="A537" s="86"/>
      <c r="B537" s="87"/>
      <c r="C537" s="88"/>
      <c r="D537" s="89"/>
      <c r="E537" s="90"/>
      <c r="F537" s="90"/>
      <c r="G537" s="91"/>
      <c r="H537" s="91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2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  <c r="AQ537" s="93"/>
      <c r="AR537" s="93"/>
      <c r="AS537" s="94"/>
      <c r="AT537" s="93"/>
      <c r="AU537" s="93"/>
      <c r="AV537" s="93"/>
    </row>
    <row r="538" spans="1:48" ht="12.75" customHeight="1" x14ac:dyDescent="0.2">
      <c r="A538" s="86"/>
      <c r="B538" s="87"/>
      <c r="C538" s="88"/>
      <c r="D538" s="89"/>
      <c r="E538" s="90"/>
      <c r="F538" s="90"/>
      <c r="G538" s="91"/>
      <c r="H538" s="91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2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  <c r="AQ538" s="93"/>
      <c r="AR538" s="93"/>
      <c r="AS538" s="94"/>
      <c r="AT538" s="93"/>
      <c r="AU538" s="93"/>
      <c r="AV538" s="93"/>
    </row>
    <row r="539" spans="1:48" ht="12.75" customHeight="1" x14ac:dyDescent="0.2">
      <c r="A539" s="86"/>
      <c r="B539" s="87"/>
      <c r="C539" s="88"/>
      <c r="D539" s="89"/>
      <c r="E539" s="90"/>
      <c r="F539" s="90"/>
      <c r="G539" s="91"/>
      <c r="H539" s="91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2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  <c r="AQ539" s="93"/>
      <c r="AR539" s="93"/>
      <c r="AS539" s="94"/>
      <c r="AT539" s="93"/>
      <c r="AU539" s="93"/>
      <c r="AV539" s="93"/>
    </row>
    <row r="540" spans="1:48" ht="12.75" customHeight="1" x14ac:dyDescent="0.2">
      <c r="A540" s="86"/>
      <c r="B540" s="87"/>
      <c r="C540" s="88"/>
      <c r="D540" s="89"/>
      <c r="E540" s="90"/>
      <c r="F540" s="90"/>
      <c r="G540" s="91"/>
      <c r="H540" s="91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2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  <c r="AQ540" s="93"/>
      <c r="AR540" s="93"/>
      <c r="AS540" s="94"/>
      <c r="AT540" s="93"/>
      <c r="AU540" s="93"/>
      <c r="AV540" s="93"/>
    </row>
    <row r="541" spans="1:48" ht="12.75" customHeight="1" x14ac:dyDescent="0.2">
      <c r="A541" s="86"/>
      <c r="B541" s="87"/>
      <c r="C541" s="88"/>
      <c r="D541" s="89"/>
      <c r="E541" s="90"/>
      <c r="F541" s="90"/>
      <c r="G541" s="91"/>
      <c r="H541" s="91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2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  <c r="AQ541" s="93"/>
      <c r="AR541" s="93"/>
      <c r="AS541" s="94"/>
      <c r="AT541" s="93"/>
      <c r="AU541" s="93"/>
      <c r="AV541" s="93"/>
    </row>
    <row r="542" spans="1:48" ht="12.75" customHeight="1" x14ac:dyDescent="0.2">
      <c r="A542" s="86"/>
      <c r="B542" s="87"/>
      <c r="C542" s="88"/>
      <c r="D542" s="89"/>
      <c r="E542" s="90"/>
      <c r="F542" s="90"/>
      <c r="G542" s="91"/>
      <c r="H542" s="91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2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  <c r="AQ542" s="93"/>
      <c r="AR542" s="93"/>
      <c r="AS542" s="94"/>
      <c r="AT542" s="93"/>
      <c r="AU542" s="93"/>
      <c r="AV542" s="93"/>
    </row>
    <row r="543" spans="1:48" ht="12.75" customHeight="1" x14ac:dyDescent="0.2">
      <c r="A543" s="86"/>
      <c r="B543" s="87"/>
      <c r="C543" s="88"/>
      <c r="D543" s="89"/>
      <c r="E543" s="90"/>
      <c r="F543" s="90"/>
      <c r="G543" s="91"/>
      <c r="H543" s="91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2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  <c r="AQ543" s="93"/>
      <c r="AR543" s="93"/>
      <c r="AS543" s="94"/>
      <c r="AT543" s="93"/>
      <c r="AU543" s="93"/>
      <c r="AV543" s="93"/>
    </row>
    <row r="544" spans="1:48" ht="12.75" customHeight="1" x14ac:dyDescent="0.2">
      <c r="A544" s="86"/>
      <c r="B544" s="87"/>
      <c r="C544" s="88"/>
      <c r="D544" s="89"/>
      <c r="E544" s="90"/>
      <c r="F544" s="90"/>
      <c r="G544" s="91"/>
      <c r="H544" s="91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2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3"/>
      <c r="AR544" s="93"/>
      <c r="AS544" s="94"/>
      <c r="AT544" s="93"/>
      <c r="AU544" s="93"/>
      <c r="AV544" s="93"/>
    </row>
    <row r="545" spans="1:48" ht="12.75" customHeight="1" x14ac:dyDescent="0.2">
      <c r="A545" s="86"/>
      <c r="B545" s="87"/>
      <c r="C545" s="88"/>
      <c r="D545" s="89"/>
      <c r="E545" s="90"/>
      <c r="F545" s="90"/>
      <c r="G545" s="91"/>
      <c r="H545" s="91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2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  <c r="AQ545" s="93"/>
      <c r="AR545" s="93"/>
      <c r="AS545" s="94"/>
      <c r="AT545" s="93"/>
      <c r="AU545" s="93"/>
      <c r="AV545" s="93"/>
    </row>
    <row r="546" spans="1:48" ht="12.75" customHeight="1" x14ac:dyDescent="0.2">
      <c r="A546" s="86"/>
      <c r="B546" s="87"/>
      <c r="C546" s="88"/>
      <c r="D546" s="89"/>
      <c r="E546" s="90"/>
      <c r="F546" s="90"/>
      <c r="G546" s="91"/>
      <c r="H546" s="91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2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3"/>
      <c r="AR546" s="93"/>
      <c r="AS546" s="94"/>
      <c r="AT546" s="93"/>
      <c r="AU546" s="93"/>
      <c r="AV546" s="93"/>
    </row>
    <row r="547" spans="1:48" ht="12.75" customHeight="1" x14ac:dyDescent="0.2">
      <c r="A547" s="86"/>
      <c r="B547" s="87"/>
      <c r="C547" s="88"/>
      <c r="D547" s="89"/>
      <c r="E547" s="90"/>
      <c r="F547" s="90"/>
      <c r="G547" s="91"/>
      <c r="H547" s="91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2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  <c r="AQ547" s="93"/>
      <c r="AR547" s="93"/>
      <c r="AS547" s="94"/>
      <c r="AT547" s="93"/>
      <c r="AU547" s="93"/>
      <c r="AV547" s="93"/>
    </row>
    <row r="548" spans="1:48" ht="12.75" customHeight="1" x14ac:dyDescent="0.2">
      <c r="A548" s="86"/>
      <c r="B548" s="87"/>
      <c r="C548" s="88"/>
      <c r="D548" s="89"/>
      <c r="E548" s="90"/>
      <c r="F548" s="90"/>
      <c r="G548" s="91"/>
      <c r="H548" s="91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2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  <c r="AQ548" s="93"/>
      <c r="AR548" s="93"/>
      <c r="AS548" s="94"/>
      <c r="AT548" s="93"/>
      <c r="AU548" s="93"/>
      <c r="AV548" s="93"/>
    </row>
    <row r="549" spans="1:48" ht="12.75" customHeight="1" x14ac:dyDescent="0.2">
      <c r="A549" s="86"/>
      <c r="B549" s="87"/>
      <c r="C549" s="88"/>
      <c r="D549" s="89"/>
      <c r="E549" s="90"/>
      <c r="F549" s="90"/>
      <c r="G549" s="91"/>
      <c r="H549" s="91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2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  <c r="AQ549" s="93"/>
      <c r="AR549" s="93"/>
      <c r="AS549" s="94"/>
      <c r="AT549" s="93"/>
      <c r="AU549" s="93"/>
      <c r="AV549" s="93"/>
    </row>
    <row r="550" spans="1:48" ht="12.75" customHeight="1" x14ac:dyDescent="0.2">
      <c r="A550" s="86"/>
      <c r="B550" s="87"/>
      <c r="C550" s="88"/>
      <c r="D550" s="89"/>
      <c r="E550" s="90"/>
      <c r="F550" s="90"/>
      <c r="G550" s="91"/>
      <c r="H550" s="91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2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  <c r="AQ550" s="93"/>
      <c r="AR550" s="93"/>
      <c r="AS550" s="94"/>
      <c r="AT550" s="93"/>
      <c r="AU550" s="93"/>
      <c r="AV550" s="93"/>
    </row>
    <row r="551" spans="1:48" ht="12.75" customHeight="1" x14ac:dyDescent="0.2">
      <c r="A551" s="86"/>
      <c r="B551" s="87"/>
      <c r="C551" s="88"/>
      <c r="D551" s="89"/>
      <c r="E551" s="90"/>
      <c r="F551" s="90"/>
      <c r="G551" s="91"/>
      <c r="H551" s="91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2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  <c r="AQ551" s="93"/>
      <c r="AR551" s="93"/>
      <c r="AS551" s="94"/>
      <c r="AT551" s="93"/>
      <c r="AU551" s="93"/>
      <c r="AV551" s="93"/>
    </row>
    <row r="552" spans="1:48" ht="12.75" customHeight="1" x14ac:dyDescent="0.2">
      <c r="A552" s="86"/>
      <c r="B552" s="87"/>
      <c r="C552" s="88"/>
      <c r="D552" s="89"/>
      <c r="E552" s="90"/>
      <c r="F552" s="90"/>
      <c r="G552" s="91"/>
      <c r="H552" s="91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2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  <c r="AQ552" s="93"/>
      <c r="AR552" s="93"/>
      <c r="AS552" s="94"/>
      <c r="AT552" s="93"/>
      <c r="AU552" s="93"/>
      <c r="AV552" s="93"/>
    </row>
    <row r="553" spans="1:48" ht="12.75" customHeight="1" x14ac:dyDescent="0.2">
      <c r="A553" s="86"/>
      <c r="B553" s="87"/>
      <c r="C553" s="88"/>
      <c r="D553" s="89"/>
      <c r="E553" s="90"/>
      <c r="F553" s="90"/>
      <c r="G553" s="91"/>
      <c r="H553" s="91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2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  <c r="AQ553" s="93"/>
      <c r="AR553" s="93"/>
      <c r="AS553" s="94"/>
      <c r="AT553" s="93"/>
      <c r="AU553" s="93"/>
      <c r="AV553" s="93"/>
    </row>
    <row r="554" spans="1:48" ht="12.75" customHeight="1" x14ac:dyDescent="0.2">
      <c r="A554" s="86"/>
      <c r="B554" s="87"/>
      <c r="C554" s="88"/>
      <c r="D554" s="89"/>
      <c r="E554" s="90"/>
      <c r="F554" s="90"/>
      <c r="G554" s="91"/>
      <c r="H554" s="91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2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  <c r="AQ554" s="93"/>
      <c r="AR554" s="93"/>
      <c r="AS554" s="94"/>
      <c r="AT554" s="93"/>
      <c r="AU554" s="93"/>
      <c r="AV554" s="93"/>
    </row>
    <row r="555" spans="1:48" ht="12.75" customHeight="1" x14ac:dyDescent="0.2">
      <c r="A555" s="86"/>
      <c r="B555" s="87"/>
      <c r="C555" s="88"/>
      <c r="D555" s="89"/>
      <c r="E555" s="90"/>
      <c r="F555" s="90"/>
      <c r="G555" s="91"/>
      <c r="H555" s="91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2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  <c r="AQ555" s="93"/>
      <c r="AR555" s="93"/>
      <c r="AS555" s="94"/>
      <c r="AT555" s="93"/>
      <c r="AU555" s="93"/>
      <c r="AV555" s="93"/>
    </row>
    <row r="556" spans="1:48" ht="12.75" customHeight="1" x14ac:dyDescent="0.2">
      <c r="A556" s="86"/>
      <c r="B556" s="87"/>
      <c r="C556" s="88"/>
      <c r="D556" s="89"/>
      <c r="E556" s="90"/>
      <c r="F556" s="90"/>
      <c r="G556" s="91"/>
      <c r="H556" s="91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2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  <c r="AQ556" s="93"/>
      <c r="AR556" s="93"/>
      <c r="AS556" s="94"/>
      <c r="AT556" s="93"/>
      <c r="AU556" s="93"/>
      <c r="AV556" s="93"/>
    </row>
    <row r="557" spans="1:48" ht="12.75" customHeight="1" x14ac:dyDescent="0.2">
      <c r="A557" s="86"/>
      <c r="B557" s="87"/>
      <c r="C557" s="88"/>
      <c r="D557" s="89"/>
      <c r="E557" s="90"/>
      <c r="F557" s="90"/>
      <c r="G557" s="91"/>
      <c r="H557" s="91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2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  <c r="AQ557" s="93"/>
      <c r="AR557" s="93"/>
      <c r="AS557" s="94"/>
      <c r="AT557" s="93"/>
      <c r="AU557" s="93"/>
      <c r="AV557" s="93"/>
    </row>
    <row r="558" spans="1:48" ht="12.75" customHeight="1" x14ac:dyDescent="0.2">
      <c r="A558" s="86"/>
      <c r="B558" s="87"/>
      <c r="C558" s="88"/>
      <c r="D558" s="89"/>
      <c r="E558" s="90"/>
      <c r="F558" s="90"/>
      <c r="G558" s="91"/>
      <c r="H558" s="91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2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  <c r="AQ558" s="93"/>
      <c r="AR558" s="93"/>
      <c r="AS558" s="94"/>
      <c r="AT558" s="93"/>
      <c r="AU558" s="93"/>
      <c r="AV558" s="93"/>
    </row>
    <row r="559" spans="1:48" ht="12.75" customHeight="1" x14ac:dyDescent="0.2">
      <c r="A559" s="86"/>
      <c r="B559" s="87"/>
      <c r="C559" s="88"/>
      <c r="D559" s="89"/>
      <c r="E559" s="90"/>
      <c r="F559" s="90"/>
      <c r="G559" s="91"/>
      <c r="H559" s="91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2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  <c r="AQ559" s="93"/>
      <c r="AR559" s="93"/>
      <c r="AS559" s="94"/>
      <c r="AT559" s="93"/>
      <c r="AU559" s="93"/>
      <c r="AV559" s="93"/>
    </row>
    <row r="560" spans="1:48" ht="12.75" customHeight="1" x14ac:dyDescent="0.2">
      <c r="A560" s="86"/>
      <c r="B560" s="87"/>
      <c r="C560" s="88"/>
      <c r="D560" s="89"/>
      <c r="E560" s="90"/>
      <c r="F560" s="90"/>
      <c r="G560" s="91"/>
      <c r="H560" s="91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2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3"/>
      <c r="AR560" s="93"/>
      <c r="AS560" s="94"/>
      <c r="AT560" s="93"/>
      <c r="AU560" s="93"/>
      <c r="AV560" s="93"/>
    </row>
    <row r="561" spans="1:48" ht="12.75" customHeight="1" x14ac:dyDescent="0.2">
      <c r="A561" s="86"/>
      <c r="B561" s="87"/>
      <c r="C561" s="88"/>
      <c r="D561" s="89"/>
      <c r="E561" s="90"/>
      <c r="F561" s="90"/>
      <c r="G561" s="91"/>
      <c r="H561" s="91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2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  <c r="AQ561" s="93"/>
      <c r="AR561" s="93"/>
      <c r="AS561" s="94"/>
      <c r="AT561" s="93"/>
      <c r="AU561" s="93"/>
      <c r="AV561" s="93"/>
    </row>
    <row r="562" spans="1:48" ht="12.75" customHeight="1" x14ac:dyDescent="0.2">
      <c r="A562" s="86"/>
      <c r="B562" s="87"/>
      <c r="C562" s="88"/>
      <c r="D562" s="89"/>
      <c r="E562" s="90"/>
      <c r="F562" s="90"/>
      <c r="G562" s="91"/>
      <c r="H562" s="91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2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3"/>
      <c r="AR562" s="93"/>
      <c r="AS562" s="94"/>
      <c r="AT562" s="93"/>
      <c r="AU562" s="93"/>
      <c r="AV562" s="93"/>
    </row>
    <row r="563" spans="1:48" ht="12.75" customHeight="1" x14ac:dyDescent="0.2">
      <c r="A563" s="86"/>
      <c r="B563" s="87"/>
      <c r="C563" s="88"/>
      <c r="D563" s="89"/>
      <c r="E563" s="90"/>
      <c r="F563" s="90"/>
      <c r="G563" s="91"/>
      <c r="H563" s="91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2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  <c r="AQ563" s="93"/>
      <c r="AR563" s="93"/>
      <c r="AS563" s="94"/>
      <c r="AT563" s="93"/>
      <c r="AU563" s="93"/>
      <c r="AV563" s="93"/>
    </row>
    <row r="564" spans="1:48" ht="12.75" customHeight="1" x14ac:dyDescent="0.2">
      <c r="A564" s="86"/>
      <c r="B564" s="87"/>
      <c r="C564" s="88"/>
      <c r="D564" s="89"/>
      <c r="E564" s="90"/>
      <c r="F564" s="90"/>
      <c r="G564" s="91"/>
      <c r="H564" s="91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2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3"/>
      <c r="AR564" s="93"/>
      <c r="AS564" s="94"/>
      <c r="AT564" s="93"/>
      <c r="AU564" s="93"/>
      <c r="AV564" s="93"/>
    </row>
    <row r="565" spans="1:48" ht="12.75" customHeight="1" x14ac:dyDescent="0.2">
      <c r="A565" s="86"/>
      <c r="B565" s="87"/>
      <c r="C565" s="88"/>
      <c r="D565" s="89"/>
      <c r="E565" s="90"/>
      <c r="F565" s="90"/>
      <c r="G565" s="91"/>
      <c r="H565" s="91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2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  <c r="AQ565" s="93"/>
      <c r="AR565" s="93"/>
      <c r="AS565" s="94"/>
      <c r="AT565" s="93"/>
      <c r="AU565" s="93"/>
      <c r="AV565" s="93"/>
    </row>
    <row r="566" spans="1:48" ht="12.75" customHeight="1" x14ac:dyDescent="0.2">
      <c r="A566" s="86"/>
      <c r="B566" s="87"/>
      <c r="C566" s="88"/>
      <c r="D566" s="89"/>
      <c r="E566" s="90"/>
      <c r="F566" s="90"/>
      <c r="G566" s="91"/>
      <c r="H566" s="91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2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93"/>
      <c r="AR566" s="93"/>
      <c r="AS566" s="94"/>
      <c r="AT566" s="93"/>
      <c r="AU566" s="93"/>
      <c r="AV566" s="93"/>
    </row>
    <row r="567" spans="1:48" ht="12.75" customHeight="1" x14ac:dyDescent="0.2">
      <c r="A567" s="86"/>
      <c r="B567" s="87"/>
      <c r="C567" s="88"/>
      <c r="D567" s="89"/>
      <c r="E567" s="90"/>
      <c r="F567" s="90"/>
      <c r="G567" s="91"/>
      <c r="H567" s="91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2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  <c r="AQ567" s="93"/>
      <c r="AR567" s="93"/>
      <c r="AS567" s="94"/>
      <c r="AT567" s="93"/>
      <c r="AU567" s="93"/>
      <c r="AV567" s="93"/>
    </row>
    <row r="568" spans="1:48" ht="12.75" customHeight="1" x14ac:dyDescent="0.2">
      <c r="A568" s="86"/>
      <c r="B568" s="87"/>
      <c r="C568" s="88"/>
      <c r="D568" s="89"/>
      <c r="E568" s="90"/>
      <c r="F568" s="90"/>
      <c r="G568" s="91"/>
      <c r="H568" s="91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2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  <c r="AQ568" s="93"/>
      <c r="AR568" s="93"/>
      <c r="AS568" s="94"/>
      <c r="AT568" s="93"/>
      <c r="AU568" s="93"/>
      <c r="AV568" s="93"/>
    </row>
    <row r="569" spans="1:48" ht="12.75" customHeight="1" x14ac:dyDescent="0.2">
      <c r="A569" s="86"/>
      <c r="B569" s="87"/>
      <c r="C569" s="88"/>
      <c r="D569" s="89"/>
      <c r="E569" s="90"/>
      <c r="F569" s="90"/>
      <c r="G569" s="91"/>
      <c r="H569" s="91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2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  <c r="AQ569" s="93"/>
      <c r="AR569" s="93"/>
      <c r="AS569" s="94"/>
      <c r="AT569" s="93"/>
      <c r="AU569" s="93"/>
      <c r="AV569" s="93"/>
    </row>
    <row r="570" spans="1:48" ht="12.75" customHeight="1" x14ac:dyDescent="0.2">
      <c r="A570" s="86"/>
      <c r="B570" s="87"/>
      <c r="C570" s="88"/>
      <c r="D570" s="89"/>
      <c r="E570" s="90"/>
      <c r="F570" s="90"/>
      <c r="G570" s="91"/>
      <c r="H570" s="91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2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  <c r="AQ570" s="93"/>
      <c r="AR570" s="93"/>
      <c r="AS570" s="94"/>
      <c r="AT570" s="93"/>
      <c r="AU570" s="93"/>
      <c r="AV570" s="93"/>
    </row>
    <row r="571" spans="1:48" ht="12.75" customHeight="1" x14ac:dyDescent="0.2">
      <c r="A571" s="86"/>
      <c r="B571" s="87"/>
      <c r="C571" s="88"/>
      <c r="D571" s="89"/>
      <c r="E571" s="90"/>
      <c r="F571" s="90"/>
      <c r="G571" s="91"/>
      <c r="H571" s="91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2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  <c r="AQ571" s="93"/>
      <c r="AR571" s="93"/>
      <c r="AS571" s="94"/>
      <c r="AT571" s="93"/>
      <c r="AU571" s="93"/>
      <c r="AV571" s="93"/>
    </row>
    <row r="572" spans="1:48" ht="12.75" customHeight="1" x14ac:dyDescent="0.2">
      <c r="A572" s="86"/>
      <c r="B572" s="87"/>
      <c r="C572" s="88"/>
      <c r="D572" s="89"/>
      <c r="E572" s="90"/>
      <c r="F572" s="90"/>
      <c r="G572" s="91"/>
      <c r="H572" s="91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2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93"/>
      <c r="AR572" s="93"/>
      <c r="AS572" s="94"/>
      <c r="AT572" s="93"/>
      <c r="AU572" s="93"/>
      <c r="AV572" s="93"/>
    </row>
    <row r="573" spans="1:48" ht="12.75" customHeight="1" x14ac:dyDescent="0.2">
      <c r="A573" s="86"/>
      <c r="B573" s="87"/>
      <c r="C573" s="88"/>
      <c r="D573" s="89"/>
      <c r="E573" s="90"/>
      <c r="F573" s="90"/>
      <c r="G573" s="91"/>
      <c r="H573" s="91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2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3"/>
      <c r="AR573" s="93"/>
      <c r="AS573" s="94"/>
      <c r="AT573" s="93"/>
      <c r="AU573" s="93"/>
      <c r="AV573" s="93"/>
    </row>
    <row r="574" spans="1:48" ht="12.75" customHeight="1" x14ac:dyDescent="0.2">
      <c r="A574" s="86"/>
      <c r="B574" s="87"/>
      <c r="C574" s="88"/>
      <c r="D574" s="89"/>
      <c r="E574" s="90"/>
      <c r="F574" s="90"/>
      <c r="G574" s="91"/>
      <c r="H574" s="91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2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93"/>
      <c r="AR574" s="93"/>
      <c r="AS574" s="94"/>
      <c r="AT574" s="93"/>
      <c r="AU574" s="93"/>
      <c r="AV574" s="93"/>
    </row>
    <row r="575" spans="1:48" ht="12.75" customHeight="1" x14ac:dyDescent="0.2">
      <c r="A575" s="86"/>
      <c r="B575" s="87"/>
      <c r="C575" s="88"/>
      <c r="D575" s="89"/>
      <c r="E575" s="90"/>
      <c r="F575" s="90"/>
      <c r="G575" s="91"/>
      <c r="H575" s="91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2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  <c r="AQ575" s="93"/>
      <c r="AR575" s="93"/>
      <c r="AS575" s="94"/>
      <c r="AT575" s="93"/>
      <c r="AU575" s="93"/>
      <c r="AV575" s="93"/>
    </row>
    <row r="576" spans="1:48" ht="12.75" customHeight="1" x14ac:dyDescent="0.2">
      <c r="A576" s="86"/>
      <c r="B576" s="87"/>
      <c r="C576" s="88"/>
      <c r="D576" s="89"/>
      <c r="E576" s="90"/>
      <c r="F576" s="90"/>
      <c r="G576" s="91"/>
      <c r="H576" s="91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2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93"/>
      <c r="AR576" s="93"/>
      <c r="AS576" s="94"/>
      <c r="AT576" s="93"/>
      <c r="AU576" s="93"/>
      <c r="AV576" s="93"/>
    </row>
    <row r="577" spans="1:48" ht="12.75" customHeight="1" x14ac:dyDescent="0.2">
      <c r="A577" s="86"/>
      <c r="B577" s="87"/>
      <c r="C577" s="88"/>
      <c r="D577" s="89"/>
      <c r="E577" s="90"/>
      <c r="F577" s="90"/>
      <c r="G577" s="91"/>
      <c r="H577" s="91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2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  <c r="AQ577" s="93"/>
      <c r="AR577" s="93"/>
      <c r="AS577" s="94"/>
      <c r="AT577" s="93"/>
      <c r="AU577" s="93"/>
      <c r="AV577" s="93"/>
    </row>
    <row r="578" spans="1:48" ht="12.75" customHeight="1" x14ac:dyDescent="0.2">
      <c r="A578" s="86"/>
      <c r="B578" s="87"/>
      <c r="C578" s="88"/>
      <c r="D578" s="89"/>
      <c r="E578" s="90"/>
      <c r="F578" s="90"/>
      <c r="G578" s="91"/>
      <c r="H578" s="91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2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  <c r="AQ578" s="93"/>
      <c r="AR578" s="93"/>
      <c r="AS578" s="94"/>
      <c r="AT578" s="93"/>
      <c r="AU578" s="93"/>
      <c r="AV578" s="93"/>
    </row>
    <row r="579" spans="1:48" ht="12.75" customHeight="1" x14ac:dyDescent="0.2">
      <c r="A579" s="86"/>
      <c r="B579" s="87"/>
      <c r="C579" s="88"/>
      <c r="D579" s="89"/>
      <c r="E579" s="90"/>
      <c r="F579" s="90"/>
      <c r="G579" s="91"/>
      <c r="H579" s="91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2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  <c r="AQ579" s="93"/>
      <c r="AR579" s="93"/>
      <c r="AS579" s="94"/>
      <c r="AT579" s="93"/>
      <c r="AU579" s="93"/>
      <c r="AV579" s="93"/>
    </row>
    <row r="580" spans="1:48" ht="12.75" customHeight="1" x14ac:dyDescent="0.2">
      <c r="A580" s="86"/>
      <c r="B580" s="87"/>
      <c r="C580" s="88"/>
      <c r="D580" s="89"/>
      <c r="E580" s="90"/>
      <c r="F580" s="90"/>
      <c r="G580" s="91"/>
      <c r="H580" s="91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2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3"/>
      <c r="AR580" s="93"/>
      <c r="AS580" s="94"/>
      <c r="AT580" s="93"/>
      <c r="AU580" s="93"/>
      <c r="AV580" s="93"/>
    </row>
    <row r="581" spans="1:48" ht="12.75" customHeight="1" x14ac:dyDescent="0.2">
      <c r="A581" s="86"/>
      <c r="B581" s="87"/>
      <c r="C581" s="88"/>
      <c r="D581" s="89"/>
      <c r="E581" s="90"/>
      <c r="F581" s="90"/>
      <c r="G581" s="91"/>
      <c r="H581" s="91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2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  <c r="AQ581" s="93"/>
      <c r="AR581" s="93"/>
      <c r="AS581" s="94"/>
      <c r="AT581" s="93"/>
      <c r="AU581" s="93"/>
      <c r="AV581" s="93"/>
    </row>
    <row r="582" spans="1:48" ht="12.75" customHeight="1" x14ac:dyDescent="0.2">
      <c r="A582" s="86"/>
      <c r="B582" s="87"/>
      <c r="C582" s="88"/>
      <c r="D582" s="89"/>
      <c r="E582" s="90"/>
      <c r="F582" s="90"/>
      <c r="G582" s="91"/>
      <c r="H582" s="91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2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93"/>
      <c r="AR582" s="93"/>
      <c r="AS582" s="94"/>
      <c r="AT582" s="93"/>
      <c r="AU582" s="93"/>
      <c r="AV582" s="93"/>
    </row>
    <row r="583" spans="1:48" ht="12.75" customHeight="1" x14ac:dyDescent="0.2">
      <c r="A583" s="86"/>
      <c r="B583" s="87"/>
      <c r="C583" s="88"/>
      <c r="D583" s="89"/>
      <c r="E583" s="90"/>
      <c r="F583" s="90"/>
      <c r="G583" s="91"/>
      <c r="H583" s="91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2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  <c r="AQ583" s="93"/>
      <c r="AR583" s="93"/>
      <c r="AS583" s="94"/>
      <c r="AT583" s="93"/>
      <c r="AU583" s="93"/>
      <c r="AV583" s="93"/>
    </row>
    <row r="584" spans="1:48" ht="12.75" customHeight="1" x14ac:dyDescent="0.2">
      <c r="A584" s="86"/>
      <c r="B584" s="87"/>
      <c r="C584" s="88"/>
      <c r="D584" s="89"/>
      <c r="E584" s="90"/>
      <c r="F584" s="90"/>
      <c r="G584" s="91"/>
      <c r="H584" s="91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2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93"/>
      <c r="AR584" s="93"/>
      <c r="AS584" s="94"/>
      <c r="AT584" s="93"/>
      <c r="AU584" s="93"/>
      <c r="AV584" s="93"/>
    </row>
    <row r="585" spans="1:48" ht="12.75" customHeight="1" x14ac:dyDescent="0.2">
      <c r="A585" s="86"/>
      <c r="B585" s="87"/>
      <c r="C585" s="88"/>
      <c r="D585" s="89"/>
      <c r="E585" s="90"/>
      <c r="F585" s="90"/>
      <c r="G585" s="91"/>
      <c r="H585" s="91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2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  <c r="AQ585" s="93"/>
      <c r="AR585" s="93"/>
      <c r="AS585" s="94"/>
      <c r="AT585" s="93"/>
      <c r="AU585" s="93"/>
      <c r="AV585" s="93"/>
    </row>
    <row r="586" spans="1:48" ht="12.75" customHeight="1" x14ac:dyDescent="0.2">
      <c r="A586" s="86"/>
      <c r="B586" s="87"/>
      <c r="C586" s="88"/>
      <c r="D586" s="89"/>
      <c r="E586" s="90"/>
      <c r="F586" s="90"/>
      <c r="G586" s="91"/>
      <c r="H586" s="91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2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93"/>
      <c r="AR586" s="93"/>
      <c r="AS586" s="94"/>
      <c r="AT586" s="93"/>
      <c r="AU586" s="93"/>
      <c r="AV586" s="93"/>
    </row>
    <row r="587" spans="1:48" ht="12.75" customHeight="1" x14ac:dyDescent="0.2">
      <c r="A587" s="86"/>
      <c r="B587" s="87"/>
      <c r="C587" s="88"/>
      <c r="D587" s="89"/>
      <c r="E587" s="90"/>
      <c r="F587" s="90"/>
      <c r="G587" s="91"/>
      <c r="H587" s="91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2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  <c r="AQ587" s="93"/>
      <c r="AR587" s="93"/>
      <c r="AS587" s="94"/>
      <c r="AT587" s="93"/>
      <c r="AU587" s="93"/>
      <c r="AV587" s="93"/>
    </row>
    <row r="588" spans="1:48" ht="12.75" customHeight="1" x14ac:dyDescent="0.2">
      <c r="A588" s="86"/>
      <c r="B588" s="87"/>
      <c r="C588" s="88"/>
      <c r="D588" s="89"/>
      <c r="E588" s="90"/>
      <c r="F588" s="90"/>
      <c r="G588" s="91"/>
      <c r="H588" s="91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2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93"/>
      <c r="AR588" s="93"/>
      <c r="AS588" s="94"/>
      <c r="AT588" s="93"/>
      <c r="AU588" s="93"/>
      <c r="AV588" s="93"/>
    </row>
    <row r="589" spans="1:48" ht="12.75" customHeight="1" x14ac:dyDescent="0.2">
      <c r="A589" s="86"/>
      <c r="B589" s="87"/>
      <c r="C589" s="88"/>
      <c r="D589" s="89"/>
      <c r="E589" s="90"/>
      <c r="F589" s="90"/>
      <c r="G589" s="91"/>
      <c r="H589" s="91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2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  <c r="AQ589" s="93"/>
      <c r="AR589" s="93"/>
      <c r="AS589" s="94"/>
      <c r="AT589" s="93"/>
      <c r="AU589" s="93"/>
      <c r="AV589" s="93"/>
    </row>
    <row r="590" spans="1:48" ht="12.75" customHeight="1" x14ac:dyDescent="0.2">
      <c r="A590" s="86"/>
      <c r="B590" s="87"/>
      <c r="C590" s="88"/>
      <c r="D590" s="89"/>
      <c r="E590" s="90"/>
      <c r="F590" s="90"/>
      <c r="G590" s="91"/>
      <c r="H590" s="91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2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3"/>
      <c r="AR590" s="93"/>
      <c r="AS590" s="94"/>
      <c r="AT590" s="93"/>
      <c r="AU590" s="93"/>
      <c r="AV590" s="93"/>
    </row>
    <row r="591" spans="1:48" ht="12.75" customHeight="1" x14ac:dyDescent="0.2">
      <c r="A591" s="86"/>
      <c r="B591" s="87"/>
      <c r="C591" s="88"/>
      <c r="D591" s="89"/>
      <c r="E591" s="90"/>
      <c r="F591" s="90"/>
      <c r="G591" s="91"/>
      <c r="H591" s="91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2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  <c r="AQ591" s="93"/>
      <c r="AR591" s="93"/>
      <c r="AS591" s="94"/>
      <c r="AT591" s="93"/>
      <c r="AU591" s="93"/>
      <c r="AV591" s="93"/>
    </row>
    <row r="592" spans="1:48" ht="12.75" customHeight="1" x14ac:dyDescent="0.2">
      <c r="A592" s="86"/>
      <c r="B592" s="87"/>
      <c r="C592" s="88"/>
      <c r="D592" s="89"/>
      <c r="E592" s="90"/>
      <c r="F592" s="90"/>
      <c r="G592" s="91"/>
      <c r="H592" s="91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2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93"/>
      <c r="AR592" s="93"/>
      <c r="AS592" s="94"/>
      <c r="AT592" s="93"/>
      <c r="AU592" s="93"/>
      <c r="AV592" s="93"/>
    </row>
    <row r="593" spans="1:48" ht="12.75" customHeight="1" x14ac:dyDescent="0.2">
      <c r="A593" s="86"/>
      <c r="B593" s="87"/>
      <c r="C593" s="88"/>
      <c r="D593" s="89"/>
      <c r="E593" s="90"/>
      <c r="F593" s="90"/>
      <c r="G593" s="91"/>
      <c r="H593" s="91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2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  <c r="AQ593" s="93"/>
      <c r="AR593" s="93"/>
      <c r="AS593" s="94"/>
      <c r="AT593" s="93"/>
      <c r="AU593" s="93"/>
      <c r="AV593" s="93"/>
    </row>
    <row r="594" spans="1:48" ht="12.75" customHeight="1" x14ac:dyDescent="0.2">
      <c r="A594" s="86"/>
      <c r="B594" s="87"/>
      <c r="C594" s="88"/>
      <c r="D594" s="89"/>
      <c r="E594" s="90"/>
      <c r="F594" s="90"/>
      <c r="G594" s="91"/>
      <c r="H594" s="91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2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93"/>
      <c r="AR594" s="93"/>
      <c r="AS594" s="94"/>
      <c r="AT594" s="93"/>
      <c r="AU594" s="93"/>
      <c r="AV594" s="93"/>
    </row>
    <row r="595" spans="1:48" ht="12.75" customHeight="1" x14ac:dyDescent="0.2">
      <c r="A595" s="86"/>
      <c r="B595" s="87"/>
      <c r="C595" s="88"/>
      <c r="D595" s="89"/>
      <c r="E595" s="90"/>
      <c r="F595" s="90"/>
      <c r="G595" s="91"/>
      <c r="H595" s="91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2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  <c r="AQ595" s="93"/>
      <c r="AR595" s="93"/>
      <c r="AS595" s="94"/>
      <c r="AT595" s="93"/>
      <c r="AU595" s="93"/>
      <c r="AV595" s="93"/>
    </row>
    <row r="596" spans="1:48" ht="12.75" customHeight="1" x14ac:dyDescent="0.2">
      <c r="A596" s="86"/>
      <c r="B596" s="87"/>
      <c r="C596" s="88"/>
      <c r="D596" s="89"/>
      <c r="E596" s="90"/>
      <c r="F596" s="90"/>
      <c r="G596" s="91"/>
      <c r="H596" s="91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2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93"/>
      <c r="AR596" s="93"/>
      <c r="AS596" s="94"/>
      <c r="AT596" s="93"/>
      <c r="AU596" s="93"/>
      <c r="AV596" s="93"/>
    </row>
    <row r="597" spans="1:48" ht="12.75" customHeight="1" x14ac:dyDescent="0.2">
      <c r="A597" s="86"/>
      <c r="B597" s="87"/>
      <c r="C597" s="88"/>
      <c r="D597" s="89"/>
      <c r="E597" s="90"/>
      <c r="F597" s="90"/>
      <c r="G597" s="91"/>
      <c r="H597" s="91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2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  <c r="AQ597" s="93"/>
      <c r="AR597" s="93"/>
      <c r="AS597" s="94"/>
      <c r="AT597" s="93"/>
      <c r="AU597" s="93"/>
      <c r="AV597" s="93"/>
    </row>
    <row r="598" spans="1:48" ht="12.75" customHeight="1" x14ac:dyDescent="0.2">
      <c r="A598" s="86"/>
      <c r="B598" s="87"/>
      <c r="C598" s="88"/>
      <c r="D598" s="89"/>
      <c r="E598" s="90"/>
      <c r="F598" s="90"/>
      <c r="G598" s="91"/>
      <c r="H598" s="91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2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  <c r="AQ598" s="93"/>
      <c r="AR598" s="93"/>
      <c r="AS598" s="94"/>
      <c r="AT598" s="93"/>
      <c r="AU598" s="93"/>
      <c r="AV598" s="93"/>
    </row>
    <row r="599" spans="1:48" ht="12.75" customHeight="1" x14ac:dyDescent="0.2">
      <c r="A599" s="86"/>
      <c r="B599" s="87"/>
      <c r="C599" s="88"/>
      <c r="D599" s="89"/>
      <c r="E599" s="90"/>
      <c r="F599" s="90"/>
      <c r="G599" s="91"/>
      <c r="H599" s="91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2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  <c r="AQ599" s="93"/>
      <c r="AR599" s="93"/>
      <c r="AS599" s="94"/>
      <c r="AT599" s="93"/>
      <c r="AU599" s="93"/>
      <c r="AV599" s="93"/>
    </row>
    <row r="600" spans="1:48" ht="12.75" customHeight="1" x14ac:dyDescent="0.2">
      <c r="A600" s="86"/>
      <c r="B600" s="87"/>
      <c r="C600" s="88"/>
      <c r="D600" s="89"/>
      <c r="E600" s="90"/>
      <c r="F600" s="90"/>
      <c r="G600" s="91"/>
      <c r="H600" s="91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2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3"/>
      <c r="AR600" s="93"/>
      <c r="AS600" s="94"/>
      <c r="AT600" s="93"/>
      <c r="AU600" s="93"/>
      <c r="AV600" s="93"/>
    </row>
    <row r="601" spans="1:48" ht="12.75" customHeight="1" x14ac:dyDescent="0.2">
      <c r="A601" s="86"/>
      <c r="B601" s="87"/>
      <c r="C601" s="88"/>
      <c r="D601" s="89"/>
      <c r="E601" s="90"/>
      <c r="F601" s="90"/>
      <c r="G601" s="91"/>
      <c r="H601" s="91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2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  <c r="AQ601" s="93"/>
      <c r="AR601" s="93"/>
      <c r="AS601" s="94"/>
      <c r="AT601" s="93"/>
      <c r="AU601" s="93"/>
      <c r="AV601" s="93"/>
    </row>
    <row r="602" spans="1:48" ht="12.75" customHeight="1" x14ac:dyDescent="0.2">
      <c r="A602" s="86"/>
      <c r="B602" s="87"/>
      <c r="C602" s="88"/>
      <c r="D602" s="89"/>
      <c r="E602" s="90"/>
      <c r="F602" s="90"/>
      <c r="G602" s="91"/>
      <c r="H602" s="91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2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3"/>
      <c r="AR602" s="93"/>
      <c r="AS602" s="94"/>
      <c r="AT602" s="93"/>
      <c r="AU602" s="93"/>
      <c r="AV602" s="93"/>
    </row>
    <row r="603" spans="1:48" ht="12.75" customHeight="1" x14ac:dyDescent="0.2">
      <c r="A603" s="86"/>
      <c r="B603" s="87"/>
      <c r="C603" s="88"/>
      <c r="D603" s="89"/>
      <c r="E603" s="90"/>
      <c r="F603" s="90"/>
      <c r="G603" s="91"/>
      <c r="H603" s="91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2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  <c r="AQ603" s="93"/>
      <c r="AR603" s="93"/>
      <c r="AS603" s="94"/>
      <c r="AT603" s="93"/>
      <c r="AU603" s="93"/>
      <c r="AV603" s="93"/>
    </row>
    <row r="604" spans="1:48" ht="12.75" customHeight="1" x14ac:dyDescent="0.2">
      <c r="A604" s="86"/>
      <c r="B604" s="87"/>
      <c r="C604" s="88"/>
      <c r="D604" s="89"/>
      <c r="E604" s="90"/>
      <c r="F604" s="90"/>
      <c r="G604" s="91"/>
      <c r="H604" s="91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2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3"/>
      <c r="AR604" s="93"/>
      <c r="AS604" s="94"/>
      <c r="AT604" s="93"/>
      <c r="AU604" s="93"/>
      <c r="AV604" s="93"/>
    </row>
    <row r="605" spans="1:48" ht="12.75" customHeight="1" x14ac:dyDescent="0.2">
      <c r="A605" s="86"/>
      <c r="B605" s="87"/>
      <c r="C605" s="88"/>
      <c r="D605" s="89"/>
      <c r="E605" s="90"/>
      <c r="F605" s="90"/>
      <c r="G605" s="91"/>
      <c r="H605" s="91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2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  <c r="AQ605" s="93"/>
      <c r="AR605" s="93"/>
      <c r="AS605" s="94"/>
      <c r="AT605" s="93"/>
      <c r="AU605" s="93"/>
      <c r="AV605" s="93"/>
    </row>
    <row r="606" spans="1:48" ht="12.75" customHeight="1" x14ac:dyDescent="0.2">
      <c r="A606" s="86"/>
      <c r="B606" s="87"/>
      <c r="C606" s="88"/>
      <c r="D606" s="89"/>
      <c r="E606" s="90"/>
      <c r="F606" s="90"/>
      <c r="G606" s="91"/>
      <c r="H606" s="91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2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3"/>
      <c r="AR606" s="93"/>
      <c r="AS606" s="94"/>
      <c r="AT606" s="93"/>
      <c r="AU606" s="93"/>
      <c r="AV606" s="93"/>
    </row>
    <row r="607" spans="1:48" ht="12.75" customHeight="1" x14ac:dyDescent="0.2">
      <c r="A607" s="86"/>
      <c r="B607" s="87"/>
      <c r="C607" s="88"/>
      <c r="D607" s="89"/>
      <c r="E607" s="90"/>
      <c r="F607" s="90"/>
      <c r="G607" s="91"/>
      <c r="H607" s="91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2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  <c r="AQ607" s="93"/>
      <c r="AR607" s="93"/>
      <c r="AS607" s="94"/>
      <c r="AT607" s="93"/>
      <c r="AU607" s="93"/>
      <c r="AV607" s="93"/>
    </row>
    <row r="608" spans="1:48" ht="12.75" customHeight="1" x14ac:dyDescent="0.2">
      <c r="A608" s="86"/>
      <c r="B608" s="87"/>
      <c r="C608" s="88"/>
      <c r="D608" s="89"/>
      <c r="E608" s="90"/>
      <c r="F608" s="90"/>
      <c r="G608" s="91"/>
      <c r="H608" s="91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2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3"/>
      <c r="AR608" s="93"/>
      <c r="AS608" s="94"/>
      <c r="AT608" s="93"/>
      <c r="AU608" s="93"/>
      <c r="AV608" s="93"/>
    </row>
    <row r="609" spans="1:48" ht="12.75" customHeight="1" x14ac:dyDescent="0.2">
      <c r="A609" s="86"/>
      <c r="B609" s="87"/>
      <c r="C609" s="88"/>
      <c r="D609" s="89"/>
      <c r="E609" s="90"/>
      <c r="F609" s="90"/>
      <c r="G609" s="91"/>
      <c r="H609" s="91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2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  <c r="AQ609" s="93"/>
      <c r="AR609" s="93"/>
      <c r="AS609" s="94"/>
      <c r="AT609" s="93"/>
      <c r="AU609" s="93"/>
      <c r="AV609" s="93"/>
    </row>
    <row r="610" spans="1:48" ht="12.75" customHeight="1" x14ac:dyDescent="0.2">
      <c r="A610" s="86"/>
      <c r="B610" s="87"/>
      <c r="C610" s="88"/>
      <c r="D610" s="89"/>
      <c r="E610" s="90"/>
      <c r="F610" s="90"/>
      <c r="G610" s="91"/>
      <c r="H610" s="91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2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3"/>
      <c r="AR610" s="93"/>
      <c r="AS610" s="94"/>
      <c r="AT610" s="93"/>
      <c r="AU610" s="93"/>
      <c r="AV610" s="93"/>
    </row>
    <row r="611" spans="1:48" ht="12.75" customHeight="1" x14ac:dyDescent="0.2">
      <c r="A611" s="86"/>
      <c r="B611" s="87"/>
      <c r="C611" s="88"/>
      <c r="D611" s="89"/>
      <c r="E611" s="90"/>
      <c r="F611" s="90"/>
      <c r="G611" s="91"/>
      <c r="H611" s="91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2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3"/>
      <c r="AR611" s="93"/>
      <c r="AS611" s="94"/>
      <c r="AT611" s="93"/>
      <c r="AU611" s="93"/>
      <c r="AV611" s="93"/>
    </row>
    <row r="612" spans="1:48" ht="12.75" customHeight="1" x14ac:dyDescent="0.2">
      <c r="A612" s="86"/>
      <c r="B612" s="87"/>
      <c r="C612" s="88"/>
      <c r="D612" s="89"/>
      <c r="E612" s="90"/>
      <c r="F612" s="90"/>
      <c r="G612" s="91"/>
      <c r="H612" s="91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2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3"/>
      <c r="AR612" s="93"/>
      <c r="AS612" s="94"/>
      <c r="AT612" s="93"/>
      <c r="AU612" s="93"/>
      <c r="AV612" s="93"/>
    </row>
    <row r="613" spans="1:48" ht="12.75" customHeight="1" x14ac:dyDescent="0.2">
      <c r="A613" s="86"/>
      <c r="B613" s="87"/>
      <c r="C613" s="88"/>
      <c r="D613" s="89"/>
      <c r="E613" s="90"/>
      <c r="F613" s="90"/>
      <c r="G613" s="91"/>
      <c r="H613" s="91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2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  <c r="AQ613" s="93"/>
      <c r="AR613" s="93"/>
      <c r="AS613" s="94"/>
      <c r="AT613" s="93"/>
      <c r="AU613" s="93"/>
      <c r="AV613" s="93"/>
    </row>
    <row r="614" spans="1:48" ht="12.75" customHeight="1" x14ac:dyDescent="0.2">
      <c r="A614" s="86"/>
      <c r="B614" s="87"/>
      <c r="C614" s="88"/>
      <c r="D614" s="89"/>
      <c r="E614" s="90"/>
      <c r="F614" s="90"/>
      <c r="G614" s="91"/>
      <c r="H614" s="91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2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3"/>
      <c r="AR614" s="93"/>
      <c r="AS614" s="94"/>
      <c r="AT614" s="93"/>
      <c r="AU614" s="93"/>
      <c r="AV614" s="93"/>
    </row>
    <row r="615" spans="1:48" ht="12.75" customHeight="1" x14ac:dyDescent="0.2">
      <c r="A615" s="86"/>
      <c r="B615" s="87"/>
      <c r="C615" s="88"/>
      <c r="D615" s="89"/>
      <c r="E615" s="90"/>
      <c r="F615" s="90"/>
      <c r="G615" s="91"/>
      <c r="H615" s="91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2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  <c r="AQ615" s="93"/>
      <c r="AR615" s="93"/>
      <c r="AS615" s="94"/>
      <c r="AT615" s="93"/>
      <c r="AU615" s="93"/>
      <c r="AV615" s="93"/>
    </row>
    <row r="616" spans="1:48" ht="12.75" customHeight="1" x14ac:dyDescent="0.2">
      <c r="A616" s="86"/>
      <c r="B616" s="87"/>
      <c r="C616" s="88"/>
      <c r="D616" s="89"/>
      <c r="E616" s="90"/>
      <c r="F616" s="90"/>
      <c r="G616" s="91"/>
      <c r="H616" s="91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2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  <c r="AQ616" s="93"/>
      <c r="AR616" s="93"/>
      <c r="AS616" s="94"/>
      <c r="AT616" s="93"/>
      <c r="AU616" s="93"/>
      <c r="AV616" s="93"/>
    </row>
    <row r="617" spans="1:48" ht="12.75" customHeight="1" x14ac:dyDescent="0.2">
      <c r="A617" s="86"/>
      <c r="B617" s="87"/>
      <c r="C617" s="88"/>
      <c r="D617" s="89"/>
      <c r="E617" s="90"/>
      <c r="F617" s="90"/>
      <c r="G617" s="91"/>
      <c r="H617" s="91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2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  <c r="AQ617" s="93"/>
      <c r="AR617" s="93"/>
      <c r="AS617" s="94"/>
      <c r="AT617" s="93"/>
      <c r="AU617" s="93"/>
      <c r="AV617" s="93"/>
    </row>
    <row r="618" spans="1:48" ht="12.75" customHeight="1" x14ac:dyDescent="0.2">
      <c r="A618" s="86"/>
      <c r="B618" s="87"/>
      <c r="C618" s="88"/>
      <c r="D618" s="89"/>
      <c r="E618" s="90"/>
      <c r="F618" s="90"/>
      <c r="G618" s="91"/>
      <c r="H618" s="91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2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3"/>
      <c r="AR618" s="93"/>
      <c r="AS618" s="94"/>
      <c r="AT618" s="93"/>
      <c r="AU618" s="93"/>
      <c r="AV618" s="93"/>
    </row>
    <row r="619" spans="1:48" ht="12.75" customHeight="1" x14ac:dyDescent="0.2">
      <c r="A619" s="86"/>
      <c r="B619" s="87"/>
      <c r="C619" s="88"/>
      <c r="D619" s="89"/>
      <c r="E619" s="90"/>
      <c r="F619" s="90"/>
      <c r="G619" s="91"/>
      <c r="H619" s="91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2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  <c r="AQ619" s="93"/>
      <c r="AR619" s="93"/>
      <c r="AS619" s="94"/>
      <c r="AT619" s="93"/>
      <c r="AU619" s="93"/>
      <c r="AV619" s="93"/>
    </row>
    <row r="620" spans="1:48" ht="12.75" customHeight="1" x14ac:dyDescent="0.2">
      <c r="A620" s="86"/>
      <c r="B620" s="87"/>
      <c r="C620" s="88"/>
      <c r="D620" s="89"/>
      <c r="E620" s="90"/>
      <c r="F620" s="90"/>
      <c r="G620" s="91"/>
      <c r="H620" s="91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2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93"/>
      <c r="AR620" s="93"/>
      <c r="AS620" s="94"/>
      <c r="AT620" s="93"/>
      <c r="AU620" s="93"/>
      <c r="AV620" s="93"/>
    </row>
    <row r="621" spans="1:48" ht="12.75" customHeight="1" x14ac:dyDescent="0.2">
      <c r="A621" s="86"/>
      <c r="B621" s="87"/>
      <c r="C621" s="88"/>
      <c r="D621" s="89"/>
      <c r="E621" s="90"/>
      <c r="F621" s="90"/>
      <c r="G621" s="91"/>
      <c r="H621" s="91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2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  <c r="AQ621" s="93"/>
      <c r="AR621" s="93"/>
      <c r="AS621" s="94"/>
      <c r="AT621" s="93"/>
      <c r="AU621" s="93"/>
      <c r="AV621" s="93"/>
    </row>
    <row r="622" spans="1:48" ht="12.75" customHeight="1" x14ac:dyDescent="0.2">
      <c r="A622" s="86"/>
      <c r="B622" s="87"/>
      <c r="C622" s="88"/>
      <c r="D622" s="89"/>
      <c r="E622" s="90"/>
      <c r="F622" s="90"/>
      <c r="G622" s="91"/>
      <c r="H622" s="91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2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  <c r="AQ622" s="93"/>
      <c r="AR622" s="93"/>
      <c r="AS622" s="94"/>
      <c r="AT622" s="93"/>
      <c r="AU622" s="93"/>
      <c r="AV622" s="93"/>
    </row>
    <row r="623" spans="1:48" ht="12.75" customHeight="1" x14ac:dyDescent="0.2">
      <c r="A623" s="86"/>
      <c r="B623" s="87"/>
      <c r="C623" s="88"/>
      <c r="D623" s="89"/>
      <c r="E623" s="90"/>
      <c r="F623" s="90"/>
      <c r="G623" s="91"/>
      <c r="H623" s="91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2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  <c r="AQ623" s="93"/>
      <c r="AR623" s="93"/>
      <c r="AS623" s="94"/>
      <c r="AT623" s="93"/>
      <c r="AU623" s="93"/>
      <c r="AV623" s="93"/>
    </row>
    <row r="624" spans="1:48" ht="12.75" customHeight="1" x14ac:dyDescent="0.2">
      <c r="A624" s="86"/>
      <c r="B624" s="87"/>
      <c r="C624" s="88"/>
      <c r="D624" s="89"/>
      <c r="E624" s="90"/>
      <c r="F624" s="90"/>
      <c r="G624" s="91"/>
      <c r="H624" s="91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2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3"/>
      <c r="AR624" s="93"/>
      <c r="AS624" s="94"/>
      <c r="AT624" s="93"/>
      <c r="AU624" s="93"/>
      <c r="AV624" s="93"/>
    </row>
    <row r="625" spans="1:48" ht="12.75" customHeight="1" x14ac:dyDescent="0.2">
      <c r="A625" s="86"/>
      <c r="B625" s="87"/>
      <c r="C625" s="88"/>
      <c r="D625" s="89"/>
      <c r="E625" s="90"/>
      <c r="F625" s="90"/>
      <c r="G625" s="91"/>
      <c r="H625" s="91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2"/>
      <c r="AG625" s="90"/>
      <c r="AH625" s="90"/>
      <c r="AI625" s="90"/>
      <c r="AJ625" s="90"/>
      <c r="AK625" s="90"/>
      <c r="AL625" s="90"/>
      <c r="AM625" s="90"/>
      <c r="AN625" s="90"/>
      <c r="AO625" s="90"/>
      <c r="AP625" s="90"/>
      <c r="AQ625" s="93"/>
      <c r="AR625" s="93"/>
      <c r="AS625" s="94"/>
      <c r="AT625" s="93"/>
      <c r="AU625" s="93"/>
      <c r="AV625" s="93"/>
    </row>
    <row r="626" spans="1:48" ht="12.75" customHeight="1" x14ac:dyDescent="0.2">
      <c r="A626" s="86"/>
      <c r="B626" s="87"/>
      <c r="C626" s="88"/>
      <c r="D626" s="89"/>
      <c r="E626" s="90"/>
      <c r="F626" s="90"/>
      <c r="G626" s="91"/>
      <c r="H626" s="91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2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  <c r="AQ626" s="93"/>
      <c r="AR626" s="93"/>
      <c r="AS626" s="94"/>
      <c r="AT626" s="93"/>
      <c r="AU626" s="93"/>
      <c r="AV626" s="93"/>
    </row>
    <row r="627" spans="1:48" ht="12.75" customHeight="1" x14ac:dyDescent="0.2">
      <c r="A627" s="86"/>
      <c r="B627" s="87"/>
      <c r="C627" s="88"/>
      <c r="D627" s="89"/>
      <c r="E627" s="90"/>
      <c r="F627" s="90"/>
      <c r="G627" s="91"/>
      <c r="H627" s="91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2"/>
      <c r="AG627" s="90"/>
      <c r="AH627" s="90"/>
      <c r="AI627" s="90"/>
      <c r="AJ627" s="90"/>
      <c r="AK627" s="90"/>
      <c r="AL627" s="90"/>
      <c r="AM627" s="90"/>
      <c r="AN627" s="90"/>
      <c r="AO627" s="90"/>
      <c r="AP627" s="90"/>
      <c r="AQ627" s="93"/>
      <c r="AR627" s="93"/>
      <c r="AS627" s="94"/>
      <c r="AT627" s="93"/>
      <c r="AU627" s="93"/>
      <c r="AV627" s="93"/>
    </row>
    <row r="628" spans="1:48" ht="12.75" customHeight="1" x14ac:dyDescent="0.2">
      <c r="A628" s="86"/>
      <c r="B628" s="87"/>
      <c r="C628" s="88"/>
      <c r="D628" s="89"/>
      <c r="E628" s="90"/>
      <c r="F628" s="90"/>
      <c r="G628" s="91"/>
      <c r="H628" s="91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2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  <c r="AQ628" s="93"/>
      <c r="AR628" s="93"/>
      <c r="AS628" s="94"/>
      <c r="AT628" s="93"/>
      <c r="AU628" s="93"/>
      <c r="AV628" s="93"/>
    </row>
    <row r="629" spans="1:48" ht="12.75" customHeight="1" x14ac:dyDescent="0.2">
      <c r="A629" s="86"/>
      <c r="B629" s="87"/>
      <c r="C629" s="88"/>
      <c r="D629" s="89"/>
      <c r="E629" s="90"/>
      <c r="F629" s="90"/>
      <c r="G629" s="91"/>
      <c r="H629" s="91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2"/>
      <c r="AG629" s="90"/>
      <c r="AH629" s="90"/>
      <c r="AI629" s="90"/>
      <c r="AJ629" s="90"/>
      <c r="AK629" s="90"/>
      <c r="AL629" s="90"/>
      <c r="AM629" s="90"/>
      <c r="AN629" s="90"/>
      <c r="AO629" s="90"/>
      <c r="AP629" s="90"/>
      <c r="AQ629" s="93"/>
      <c r="AR629" s="93"/>
      <c r="AS629" s="94"/>
      <c r="AT629" s="93"/>
      <c r="AU629" s="93"/>
      <c r="AV629" s="93"/>
    </row>
    <row r="630" spans="1:48" ht="12.75" customHeight="1" x14ac:dyDescent="0.2">
      <c r="A630" s="86"/>
      <c r="B630" s="87"/>
      <c r="C630" s="88"/>
      <c r="D630" s="89"/>
      <c r="E630" s="90"/>
      <c r="F630" s="90"/>
      <c r="G630" s="91"/>
      <c r="H630" s="91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2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  <c r="AQ630" s="93"/>
      <c r="AR630" s="93"/>
      <c r="AS630" s="94"/>
      <c r="AT630" s="93"/>
      <c r="AU630" s="93"/>
      <c r="AV630" s="93"/>
    </row>
    <row r="631" spans="1:48" ht="12.75" customHeight="1" x14ac:dyDescent="0.2">
      <c r="A631" s="86"/>
      <c r="B631" s="87"/>
      <c r="C631" s="88"/>
      <c r="D631" s="89"/>
      <c r="E631" s="90"/>
      <c r="F631" s="90"/>
      <c r="G631" s="91"/>
      <c r="H631" s="91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2"/>
      <c r="AG631" s="90"/>
      <c r="AH631" s="90"/>
      <c r="AI631" s="90"/>
      <c r="AJ631" s="90"/>
      <c r="AK631" s="90"/>
      <c r="AL631" s="90"/>
      <c r="AM631" s="90"/>
      <c r="AN631" s="90"/>
      <c r="AO631" s="90"/>
      <c r="AP631" s="90"/>
      <c r="AQ631" s="93"/>
      <c r="AR631" s="93"/>
      <c r="AS631" s="94"/>
      <c r="AT631" s="93"/>
      <c r="AU631" s="93"/>
      <c r="AV631" s="93"/>
    </row>
    <row r="632" spans="1:48" ht="12.75" customHeight="1" x14ac:dyDescent="0.2">
      <c r="A632" s="86"/>
      <c r="B632" s="87"/>
      <c r="C632" s="88"/>
      <c r="D632" s="89"/>
      <c r="E632" s="90"/>
      <c r="F632" s="90"/>
      <c r="G632" s="91"/>
      <c r="H632" s="91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2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  <c r="AQ632" s="93"/>
      <c r="AR632" s="93"/>
      <c r="AS632" s="94"/>
      <c r="AT632" s="93"/>
      <c r="AU632" s="93"/>
      <c r="AV632" s="93"/>
    </row>
    <row r="633" spans="1:48" ht="12.75" customHeight="1" x14ac:dyDescent="0.2">
      <c r="A633" s="86"/>
      <c r="B633" s="87"/>
      <c r="C633" s="88"/>
      <c r="D633" s="89"/>
      <c r="E633" s="90"/>
      <c r="F633" s="90"/>
      <c r="G633" s="91"/>
      <c r="H633" s="91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2"/>
      <c r="AG633" s="90"/>
      <c r="AH633" s="90"/>
      <c r="AI633" s="90"/>
      <c r="AJ633" s="90"/>
      <c r="AK633" s="90"/>
      <c r="AL633" s="90"/>
      <c r="AM633" s="90"/>
      <c r="AN633" s="90"/>
      <c r="AO633" s="90"/>
      <c r="AP633" s="90"/>
      <c r="AQ633" s="93"/>
      <c r="AR633" s="93"/>
      <c r="AS633" s="94"/>
      <c r="AT633" s="93"/>
      <c r="AU633" s="93"/>
      <c r="AV633" s="93"/>
    </row>
    <row r="634" spans="1:48" ht="12.75" customHeight="1" x14ac:dyDescent="0.2">
      <c r="A634" s="86"/>
      <c r="B634" s="87"/>
      <c r="C634" s="88"/>
      <c r="D634" s="89"/>
      <c r="E634" s="90"/>
      <c r="F634" s="90"/>
      <c r="G634" s="91"/>
      <c r="H634" s="91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2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93"/>
      <c r="AR634" s="93"/>
      <c r="AS634" s="94"/>
      <c r="AT634" s="93"/>
      <c r="AU634" s="93"/>
      <c r="AV634" s="93"/>
    </row>
    <row r="635" spans="1:48" ht="12.75" customHeight="1" x14ac:dyDescent="0.2">
      <c r="A635" s="86"/>
      <c r="B635" s="87"/>
      <c r="C635" s="88"/>
      <c r="D635" s="89"/>
      <c r="E635" s="90"/>
      <c r="F635" s="90"/>
      <c r="G635" s="91"/>
      <c r="H635" s="91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2"/>
      <c r="AG635" s="90"/>
      <c r="AH635" s="90"/>
      <c r="AI635" s="90"/>
      <c r="AJ635" s="90"/>
      <c r="AK635" s="90"/>
      <c r="AL635" s="90"/>
      <c r="AM635" s="90"/>
      <c r="AN635" s="90"/>
      <c r="AO635" s="90"/>
      <c r="AP635" s="90"/>
      <c r="AQ635" s="93"/>
      <c r="AR635" s="93"/>
      <c r="AS635" s="94"/>
      <c r="AT635" s="93"/>
      <c r="AU635" s="93"/>
      <c r="AV635" s="93"/>
    </row>
    <row r="636" spans="1:48" ht="12.75" customHeight="1" x14ac:dyDescent="0.2">
      <c r="A636" s="86"/>
      <c r="B636" s="87"/>
      <c r="C636" s="88"/>
      <c r="D636" s="89"/>
      <c r="E636" s="90"/>
      <c r="F636" s="90"/>
      <c r="G636" s="91"/>
      <c r="H636" s="91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2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  <c r="AQ636" s="93"/>
      <c r="AR636" s="93"/>
      <c r="AS636" s="94"/>
      <c r="AT636" s="93"/>
      <c r="AU636" s="93"/>
      <c r="AV636" s="93"/>
    </row>
    <row r="637" spans="1:48" ht="12.75" customHeight="1" x14ac:dyDescent="0.2">
      <c r="A637" s="86"/>
      <c r="B637" s="87"/>
      <c r="C637" s="88"/>
      <c r="D637" s="89"/>
      <c r="E637" s="90"/>
      <c r="F637" s="90"/>
      <c r="G637" s="91"/>
      <c r="H637" s="91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2"/>
      <c r="AG637" s="90"/>
      <c r="AH637" s="90"/>
      <c r="AI637" s="90"/>
      <c r="AJ637" s="90"/>
      <c r="AK637" s="90"/>
      <c r="AL637" s="90"/>
      <c r="AM637" s="90"/>
      <c r="AN637" s="90"/>
      <c r="AO637" s="90"/>
      <c r="AP637" s="90"/>
      <c r="AQ637" s="93"/>
      <c r="AR637" s="93"/>
      <c r="AS637" s="94"/>
      <c r="AT637" s="93"/>
      <c r="AU637" s="93"/>
      <c r="AV637" s="93"/>
    </row>
    <row r="638" spans="1:48" ht="12.75" customHeight="1" x14ac:dyDescent="0.2">
      <c r="A638" s="86"/>
      <c r="B638" s="87"/>
      <c r="C638" s="88"/>
      <c r="D638" s="89"/>
      <c r="E638" s="90"/>
      <c r="F638" s="90"/>
      <c r="G638" s="91"/>
      <c r="H638" s="91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2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  <c r="AQ638" s="93"/>
      <c r="AR638" s="93"/>
      <c r="AS638" s="94"/>
      <c r="AT638" s="93"/>
      <c r="AU638" s="93"/>
      <c r="AV638" s="93"/>
    </row>
    <row r="639" spans="1:48" ht="12.75" customHeight="1" x14ac:dyDescent="0.2">
      <c r="A639" s="86"/>
      <c r="B639" s="87"/>
      <c r="C639" s="88"/>
      <c r="D639" s="89"/>
      <c r="E639" s="90"/>
      <c r="F639" s="90"/>
      <c r="G639" s="91"/>
      <c r="H639" s="91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2"/>
      <c r="AG639" s="90"/>
      <c r="AH639" s="90"/>
      <c r="AI639" s="90"/>
      <c r="AJ639" s="90"/>
      <c r="AK639" s="90"/>
      <c r="AL639" s="90"/>
      <c r="AM639" s="90"/>
      <c r="AN639" s="90"/>
      <c r="AO639" s="90"/>
      <c r="AP639" s="90"/>
      <c r="AQ639" s="93"/>
      <c r="AR639" s="93"/>
      <c r="AS639" s="94"/>
      <c r="AT639" s="93"/>
      <c r="AU639" s="93"/>
      <c r="AV639" s="93"/>
    </row>
    <row r="640" spans="1:48" ht="12.75" customHeight="1" x14ac:dyDescent="0.2">
      <c r="A640" s="86"/>
      <c r="B640" s="87"/>
      <c r="C640" s="88"/>
      <c r="D640" s="89"/>
      <c r="E640" s="90"/>
      <c r="F640" s="90"/>
      <c r="G640" s="91"/>
      <c r="H640" s="91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2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  <c r="AQ640" s="93"/>
      <c r="AR640" s="93"/>
      <c r="AS640" s="94"/>
      <c r="AT640" s="93"/>
      <c r="AU640" s="93"/>
      <c r="AV640" s="93"/>
    </row>
    <row r="641" spans="1:48" ht="12.75" customHeight="1" x14ac:dyDescent="0.2">
      <c r="A641" s="86"/>
      <c r="B641" s="87"/>
      <c r="C641" s="88"/>
      <c r="D641" s="89"/>
      <c r="E641" s="90"/>
      <c r="F641" s="90"/>
      <c r="G641" s="91"/>
      <c r="H641" s="91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2"/>
      <c r="AG641" s="90"/>
      <c r="AH641" s="90"/>
      <c r="AI641" s="90"/>
      <c r="AJ641" s="90"/>
      <c r="AK641" s="90"/>
      <c r="AL641" s="90"/>
      <c r="AM641" s="90"/>
      <c r="AN641" s="90"/>
      <c r="AO641" s="90"/>
      <c r="AP641" s="90"/>
      <c r="AQ641" s="93"/>
      <c r="AR641" s="93"/>
      <c r="AS641" s="94"/>
      <c r="AT641" s="93"/>
      <c r="AU641" s="93"/>
      <c r="AV641" s="93"/>
    </row>
    <row r="642" spans="1:48" ht="12.75" customHeight="1" x14ac:dyDescent="0.2">
      <c r="A642" s="86"/>
      <c r="B642" s="87"/>
      <c r="C642" s="88"/>
      <c r="D642" s="89"/>
      <c r="E642" s="90"/>
      <c r="F642" s="90"/>
      <c r="G642" s="91"/>
      <c r="H642" s="91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2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  <c r="AQ642" s="93"/>
      <c r="AR642" s="93"/>
      <c r="AS642" s="94"/>
      <c r="AT642" s="93"/>
      <c r="AU642" s="93"/>
      <c r="AV642" s="93"/>
    </row>
    <row r="643" spans="1:48" ht="12.75" customHeight="1" x14ac:dyDescent="0.2">
      <c r="A643" s="86"/>
      <c r="B643" s="87"/>
      <c r="C643" s="88"/>
      <c r="D643" s="89"/>
      <c r="E643" s="90"/>
      <c r="F643" s="90"/>
      <c r="G643" s="91"/>
      <c r="H643" s="91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2"/>
      <c r="AG643" s="90"/>
      <c r="AH643" s="90"/>
      <c r="AI643" s="90"/>
      <c r="AJ643" s="90"/>
      <c r="AK643" s="90"/>
      <c r="AL643" s="90"/>
      <c r="AM643" s="90"/>
      <c r="AN643" s="90"/>
      <c r="AO643" s="90"/>
      <c r="AP643" s="90"/>
      <c r="AQ643" s="93"/>
      <c r="AR643" s="93"/>
      <c r="AS643" s="94"/>
      <c r="AT643" s="93"/>
      <c r="AU643" s="93"/>
      <c r="AV643" s="93"/>
    </row>
    <row r="644" spans="1:48" ht="12.75" customHeight="1" x14ac:dyDescent="0.2">
      <c r="A644" s="86"/>
      <c r="B644" s="87"/>
      <c r="C644" s="88"/>
      <c r="D644" s="89"/>
      <c r="E644" s="90"/>
      <c r="F644" s="90"/>
      <c r="G644" s="91"/>
      <c r="H644" s="91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2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  <c r="AQ644" s="93"/>
      <c r="AR644" s="93"/>
      <c r="AS644" s="94"/>
      <c r="AT644" s="93"/>
      <c r="AU644" s="93"/>
      <c r="AV644" s="93"/>
    </row>
    <row r="645" spans="1:48" ht="12.75" customHeight="1" x14ac:dyDescent="0.2">
      <c r="A645" s="86"/>
      <c r="B645" s="87"/>
      <c r="C645" s="88"/>
      <c r="D645" s="89"/>
      <c r="E645" s="90"/>
      <c r="F645" s="90"/>
      <c r="G645" s="91"/>
      <c r="H645" s="91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2"/>
      <c r="AG645" s="90"/>
      <c r="AH645" s="90"/>
      <c r="AI645" s="90"/>
      <c r="AJ645" s="90"/>
      <c r="AK645" s="90"/>
      <c r="AL645" s="90"/>
      <c r="AM645" s="90"/>
      <c r="AN645" s="90"/>
      <c r="AO645" s="90"/>
      <c r="AP645" s="90"/>
      <c r="AQ645" s="93"/>
      <c r="AR645" s="93"/>
      <c r="AS645" s="94"/>
      <c r="AT645" s="93"/>
      <c r="AU645" s="93"/>
      <c r="AV645" s="93"/>
    </row>
    <row r="646" spans="1:48" ht="12.75" customHeight="1" x14ac:dyDescent="0.2">
      <c r="A646" s="86"/>
      <c r="B646" s="87"/>
      <c r="C646" s="88"/>
      <c r="D646" s="89"/>
      <c r="E646" s="90"/>
      <c r="F646" s="90"/>
      <c r="G646" s="91"/>
      <c r="H646" s="91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2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  <c r="AQ646" s="93"/>
      <c r="AR646" s="93"/>
      <c r="AS646" s="94"/>
      <c r="AT646" s="93"/>
      <c r="AU646" s="93"/>
      <c r="AV646" s="93"/>
    </row>
    <row r="647" spans="1:48" ht="12.75" customHeight="1" x14ac:dyDescent="0.2">
      <c r="A647" s="86"/>
      <c r="B647" s="87"/>
      <c r="C647" s="88"/>
      <c r="D647" s="89"/>
      <c r="E647" s="90"/>
      <c r="F647" s="90"/>
      <c r="G647" s="91"/>
      <c r="H647" s="91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2"/>
      <c r="AG647" s="90"/>
      <c r="AH647" s="90"/>
      <c r="AI647" s="90"/>
      <c r="AJ647" s="90"/>
      <c r="AK647" s="90"/>
      <c r="AL647" s="90"/>
      <c r="AM647" s="90"/>
      <c r="AN647" s="90"/>
      <c r="AO647" s="90"/>
      <c r="AP647" s="90"/>
      <c r="AQ647" s="93"/>
      <c r="AR647" s="93"/>
      <c r="AS647" s="94"/>
      <c r="AT647" s="93"/>
      <c r="AU647" s="93"/>
      <c r="AV647" s="93"/>
    </row>
    <row r="648" spans="1:48" ht="12.75" customHeight="1" x14ac:dyDescent="0.2">
      <c r="A648" s="86"/>
      <c r="B648" s="87"/>
      <c r="C648" s="88"/>
      <c r="D648" s="89"/>
      <c r="E648" s="90"/>
      <c r="F648" s="90"/>
      <c r="G648" s="91"/>
      <c r="H648" s="91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2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  <c r="AQ648" s="93"/>
      <c r="AR648" s="93"/>
      <c r="AS648" s="94"/>
      <c r="AT648" s="93"/>
      <c r="AU648" s="93"/>
      <c r="AV648" s="93"/>
    </row>
    <row r="649" spans="1:48" ht="12.75" customHeight="1" x14ac:dyDescent="0.2">
      <c r="A649" s="86"/>
      <c r="B649" s="87"/>
      <c r="C649" s="88"/>
      <c r="D649" s="89"/>
      <c r="E649" s="90"/>
      <c r="F649" s="90"/>
      <c r="G649" s="91"/>
      <c r="H649" s="91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2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3"/>
      <c r="AR649" s="93"/>
      <c r="AS649" s="94"/>
      <c r="AT649" s="93"/>
      <c r="AU649" s="93"/>
      <c r="AV649" s="93"/>
    </row>
    <row r="650" spans="1:48" ht="12.75" customHeight="1" x14ac:dyDescent="0.2">
      <c r="A650" s="86"/>
      <c r="B650" s="87"/>
      <c r="C650" s="88"/>
      <c r="D650" s="89"/>
      <c r="E650" s="90"/>
      <c r="F650" s="90"/>
      <c r="G650" s="91"/>
      <c r="H650" s="91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2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  <c r="AQ650" s="93"/>
      <c r="AR650" s="93"/>
      <c r="AS650" s="94"/>
      <c r="AT650" s="93"/>
      <c r="AU650" s="93"/>
      <c r="AV650" s="93"/>
    </row>
    <row r="651" spans="1:48" ht="12.75" customHeight="1" x14ac:dyDescent="0.2">
      <c r="A651" s="86"/>
      <c r="B651" s="87"/>
      <c r="C651" s="88"/>
      <c r="D651" s="89"/>
      <c r="E651" s="90"/>
      <c r="F651" s="90"/>
      <c r="G651" s="91"/>
      <c r="H651" s="91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2"/>
      <c r="AG651" s="90"/>
      <c r="AH651" s="90"/>
      <c r="AI651" s="90"/>
      <c r="AJ651" s="90"/>
      <c r="AK651" s="90"/>
      <c r="AL651" s="90"/>
      <c r="AM651" s="90"/>
      <c r="AN651" s="90"/>
      <c r="AO651" s="90"/>
      <c r="AP651" s="90"/>
      <c r="AQ651" s="93"/>
      <c r="AR651" s="93"/>
      <c r="AS651" s="94"/>
      <c r="AT651" s="93"/>
      <c r="AU651" s="93"/>
      <c r="AV651" s="93"/>
    </row>
    <row r="652" spans="1:48" ht="12.75" customHeight="1" x14ac:dyDescent="0.2">
      <c r="A652" s="86"/>
      <c r="B652" s="87"/>
      <c r="C652" s="88"/>
      <c r="D652" s="89"/>
      <c r="E652" s="90"/>
      <c r="F652" s="90"/>
      <c r="G652" s="91"/>
      <c r="H652" s="91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2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  <c r="AQ652" s="93"/>
      <c r="AR652" s="93"/>
      <c r="AS652" s="94"/>
      <c r="AT652" s="93"/>
      <c r="AU652" s="93"/>
      <c r="AV652" s="93"/>
    </row>
    <row r="653" spans="1:48" ht="12.75" customHeight="1" x14ac:dyDescent="0.2">
      <c r="A653" s="86"/>
      <c r="B653" s="87"/>
      <c r="C653" s="88"/>
      <c r="D653" s="89"/>
      <c r="E653" s="90"/>
      <c r="F653" s="90"/>
      <c r="G653" s="91"/>
      <c r="H653" s="91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2"/>
      <c r="AG653" s="90"/>
      <c r="AH653" s="90"/>
      <c r="AI653" s="90"/>
      <c r="AJ653" s="90"/>
      <c r="AK653" s="90"/>
      <c r="AL653" s="90"/>
      <c r="AM653" s="90"/>
      <c r="AN653" s="90"/>
      <c r="AO653" s="90"/>
      <c r="AP653" s="90"/>
      <c r="AQ653" s="93"/>
      <c r="AR653" s="93"/>
      <c r="AS653" s="94"/>
      <c r="AT653" s="93"/>
      <c r="AU653" s="93"/>
      <c r="AV653" s="93"/>
    </row>
    <row r="654" spans="1:48" ht="12.75" customHeight="1" x14ac:dyDescent="0.2">
      <c r="A654" s="86"/>
      <c r="B654" s="87"/>
      <c r="C654" s="88"/>
      <c r="D654" s="89"/>
      <c r="E654" s="90"/>
      <c r="F654" s="90"/>
      <c r="G654" s="91"/>
      <c r="H654" s="91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2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  <c r="AQ654" s="93"/>
      <c r="AR654" s="93"/>
      <c r="AS654" s="94"/>
      <c r="AT654" s="93"/>
      <c r="AU654" s="93"/>
      <c r="AV654" s="93"/>
    </row>
    <row r="655" spans="1:48" ht="12.75" customHeight="1" x14ac:dyDescent="0.2">
      <c r="A655" s="86"/>
      <c r="B655" s="87"/>
      <c r="C655" s="88"/>
      <c r="D655" s="89"/>
      <c r="E655" s="90"/>
      <c r="F655" s="90"/>
      <c r="G655" s="91"/>
      <c r="H655" s="91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2"/>
      <c r="AG655" s="90"/>
      <c r="AH655" s="90"/>
      <c r="AI655" s="90"/>
      <c r="AJ655" s="90"/>
      <c r="AK655" s="90"/>
      <c r="AL655" s="90"/>
      <c r="AM655" s="90"/>
      <c r="AN655" s="90"/>
      <c r="AO655" s="90"/>
      <c r="AP655" s="90"/>
      <c r="AQ655" s="93"/>
      <c r="AR655" s="93"/>
      <c r="AS655" s="94"/>
      <c r="AT655" s="93"/>
      <c r="AU655" s="93"/>
      <c r="AV655" s="93"/>
    </row>
    <row r="656" spans="1:48" ht="12.75" customHeight="1" x14ac:dyDescent="0.2">
      <c r="A656" s="86"/>
      <c r="B656" s="87"/>
      <c r="C656" s="88"/>
      <c r="D656" s="89"/>
      <c r="E656" s="90"/>
      <c r="F656" s="90"/>
      <c r="G656" s="91"/>
      <c r="H656" s="91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2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  <c r="AQ656" s="93"/>
      <c r="AR656" s="93"/>
      <c r="AS656" s="94"/>
      <c r="AT656" s="93"/>
      <c r="AU656" s="93"/>
      <c r="AV656" s="93"/>
    </row>
    <row r="657" spans="1:48" ht="12.75" customHeight="1" x14ac:dyDescent="0.2">
      <c r="A657" s="86"/>
      <c r="B657" s="87"/>
      <c r="C657" s="88"/>
      <c r="D657" s="89"/>
      <c r="E657" s="90"/>
      <c r="F657" s="90"/>
      <c r="G657" s="91"/>
      <c r="H657" s="91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2"/>
      <c r="AG657" s="90"/>
      <c r="AH657" s="90"/>
      <c r="AI657" s="90"/>
      <c r="AJ657" s="90"/>
      <c r="AK657" s="90"/>
      <c r="AL657" s="90"/>
      <c r="AM657" s="90"/>
      <c r="AN657" s="90"/>
      <c r="AO657" s="90"/>
      <c r="AP657" s="90"/>
      <c r="AQ657" s="93"/>
      <c r="AR657" s="93"/>
      <c r="AS657" s="94"/>
      <c r="AT657" s="93"/>
      <c r="AU657" s="93"/>
      <c r="AV657" s="93"/>
    </row>
    <row r="658" spans="1:48" ht="12.75" customHeight="1" x14ac:dyDescent="0.2">
      <c r="A658" s="86"/>
      <c r="B658" s="87"/>
      <c r="C658" s="88"/>
      <c r="D658" s="89"/>
      <c r="E658" s="90"/>
      <c r="F658" s="90"/>
      <c r="G658" s="91"/>
      <c r="H658" s="91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2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  <c r="AQ658" s="93"/>
      <c r="AR658" s="93"/>
      <c r="AS658" s="94"/>
      <c r="AT658" s="93"/>
      <c r="AU658" s="93"/>
      <c r="AV658" s="93"/>
    </row>
    <row r="659" spans="1:48" ht="12.75" customHeight="1" x14ac:dyDescent="0.2">
      <c r="A659" s="86"/>
      <c r="B659" s="87"/>
      <c r="C659" s="88"/>
      <c r="D659" s="89"/>
      <c r="E659" s="90"/>
      <c r="F659" s="90"/>
      <c r="G659" s="91"/>
      <c r="H659" s="91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2"/>
      <c r="AG659" s="90"/>
      <c r="AH659" s="90"/>
      <c r="AI659" s="90"/>
      <c r="AJ659" s="90"/>
      <c r="AK659" s="90"/>
      <c r="AL659" s="90"/>
      <c r="AM659" s="90"/>
      <c r="AN659" s="90"/>
      <c r="AO659" s="90"/>
      <c r="AP659" s="90"/>
      <c r="AQ659" s="93"/>
      <c r="AR659" s="93"/>
      <c r="AS659" s="94"/>
      <c r="AT659" s="93"/>
      <c r="AU659" s="93"/>
      <c r="AV659" s="93"/>
    </row>
    <row r="660" spans="1:48" ht="12.75" customHeight="1" x14ac:dyDescent="0.2">
      <c r="A660" s="86"/>
      <c r="B660" s="87"/>
      <c r="C660" s="88"/>
      <c r="D660" s="89"/>
      <c r="E660" s="90"/>
      <c r="F660" s="90"/>
      <c r="G660" s="91"/>
      <c r="H660" s="91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2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  <c r="AQ660" s="93"/>
      <c r="AR660" s="93"/>
      <c r="AS660" s="94"/>
      <c r="AT660" s="93"/>
      <c r="AU660" s="93"/>
      <c r="AV660" s="93"/>
    </row>
    <row r="661" spans="1:48" ht="12.75" customHeight="1" x14ac:dyDescent="0.2">
      <c r="A661" s="86"/>
      <c r="B661" s="87"/>
      <c r="C661" s="88"/>
      <c r="D661" s="89"/>
      <c r="E661" s="90"/>
      <c r="F661" s="90"/>
      <c r="G661" s="91"/>
      <c r="H661" s="91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2"/>
      <c r="AG661" s="90"/>
      <c r="AH661" s="90"/>
      <c r="AI661" s="90"/>
      <c r="AJ661" s="90"/>
      <c r="AK661" s="90"/>
      <c r="AL661" s="90"/>
      <c r="AM661" s="90"/>
      <c r="AN661" s="90"/>
      <c r="AO661" s="90"/>
      <c r="AP661" s="90"/>
      <c r="AQ661" s="93"/>
      <c r="AR661" s="93"/>
      <c r="AS661" s="94"/>
      <c r="AT661" s="93"/>
      <c r="AU661" s="93"/>
      <c r="AV661" s="93"/>
    </row>
    <row r="662" spans="1:48" ht="12.75" customHeight="1" x14ac:dyDescent="0.2">
      <c r="A662" s="86"/>
      <c r="B662" s="87"/>
      <c r="C662" s="88"/>
      <c r="D662" s="89"/>
      <c r="E662" s="90"/>
      <c r="F662" s="90"/>
      <c r="G662" s="91"/>
      <c r="H662" s="91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2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  <c r="AQ662" s="93"/>
      <c r="AR662" s="93"/>
      <c r="AS662" s="94"/>
      <c r="AT662" s="93"/>
      <c r="AU662" s="93"/>
      <c r="AV662" s="93"/>
    </row>
    <row r="663" spans="1:48" ht="12.75" customHeight="1" x14ac:dyDescent="0.2">
      <c r="A663" s="86"/>
      <c r="B663" s="87"/>
      <c r="C663" s="88"/>
      <c r="D663" s="89"/>
      <c r="E663" s="90"/>
      <c r="F663" s="90"/>
      <c r="G663" s="91"/>
      <c r="H663" s="91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2"/>
      <c r="AG663" s="90"/>
      <c r="AH663" s="90"/>
      <c r="AI663" s="90"/>
      <c r="AJ663" s="90"/>
      <c r="AK663" s="90"/>
      <c r="AL663" s="90"/>
      <c r="AM663" s="90"/>
      <c r="AN663" s="90"/>
      <c r="AO663" s="90"/>
      <c r="AP663" s="90"/>
      <c r="AQ663" s="93"/>
      <c r="AR663" s="93"/>
      <c r="AS663" s="94"/>
      <c r="AT663" s="93"/>
      <c r="AU663" s="93"/>
      <c r="AV663" s="93"/>
    </row>
    <row r="664" spans="1:48" ht="12.75" customHeight="1" x14ac:dyDescent="0.2">
      <c r="A664" s="86"/>
      <c r="B664" s="87"/>
      <c r="C664" s="88"/>
      <c r="D664" s="89"/>
      <c r="E664" s="90"/>
      <c r="F664" s="90"/>
      <c r="G664" s="91"/>
      <c r="H664" s="91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2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  <c r="AQ664" s="93"/>
      <c r="AR664" s="93"/>
      <c r="AS664" s="94"/>
      <c r="AT664" s="93"/>
      <c r="AU664" s="93"/>
      <c r="AV664" s="93"/>
    </row>
    <row r="665" spans="1:48" ht="12.75" customHeight="1" x14ac:dyDescent="0.2">
      <c r="A665" s="86"/>
      <c r="B665" s="87"/>
      <c r="C665" s="88"/>
      <c r="D665" s="89"/>
      <c r="E665" s="90"/>
      <c r="F665" s="90"/>
      <c r="G665" s="91"/>
      <c r="H665" s="91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2"/>
      <c r="AG665" s="90"/>
      <c r="AH665" s="90"/>
      <c r="AI665" s="90"/>
      <c r="AJ665" s="90"/>
      <c r="AK665" s="90"/>
      <c r="AL665" s="90"/>
      <c r="AM665" s="90"/>
      <c r="AN665" s="90"/>
      <c r="AO665" s="90"/>
      <c r="AP665" s="90"/>
      <c r="AQ665" s="93"/>
      <c r="AR665" s="93"/>
      <c r="AS665" s="94"/>
      <c r="AT665" s="93"/>
      <c r="AU665" s="93"/>
      <c r="AV665" s="93"/>
    </row>
    <row r="666" spans="1:48" ht="12.75" customHeight="1" x14ac:dyDescent="0.2">
      <c r="A666" s="86"/>
      <c r="B666" s="87"/>
      <c r="C666" s="88"/>
      <c r="D666" s="89"/>
      <c r="E666" s="90"/>
      <c r="F666" s="90"/>
      <c r="G666" s="91"/>
      <c r="H666" s="91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2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  <c r="AQ666" s="93"/>
      <c r="AR666" s="93"/>
      <c r="AS666" s="94"/>
      <c r="AT666" s="93"/>
      <c r="AU666" s="93"/>
      <c r="AV666" s="93"/>
    </row>
    <row r="667" spans="1:48" ht="12.75" customHeight="1" x14ac:dyDescent="0.2">
      <c r="A667" s="86"/>
      <c r="B667" s="87"/>
      <c r="C667" s="88"/>
      <c r="D667" s="89"/>
      <c r="E667" s="90"/>
      <c r="F667" s="90"/>
      <c r="G667" s="91"/>
      <c r="H667" s="91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2"/>
      <c r="AG667" s="90"/>
      <c r="AH667" s="90"/>
      <c r="AI667" s="90"/>
      <c r="AJ667" s="90"/>
      <c r="AK667" s="90"/>
      <c r="AL667" s="90"/>
      <c r="AM667" s="90"/>
      <c r="AN667" s="90"/>
      <c r="AO667" s="90"/>
      <c r="AP667" s="90"/>
      <c r="AQ667" s="93"/>
      <c r="AR667" s="93"/>
      <c r="AS667" s="94"/>
      <c r="AT667" s="93"/>
      <c r="AU667" s="93"/>
      <c r="AV667" s="93"/>
    </row>
    <row r="668" spans="1:48" ht="12.75" customHeight="1" x14ac:dyDescent="0.2">
      <c r="A668" s="86"/>
      <c r="B668" s="87"/>
      <c r="C668" s="88"/>
      <c r="D668" s="89"/>
      <c r="E668" s="90"/>
      <c r="F668" s="90"/>
      <c r="G668" s="91"/>
      <c r="H668" s="91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2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93"/>
      <c r="AR668" s="93"/>
      <c r="AS668" s="94"/>
      <c r="AT668" s="93"/>
      <c r="AU668" s="93"/>
      <c r="AV668" s="93"/>
    </row>
    <row r="669" spans="1:48" ht="12.75" customHeight="1" x14ac:dyDescent="0.2">
      <c r="A669" s="86"/>
      <c r="B669" s="87"/>
      <c r="C669" s="88"/>
      <c r="D669" s="89"/>
      <c r="E669" s="90"/>
      <c r="F669" s="90"/>
      <c r="G669" s="91"/>
      <c r="H669" s="91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2"/>
      <c r="AG669" s="90"/>
      <c r="AH669" s="90"/>
      <c r="AI669" s="90"/>
      <c r="AJ669" s="90"/>
      <c r="AK669" s="90"/>
      <c r="AL669" s="90"/>
      <c r="AM669" s="90"/>
      <c r="AN669" s="90"/>
      <c r="AO669" s="90"/>
      <c r="AP669" s="90"/>
      <c r="AQ669" s="93"/>
      <c r="AR669" s="93"/>
      <c r="AS669" s="94"/>
      <c r="AT669" s="93"/>
      <c r="AU669" s="93"/>
      <c r="AV669" s="93"/>
    </row>
    <row r="670" spans="1:48" ht="12.75" customHeight="1" x14ac:dyDescent="0.2">
      <c r="A670" s="86"/>
      <c r="B670" s="87"/>
      <c r="C670" s="88"/>
      <c r="D670" s="89"/>
      <c r="E670" s="90"/>
      <c r="F670" s="90"/>
      <c r="G670" s="91"/>
      <c r="H670" s="91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2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93"/>
      <c r="AR670" s="93"/>
      <c r="AS670" s="94"/>
      <c r="AT670" s="93"/>
      <c r="AU670" s="93"/>
      <c r="AV670" s="93"/>
    </row>
    <row r="671" spans="1:48" ht="12.75" customHeight="1" x14ac:dyDescent="0.2">
      <c r="A671" s="86"/>
      <c r="B671" s="87"/>
      <c r="C671" s="88"/>
      <c r="D671" s="89"/>
      <c r="E671" s="90"/>
      <c r="F671" s="90"/>
      <c r="G671" s="91"/>
      <c r="H671" s="91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2"/>
      <c r="AG671" s="90"/>
      <c r="AH671" s="90"/>
      <c r="AI671" s="90"/>
      <c r="AJ671" s="90"/>
      <c r="AK671" s="90"/>
      <c r="AL671" s="90"/>
      <c r="AM671" s="90"/>
      <c r="AN671" s="90"/>
      <c r="AO671" s="90"/>
      <c r="AP671" s="90"/>
      <c r="AQ671" s="93"/>
      <c r="AR671" s="93"/>
      <c r="AS671" s="94"/>
      <c r="AT671" s="93"/>
      <c r="AU671" s="93"/>
      <c r="AV671" s="93"/>
    </row>
    <row r="672" spans="1:48" ht="12.75" customHeight="1" x14ac:dyDescent="0.2">
      <c r="A672" s="86"/>
      <c r="B672" s="87"/>
      <c r="C672" s="88"/>
      <c r="D672" s="89"/>
      <c r="E672" s="90"/>
      <c r="F672" s="90"/>
      <c r="G672" s="91"/>
      <c r="H672" s="91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2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93"/>
      <c r="AR672" s="93"/>
      <c r="AS672" s="94"/>
      <c r="AT672" s="93"/>
      <c r="AU672" s="93"/>
      <c r="AV672" s="93"/>
    </row>
    <row r="673" spans="1:48" ht="12.75" customHeight="1" x14ac:dyDescent="0.2">
      <c r="A673" s="86"/>
      <c r="B673" s="87"/>
      <c r="C673" s="88"/>
      <c r="D673" s="89"/>
      <c r="E673" s="90"/>
      <c r="F673" s="90"/>
      <c r="G673" s="91"/>
      <c r="H673" s="91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2"/>
      <c r="AG673" s="90"/>
      <c r="AH673" s="90"/>
      <c r="AI673" s="90"/>
      <c r="AJ673" s="90"/>
      <c r="AK673" s="90"/>
      <c r="AL673" s="90"/>
      <c r="AM673" s="90"/>
      <c r="AN673" s="90"/>
      <c r="AO673" s="90"/>
      <c r="AP673" s="90"/>
      <c r="AQ673" s="93"/>
      <c r="AR673" s="93"/>
      <c r="AS673" s="94"/>
      <c r="AT673" s="93"/>
      <c r="AU673" s="93"/>
      <c r="AV673" s="93"/>
    </row>
    <row r="674" spans="1:48" ht="12.75" customHeight="1" x14ac:dyDescent="0.2">
      <c r="A674" s="86"/>
      <c r="B674" s="87"/>
      <c r="C674" s="88"/>
      <c r="D674" s="89"/>
      <c r="E674" s="90"/>
      <c r="F674" s="90"/>
      <c r="G674" s="91"/>
      <c r="H674" s="91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2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93"/>
      <c r="AR674" s="93"/>
      <c r="AS674" s="94"/>
      <c r="AT674" s="93"/>
      <c r="AU674" s="93"/>
      <c r="AV674" s="93"/>
    </row>
    <row r="675" spans="1:48" ht="12.75" customHeight="1" x14ac:dyDescent="0.2">
      <c r="A675" s="86"/>
      <c r="B675" s="87"/>
      <c r="C675" s="88"/>
      <c r="D675" s="89"/>
      <c r="E675" s="90"/>
      <c r="F675" s="90"/>
      <c r="G675" s="91"/>
      <c r="H675" s="91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2"/>
      <c r="AG675" s="90"/>
      <c r="AH675" s="90"/>
      <c r="AI675" s="90"/>
      <c r="AJ675" s="90"/>
      <c r="AK675" s="90"/>
      <c r="AL675" s="90"/>
      <c r="AM675" s="90"/>
      <c r="AN675" s="90"/>
      <c r="AO675" s="90"/>
      <c r="AP675" s="90"/>
      <c r="AQ675" s="93"/>
      <c r="AR675" s="93"/>
      <c r="AS675" s="94"/>
      <c r="AT675" s="93"/>
      <c r="AU675" s="93"/>
      <c r="AV675" s="93"/>
    </row>
    <row r="676" spans="1:48" ht="12.75" customHeight="1" x14ac:dyDescent="0.2">
      <c r="A676" s="86"/>
      <c r="B676" s="87"/>
      <c r="C676" s="88"/>
      <c r="D676" s="89"/>
      <c r="E676" s="90"/>
      <c r="F676" s="90"/>
      <c r="G676" s="91"/>
      <c r="H676" s="91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2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3"/>
      <c r="AR676" s="93"/>
      <c r="AS676" s="94"/>
      <c r="AT676" s="93"/>
      <c r="AU676" s="93"/>
      <c r="AV676" s="93"/>
    </row>
    <row r="677" spans="1:48" ht="12.75" customHeight="1" x14ac:dyDescent="0.2">
      <c r="A677" s="86"/>
      <c r="B677" s="87"/>
      <c r="C677" s="88"/>
      <c r="D677" s="89"/>
      <c r="E677" s="90"/>
      <c r="F677" s="90"/>
      <c r="G677" s="91"/>
      <c r="H677" s="91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2"/>
      <c r="AG677" s="90"/>
      <c r="AH677" s="90"/>
      <c r="AI677" s="90"/>
      <c r="AJ677" s="90"/>
      <c r="AK677" s="90"/>
      <c r="AL677" s="90"/>
      <c r="AM677" s="90"/>
      <c r="AN677" s="90"/>
      <c r="AO677" s="90"/>
      <c r="AP677" s="90"/>
      <c r="AQ677" s="93"/>
      <c r="AR677" s="93"/>
      <c r="AS677" s="94"/>
      <c r="AT677" s="93"/>
      <c r="AU677" s="93"/>
      <c r="AV677" s="93"/>
    </row>
    <row r="678" spans="1:48" ht="12.75" customHeight="1" x14ac:dyDescent="0.2">
      <c r="A678" s="86"/>
      <c r="B678" s="87"/>
      <c r="C678" s="88"/>
      <c r="D678" s="89"/>
      <c r="E678" s="90"/>
      <c r="F678" s="90"/>
      <c r="G678" s="91"/>
      <c r="H678" s="91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2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93"/>
      <c r="AR678" s="93"/>
      <c r="AS678" s="94"/>
      <c r="AT678" s="93"/>
      <c r="AU678" s="93"/>
      <c r="AV678" s="93"/>
    </row>
    <row r="679" spans="1:48" ht="12.75" customHeight="1" x14ac:dyDescent="0.2">
      <c r="A679" s="86"/>
      <c r="B679" s="87"/>
      <c r="C679" s="88"/>
      <c r="D679" s="89"/>
      <c r="E679" s="90"/>
      <c r="F679" s="90"/>
      <c r="G679" s="91"/>
      <c r="H679" s="91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2"/>
      <c r="AG679" s="90"/>
      <c r="AH679" s="90"/>
      <c r="AI679" s="90"/>
      <c r="AJ679" s="90"/>
      <c r="AK679" s="90"/>
      <c r="AL679" s="90"/>
      <c r="AM679" s="90"/>
      <c r="AN679" s="90"/>
      <c r="AO679" s="90"/>
      <c r="AP679" s="90"/>
      <c r="AQ679" s="93"/>
      <c r="AR679" s="93"/>
      <c r="AS679" s="94"/>
      <c r="AT679" s="93"/>
      <c r="AU679" s="93"/>
      <c r="AV679" s="93"/>
    </row>
    <row r="680" spans="1:48" ht="12.75" customHeight="1" x14ac:dyDescent="0.2">
      <c r="A680" s="86"/>
      <c r="B680" s="87"/>
      <c r="C680" s="88"/>
      <c r="D680" s="89"/>
      <c r="E680" s="90"/>
      <c r="F680" s="90"/>
      <c r="G680" s="91"/>
      <c r="H680" s="91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2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3"/>
      <c r="AR680" s="93"/>
      <c r="AS680" s="94"/>
      <c r="AT680" s="93"/>
      <c r="AU680" s="93"/>
      <c r="AV680" s="93"/>
    </row>
    <row r="681" spans="1:48" ht="12.75" customHeight="1" x14ac:dyDescent="0.2">
      <c r="A681" s="86"/>
      <c r="B681" s="87"/>
      <c r="C681" s="88"/>
      <c r="D681" s="89"/>
      <c r="E681" s="90"/>
      <c r="F681" s="90"/>
      <c r="G681" s="91"/>
      <c r="H681" s="91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2"/>
      <c r="AG681" s="90"/>
      <c r="AH681" s="90"/>
      <c r="AI681" s="90"/>
      <c r="AJ681" s="90"/>
      <c r="AK681" s="90"/>
      <c r="AL681" s="90"/>
      <c r="AM681" s="90"/>
      <c r="AN681" s="90"/>
      <c r="AO681" s="90"/>
      <c r="AP681" s="90"/>
      <c r="AQ681" s="93"/>
      <c r="AR681" s="93"/>
      <c r="AS681" s="94"/>
      <c r="AT681" s="93"/>
      <c r="AU681" s="93"/>
      <c r="AV681" s="93"/>
    </row>
    <row r="682" spans="1:48" ht="12.75" customHeight="1" x14ac:dyDescent="0.2">
      <c r="A682" s="86"/>
      <c r="B682" s="87"/>
      <c r="C682" s="88"/>
      <c r="D682" s="89"/>
      <c r="E682" s="90"/>
      <c r="F682" s="90"/>
      <c r="G682" s="91"/>
      <c r="H682" s="91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2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3"/>
      <c r="AR682" s="93"/>
      <c r="AS682" s="94"/>
      <c r="AT682" s="93"/>
      <c r="AU682" s="93"/>
      <c r="AV682" s="93"/>
    </row>
    <row r="683" spans="1:48" ht="12.75" customHeight="1" x14ac:dyDescent="0.2">
      <c r="A683" s="86"/>
      <c r="B683" s="87"/>
      <c r="C683" s="88"/>
      <c r="D683" s="89"/>
      <c r="E683" s="90"/>
      <c r="F683" s="90"/>
      <c r="G683" s="91"/>
      <c r="H683" s="91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2"/>
      <c r="AG683" s="90"/>
      <c r="AH683" s="90"/>
      <c r="AI683" s="90"/>
      <c r="AJ683" s="90"/>
      <c r="AK683" s="90"/>
      <c r="AL683" s="90"/>
      <c r="AM683" s="90"/>
      <c r="AN683" s="90"/>
      <c r="AO683" s="90"/>
      <c r="AP683" s="90"/>
      <c r="AQ683" s="93"/>
      <c r="AR683" s="93"/>
      <c r="AS683" s="94"/>
      <c r="AT683" s="93"/>
      <c r="AU683" s="93"/>
      <c r="AV683" s="93"/>
    </row>
    <row r="684" spans="1:48" ht="12.75" customHeight="1" x14ac:dyDescent="0.2">
      <c r="A684" s="86"/>
      <c r="B684" s="87"/>
      <c r="C684" s="88"/>
      <c r="D684" s="89"/>
      <c r="E684" s="90"/>
      <c r="F684" s="90"/>
      <c r="G684" s="91"/>
      <c r="H684" s="91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2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  <c r="AQ684" s="93"/>
      <c r="AR684" s="93"/>
      <c r="AS684" s="94"/>
      <c r="AT684" s="93"/>
      <c r="AU684" s="93"/>
      <c r="AV684" s="93"/>
    </row>
    <row r="685" spans="1:48" ht="12.75" customHeight="1" x14ac:dyDescent="0.2">
      <c r="A685" s="86"/>
      <c r="B685" s="87"/>
      <c r="C685" s="88"/>
      <c r="D685" s="89"/>
      <c r="E685" s="90"/>
      <c r="F685" s="90"/>
      <c r="G685" s="91"/>
      <c r="H685" s="91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2"/>
      <c r="AG685" s="90"/>
      <c r="AH685" s="90"/>
      <c r="AI685" s="90"/>
      <c r="AJ685" s="90"/>
      <c r="AK685" s="90"/>
      <c r="AL685" s="90"/>
      <c r="AM685" s="90"/>
      <c r="AN685" s="90"/>
      <c r="AO685" s="90"/>
      <c r="AP685" s="90"/>
      <c r="AQ685" s="93"/>
      <c r="AR685" s="93"/>
      <c r="AS685" s="94"/>
      <c r="AT685" s="93"/>
      <c r="AU685" s="93"/>
      <c r="AV685" s="93"/>
    </row>
    <row r="686" spans="1:48" ht="12.75" customHeight="1" x14ac:dyDescent="0.2">
      <c r="A686" s="86"/>
      <c r="B686" s="87"/>
      <c r="C686" s="88"/>
      <c r="D686" s="89"/>
      <c r="E686" s="90"/>
      <c r="F686" s="90"/>
      <c r="G686" s="91"/>
      <c r="H686" s="91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2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93"/>
      <c r="AR686" s="93"/>
      <c r="AS686" s="94"/>
      <c r="AT686" s="93"/>
      <c r="AU686" s="93"/>
      <c r="AV686" s="93"/>
    </row>
    <row r="687" spans="1:48" ht="12.75" customHeight="1" x14ac:dyDescent="0.2">
      <c r="A687" s="86"/>
      <c r="B687" s="87"/>
      <c r="C687" s="88"/>
      <c r="D687" s="89"/>
      <c r="E687" s="90"/>
      <c r="F687" s="90"/>
      <c r="G687" s="91"/>
      <c r="H687" s="91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2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3"/>
      <c r="AR687" s="93"/>
      <c r="AS687" s="94"/>
      <c r="AT687" s="93"/>
      <c r="AU687" s="93"/>
      <c r="AV687" s="93"/>
    </row>
    <row r="688" spans="1:48" ht="12.75" customHeight="1" x14ac:dyDescent="0.2">
      <c r="A688" s="86"/>
      <c r="B688" s="87"/>
      <c r="C688" s="88"/>
      <c r="D688" s="89"/>
      <c r="E688" s="90"/>
      <c r="F688" s="90"/>
      <c r="G688" s="91"/>
      <c r="H688" s="91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2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93"/>
      <c r="AR688" s="93"/>
      <c r="AS688" s="94"/>
      <c r="AT688" s="93"/>
      <c r="AU688" s="93"/>
      <c r="AV688" s="93"/>
    </row>
    <row r="689" spans="1:48" ht="12.75" customHeight="1" x14ac:dyDescent="0.2">
      <c r="A689" s="86"/>
      <c r="B689" s="87"/>
      <c r="C689" s="88"/>
      <c r="D689" s="89"/>
      <c r="E689" s="90"/>
      <c r="F689" s="90"/>
      <c r="G689" s="91"/>
      <c r="H689" s="91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2"/>
      <c r="AG689" s="90"/>
      <c r="AH689" s="90"/>
      <c r="AI689" s="90"/>
      <c r="AJ689" s="90"/>
      <c r="AK689" s="90"/>
      <c r="AL689" s="90"/>
      <c r="AM689" s="90"/>
      <c r="AN689" s="90"/>
      <c r="AO689" s="90"/>
      <c r="AP689" s="90"/>
      <c r="AQ689" s="93"/>
      <c r="AR689" s="93"/>
      <c r="AS689" s="94"/>
      <c r="AT689" s="93"/>
      <c r="AU689" s="93"/>
      <c r="AV689" s="93"/>
    </row>
    <row r="690" spans="1:48" ht="12.75" customHeight="1" x14ac:dyDescent="0.2">
      <c r="A690" s="86"/>
      <c r="B690" s="87"/>
      <c r="C690" s="88"/>
      <c r="D690" s="89"/>
      <c r="E690" s="90"/>
      <c r="F690" s="90"/>
      <c r="G690" s="91"/>
      <c r="H690" s="91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2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93"/>
      <c r="AR690" s="93"/>
      <c r="AS690" s="94"/>
      <c r="AT690" s="93"/>
      <c r="AU690" s="93"/>
      <c r="AV690" s="93"/>
    </row>
    <row r="691" spans="1:48" ht="12.75" customHeight="1" x14ac:dyDescent="0.2">
      <c r="A691" s="86"/>
      <c r="B691" s="87"/>
      <c r="C691" s="88"/>
      <c r="D691" s="89"/>
      <c r="E691" s="90"/>
      <c r="F691" s="90"/>
      <c r="G691" s="91"/>
      <c r="H691" s="91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2"/>
      <c r="AG691" s="90"/>
      <c r="AH691" s="90"/>
      <c r="AI691" s="90"/>
      <c r="AJ691" s="90"/>
      <c r="AK691" s="90"/>
      <c r="AL691" s="90"/>
      <c r="AM691" s="90"/>
      <c r="AN691" s="90"/>
      <c r="AO691" s="90"/>
      <c r="AP691" s="90"/>
      <c r="AQ691" s="93"/>
      <c r="AR691" s="93"/>
      <c r="AS691" s="94"/>
      <c r="AT691" s="93"/>
      <c r="AU691" s="93"/>
      <c r="AV691" s="93"/>
    </row>
    <row r="692" spans="1:48" ht="12.75" customHeight="1" x14ac:dyDescent="0.2">
      <c r="A692" s="86"/>
      <c r="B692" s="87"/>
      <c r="C692" s="88"/>
      <c r="D692" s="89"/>
      <c r="E692" s="90"/>
      <c r="F692" s="90"/>
      <c r="G692" s="91"/>
      <c r="H692" s="91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2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93"/>
      <c r="AR692" s="93"/>
      <c r="AS692" s="94"/>
      <c r="AT692" s="93"/>
      <c r="AU692" s="93"/>
      <c r="AV692" s="93"/>
    </row>
    <row r="693" spans="1:48" ht="12.75" customHeight="1" x14ac:dyDescent="0.2">
      <c r="A693" s="86"/>
      <c r="B693" s="87"/>
      <c r="C693" s="88"/>
      <c r="D693" s="89"/>
      <c r="E693" s="90"/>
      <c r="F693" s="90"/>
      <c r="G693" s="91"/>
      <c r="H693" s="91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2"/>
      <c r="AG693" s="90"/>
      <c r="AH693" s="90"/>
      <c r="AI693" s="90"/>
      <c r="AJ693" s="90"/>
      <c r="AK693" s="90"/>
      <c r="AL693" s="90"/>
      <c r="AM693" s="90"/>
      <c r="AN693" s="90"/>
      <c r="AO693" s="90"/>
      <c r="AP693" s="90"/>
      <c r="AQ693" s="93"/>
      <c r="AR693" s="93"/>
      <c r="AS693" s="94"/>
      <c r="AT693" s="93"/>
      <c r="AU693" s="93"/>
      <c r="AV693" s="93"/>
    </row>
    <row r="694" spans="1:48" ht="12.75" customHeight="1" x14ac:dyDescent="0.2">
      <c r="A694" s="86"/>
      <c r="B694" s="87"/>
      <c r="C694" s="88"/>
      <c r="D694" s="89"/>
      <c r="E694" s="90"/>
      <c r="F694" s="90"/>
      <c r="G694" s="91"/>
      <c r="H694" s="91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2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93"/>
      <c r="AR694" s="93"/>
      <c r="AS694" s="94"/>
      <c r="AT694" s="93"/>
      <c r="AU694" s="93"/>
      <c r="AV694" s="93"/>
    </row>
    <row r="695" spans="1:48" ht="12.75" customHeight="1" x14ac:dyDescent="0.2">
      <c r="A695" s="86"/>
      <c r="B695" s="87"/>
      <c r="C695" s="88"/>
      <c r="D695" s="89"/>
      <c r="E695" s="90"/>
      <c r="F695" s="90"/>
      <c r="G695" s="91"/>
      <c r="H695" s="91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2"/>
      <c r="AG695" s="90"/>
      <c r="AH695" s="90"/>
      <c r="AI695" s="90"/>
      <c r="AJ695" s="90"/>
      <c r="AK695" s="90"/>
      <c r="AL695" s="90"/>
      <c r="AM695" s="90"/>
      <c r="AN695" s="90"/>
      <c r="AO695" s="90"/>
      <c r="AP695" s="90"/>
      <c r="AQ695" s="93"/>
      <c r="AR695" s="93"/>
      <c r="AS695" s="94"/>
      <c r="AT695" s="93"/>
      <c r="AU695" s="93"/>
      <c r="AV695" s="93"/>
    </row>
    <row r="696" spans="1:48" ht="12.75" customHeight="1" x14ac:dyDescent="0.2">
      <c r="A696" s="86"/>
      <c r="B696" s="87"/>
      <c r="C696" s="88"/>
      <c r="D696" s="89"/>
      <c r="E696" s="90"/>
      <c r="F696" s="90"/>
      <c r="G696" s="91"/>
      <c r="H696" s="91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2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3"/>
      <c r="AR696" s="93"/>
      <c r="AS696" s="94"/>
      <c r="AT696" s="93"/>
      <c r="AU696" s="93"/>
      <c r="AV696" s="93"/>
    </row>
    <row r="697" spans="1:48" ht="12.75" customHeight="1" x14ac:dyDescent="0.2">
      <c r="A697" s="86"/>
      <c r="B697" s="87"/>
      <c r="C697" s="88"/>
      <c r="D697" s="89"/>
      <c r="E697" s="90"/>
      <c r="F697" s="90"/>
      <c r="G697" s="91"/>
      <c r="H697" s="91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2"/>
      <c r="AG697" s="90"/>
      <c r="AH697" s="90"/>
      <c r="AI697" s="90"/>
      <c r="AJ697" s="90"/>
      <c r="AK697" s="90"/>
      <c r="AL697" s="90"/>
      <c r="AM697" s="90"/>
      <c r="AN697" s="90"/>
      <c r="AO697" s="90"/>
      <c r="AP697" s="90"/>
      <c r="AQ697" s="93"/>
      <c r="AR697" s="93"/>
      <c r="AS697" s="94"/>
      <c r="AT697" s="93"/>
      <c r="AU697" s="93"/>
      <c r="AV697" s="93"/>
    </row>
    <row r="698" spans="1:48" ht="12.75" customHeight="1" x14ac:dyDescent="0.2">
      <c r="A698" s="86"/>
      <c r="B698" s="87"/>
      <c r="C698" s="88"/>
      <c r="D698" s="89"/>
      <c r="E698" s="90"/>
      <c r="F698" s="90"/>
      <c r="G698" s="91"/>
      <c r="H698" s="91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2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3"/>
      <c r="AR698" s="93"/>
      <c r="AS698" s="94"/>
      <c r="AT698" s="93"/>
      <c r="AU698" s="93"/>
      <c r="AV698" s="93"/>
    </row>
    <row r="699" spans="1:48" ht="12.75" customHeight="1" x14ac:dyDescent="0.2">
      <c r="A699" s="86"/>
      <c r="B699" s="87"/>
      <c r="C699" s="88"/>
      <c r="D699" s="89"/>
      <c r="E699" s="90"/>
      <c r="F699" s="90"/>
      <c r="G699" s="91"/>
      <c r="H699" s="91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2"/>
      <c r="AG699" s="90"/>
      <c r="AH699" s="90"/>
      <c r="AI699" s="90"/>
      <c r="AJ699" s="90"/>
      <c r="AK699" s="90"/>
      <c r="AL699" s="90"/>
      <c r="AM699" s="90"/>
      <c r="AN699" s="90"/>
      <c r="AO699" s="90"/>
      <c r="AP699" s="90"/>
      <c r="AQ699" s="93"/>
      <c r="AR699" s="93"/>
      <c r="AS699" s="94"/>
      <c r="AT699" s="93"/>
      <c r="AU699" s="93"/>
      <c r="AV699" s="93"/>
    </row>
    <row r="700" spans="1:48" ht="12.75" customHeight="1" x14ac:dyDescent="0.2">
      <c r="A700" s="86"/>
      <c r="B700" s="87"/>
      <c r="C700" s="88"/>
      <c r="D700" s="89"/>
      <c r="E700" s="90"/>
      <c r="F700" s="90"/>
      <c r="G700" s="91"/>
      <c r="H700" s="91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2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3"/>
      <c r="AR700" s="93"/>
      <c r="AS700" s="94"/>
      <c r="AT700" s="93"/>
      <c r="AU700" s="93"/>
      <c r="AV700" s="93"/>
    </row>
    <row r="701" spans="1:48" ht="12.75" customHeight="1" x14ac:dyDescent="0.2">
      <c r="A701" s="86"/>
      <c r="B701" s="87"/>
      <c r="C701" s="88"/>
      <c r="D701" s="89"/>
      <c r="E701" s="90"/>
      <c r="F701" s="90"/>
      <c r="G701" s="91"/>
      <c r="H701" s="91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2"/>
      <c r="AG701" s="90"/>
      <c r="AH701" s="90"/>
      <c r="AI701" s="90"/>
      <c r="AJ701" s="90"/>
      <c r="AK701" s="90"/>
      <c r="AL701" s="90"/>
      <c r="AM701" s="90"/>
      <c r="AN701" s="90"/>
      <c r="AO701" s="90"/>
      <c r="AP701" s="90"/>
      <c r="AQ701" s="93"/>
      <c r="AR701" s="93"/>
      <c r="AS701" s="94"/>
      <c r="AT701" s="93"/>
      <c r="AU701" s="93"/>
      <c r="AV701" s="93"/>
    </row>
    <row r="702" spans="1:48" ht="12.75" customHeight="1" x14ac:dyDescent="0.2">
      <c r="A702" s="86"/>
      <c r="B702" s="87"/>
      <c r="C702" s="88"/>
      <c r="D702" s="89"/>
      <c r="E702" s="90"/>
      <c r="F702" s="90"/>
      <c r="G702" s="91"/>
      <c r="H702" s="91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2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93"/>
      <c r="AR702" s="93"/>
      <c r="AS702" s="94"/>
      <c r="AT702" s="93"/>
      <c r="AU702" s="93"/>
      <c r="AV702" s="93"/>
    </row>
    <row r="703" spans="1:48" ht="12.75" customHeight="1" x14ac:dyDescent="0.2">
      <c r="A703" s="86"/>
      <c r="B703" s="87"/>
      <c r="C703" s="88"/>
      <c r="D703" s="89"/>
      <c r="E703" s="90"/>
      <c r="F703" s="90"/>
      <c r="G703" s="91"/>
      <c r="H703" s="91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2"/>
      <c r="AG703" s="90"/>
      <c r="AH703" s="90"/>
      <c r="AI703" s="90"/>
      <c r="AJ703" s="90"/>
      <c r="AK703" s="90"/>
      <c r="AL703" s="90"/>
      <c r="AM703" s="90"/>
      <c r="AN703" s="90"/>
      <c r="AO703" s="90"/>
      <c r="AP703" s="90"/>
      <c r="AQ703" s="93"/>
      <c r="AR703" s="93"/>
      <c r="AS703" s="94"/>
      <c r="AT703" s="93"/>
      <c r="AU703" s="93"/>
      <c r="AV703" s="93"/>
    </row>
    <row r="704" spans="1:48" ht="12.75" customHeight="1" x14ac:dyDescent="0.2">
      <c r="A704" s="86"/>
      <c r="B704" s="87"/>
      <c r="C704" s="88"/>
      <c r="D704" s="89"/>
      <c r="E704" s="90"/>
      <c r="F704" s="90"/>
      <c r="G704" s="91"/>
      <c r="H704" s="91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2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  <c r="AQ704" s="93"/>
      <c r="AR704" s="93"/>
      <c r="AS704" s="94"/>
      <c r="AT704" s="93"/>
      <c r="AU704" s="93"/>
      <c r="AV704" s="93"/>
    </row>
    <row r="705" spans="1:48" ht="12.75" customHeight="1" x14ac:dyDescent="0.2">
      <c r="A705" s="86"/>
      <c r="B705" s="87"/>
      <c r="C705" s="88"/>
      <c r="D705" s="89"/>
      <c r="E705" s="90"/>
      <c r="F705" s="90"/>
      <c r="G705" s="91"/>
      <c r="H705" s="91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2"/>
      <c r="AG705" s="90"/>
      <c r="AH705" s="90"/>
      <c r="AI705" s="90"/>
      <c r="AJ705" s="90"/>
      <c r="AK705" s="90"/>
      <c r="AL705" s="90"/>
      <c r="AM705" s="90"/>
      <c r="AN705" s="90"/>
      <c r="AO705" s="90"/>
      <c r="AP705" s="90"/>
      <c r="AQ705" s="93"/>
      <c r="AR705" s="93"/>
      <c r="AS705" s="94"/>
      <c r="AT705" s="93"/>
      <c r="AU705" s="93"/>
      <c r="AV705" s="93"/>
    </row>
    <row r="706" spans="1:48" ht="12.75" customHeight="1" x14ac:dyDescent="0.2">
      <c r="A706" s="86"/>
      <c r="B706" s="87"/>
      <c r="C706" s="88"/>
      <c r="D706" s="89"/>
      <c r="E706" s="90"/>
      <c r="F706" s="90"/>
      <c r="G706" s="91"/>
      <c r="H706" s="91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2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  <c r="AQ706" s="93"/>
      <c r="AR706" s="93"/>
      <c r="AS706" s="94"/>
      <c r="AT706" s="93"/>
      <c r="AU706" s="93"/>
      <c r="AV706" s="93"/>
    </row>
    <row r="707" spans="1:48" ht="12.75" customHeight="1" x14ac:dyDescent="0.2">
      <c r="A707" s="86"/>
      <c r="B707" s="87"/>
      <c r="C707" s="88"/>
      <c r="D707" s="89"/>
      <c r="E707" s="90"/>
      <c r="F707" s="90"/>
      <c r="G707" s="91"/>
      <c r="H707" s="91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2"/>
      <c r="AG707" s="90"/>
      <c r="AH707" s="90"/>
      <c r="AI707" s="90"/>
      <c r="AJ707" s="90"/>
      <c r="AK707" s="90"/>
      <c r="AL707" s="90"/>
      <c r="AM707" s="90"/>
      <c r="AN707" s="90"/>
      <c r="AO707" s="90"/>
      <c r="AP707" s="90"/>
      <c r="AQ707" s="93"/>
      <c r="AR707" s="93"/>
      <c r="AS707" s="94"/>
      <c r="AT707" s="93"/>
      <c r="AU707" s="93"/>
      <c r="AV707" s="93"/>
    </row>
    <row r="708" spans="1:48" ht="12.75" customHeight="1" x14ac:dyDescent="0.2">
      <c r="A708" s="86"/>
      <c r="B708" s="87"/>
      <c r="C708" s="88"/>
      <c r="D708" s="89"/>
      <c r="E708" s="90"/>
      <c r="F708" s="90"/>
      <c r="G708" s="91"/>
      <c r="H708" s="91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2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3"/>
      <c r="AR708" s="93"/>
      <c r="AS708" s="94"/>
      <c r="AT708" s="93"/>
      <c r="AU708" s="93"/>
      <c r="AV708" s="93"/>
    </row>
    <row r="709" spans="1:48" ht="12.75" customHeight="1" x14ac:dyDescent="0.2">
      <c r="A709" s="86"/>
      <c r="B709" s="87"/>
      <c r="C709" s="88"/>
      <c r="D709" s="89"/>
      <c r="E709" s="90"/>
      <c r="F709" s="90"/>
      <c r="G709" s="91"/>
      <c r="H709" s="91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2"/>
      <c r="AG709" s="90"/>
      <c r="AH709" s="90"/>
      <c r="AI709" s="90"/>
      <c r="AJ709" s="90"/>
      <c r="AK709" s="90"/>
      <c r="AL709" s="90"/>
      <c r="AM709" s="90"/>
      <c r="AN709" s="90"/>
      <c r="AO709" s="90"/>
      <c r="AP709" s="90"/>
      <c r="AQ709" s="93"/>
      <c r="AR709" s="93"/>
      <c r="AS709" s="94"/>
      <c r="AT709" s="93"/>
      <c r="AU709" s="93"/>
      <c r="AV709" s="93"/>
    </row>
    <row r="710" spans="1:48" ht="12.75" customHeight="1" x14ac:dyDescent="0.2">
      <c r="A710" s="86"/>
      <c r="B710" s="87"/>
      <c r="C710" s="88"/>
      <c r="D710" s="89"/>
      <c r="E710" s="90"/>
      <c r="F710" s="90"/>
      <c r="G710" s="91"/>
      <c r="H710" s="91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2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93"/>
      <c r="AR710" s="93"/>
      <c r="AS710" s="94"/>
      <c r="AT710" s="93"/>
      <c r="AU710" s="93"/>
      <c r="AV710" s="93"/>
    </row>
    <row r="711" spans="1:48" ht="12.75" customHeight="1" x14ac:dyDescent="0.2">
      <c r="A711" s="86"/>
      <c r="B711" s="87"/>
      <c r="C711" s="88"/>
      <c r="D711" s="89"/>
      <c r="E711" s="90"/>
      <c r="F711" s="90"/>
      <c r="G711" s="91"/>
      <c r="H711" s="91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2"/>
      <c r="AG711" s="90"/>
      <c r="AH711" s="90"/>
      <c r="AI711" s="90"/>
      <c r="AJ711" s="90"/>
      <c r="AK711" s="90"/>
      <c r="AL711" s="90"/>
      <c r="AM711" s="90"/>
      <c r="AN711" s="90"/>
      <c r="AO711" s="90"/>
      <c r="AP711" s="90"/>
      <c r="AQ711" s="93"/>
      <c r="AR711" s="93"/>
      <c r="AS711" s="94"/>
      <c r="AT711" s="93"/>
      <c r="AU711" s="93"/>
      <c r="AV711" s="93"/>
    </row>
    <row r="712" spans="1:48" ht="12.75" customHeight="1" x14ac:dyDescent="0.2">
      <c r="A712" s="86"/>
      <c r="B712" s="87"/>
      <c r="C712" s="88"/>
      <c r="D712" s="89"/>
      <c r="E712" s="90"/>
      <c r="F712" s="90"/>
      <c r="G712" s="91"/>
      <c r="H712" s="91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2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93"/>
      <c r="AR712" s="93"/>
      <c r="AS712" s="94"/>
      <c r="AT712" s="93"/>
      <c r="AU712" s="93"/>
      <c r="AV712" s="93"/>
    </row>
    <row r="713" spans="1:48" ht="12.75" customHeight="1" x14ac:dyDescent="0.2">
      <c r="A713" s="86"/>
      <c r="B713" s="87"/>
      <c r="C713" s="88"/>
      <c r="D713" s="89"/>
      <c r="E713" s="90"/>
      <c r="F713" s="90"/>
      <c r="G713" s="91"/>
      <c r="H713" s="91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2"/>
      <c r="AG713" s="90"/>
      <c r="AH713" s="90"/>
      <c r="AI713" s="90"/>
      <c r="AJ713" s="90"/>
      <c r="AK713" s="90"/>
      <c r="AL713" s="90"/>
      <c r="AM713" s="90"/>
      <c r="AN713" s="90"/>
      <c r="AO713" s="90"/>
      <c r="AP713" s="90"/>
      <c r="AQ713" s="93"/>
      <c r="AR713" s="93"/>
      <c r="AS713" s="94"/>
      <c r="AT713" s="93"/>
      <c r="AU713" s="93"/>
      <c r="AV713" s="93"/>
    </row>
    <row r="714" spans="1:48" ht="12.75" customHeight="1" x14ac:dyDescent="0.2">
      <c r="A714" s="86"/>
      <c r="B714" s="87"/>
      <c r="C714" s="88"/>
      <c r="D714" s="89"/>
      <c r="E714" s="90"/>
      <c r="F714" s="90"/>
      <c r="G714" s="91"/>
      <c r="H714" s="91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2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93"/>
      <c r="AR714" s="93"/>
      <c r="AS714" s="94"/>
      <c r="AT714" s="93"/>
      <c r="AU714" s="93"/>
      <c r="AV714" s="93"/>
    </row>
    <row r="715" spans="1:48" ht="12.75" customHeight="1" x14ac:dyDescent="0.2">
      <c r="A715" s="86"/>
      <c r="B715" s="87"/>
      <c r="C715" s="88"/>
      <c r="D715" s="89"/>
      <c r="E715" s="90"/>
      <c r="F715" s="90"/>
      <c r="G715" s="91"/>
      <c r="H715" s="91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2"/>
      <c r="AG715" s="90"/>
      <c r="AH715" s="90"/>
      <c r="AI715" s="90"/>
      <c r="AJ715" s="90"/>
      <c r="AK715" s="90"/>
      <c r="AL715" s="90"/>
      <c r="AM715" s="90"/>
      <c r="AN715" s="90"/>
      <c r="AO715" s="90"/>
      <c r="AP715" s="90"/>
      <c r="AQ715" s="93"/>
      <c r="AR715" s="93"/>
      <c r="AS715" s="94"/>
      <c r="AT715" s="93"/>
      <c r="AU715" s="93"/>
      <c r="AV715" s="93"/>
    </row>
    <row r="716" spans="1:48" ht="12.75" customHeight="1" x14ac:dyDescent="0.2">
      <c r="A716" s="86"/>
      <c r="B716" s="87"/>
      <c r="C716" s="88"/>
      <c r="D716" s="89"/>
      <c r="E716" s="90"/>
      <c r="F716" s="90"/>
      <c r="G716" s="91"/>
      <c r="H716" s="91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2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3"/>
      <c r="AR716" s="93"/>
      <c r="AS716" s="94"/>
      <c r="AT716" s="93"/>
      <c r="AU716" s="93"/>
      <c r="AV716" s="93"/>
    </row>
    <row r="717" spans="1:48" ht="12.75" customHeight="1" x14ac:dyDescent="0.2">
      <c r="A717" s="86"/>
      <c r="B717" s="87"/>
      <c r="C717" s="88"/>
      <c r="D717" s="89"/>
      <c r="E717" s="90"/>
      <c r="F717" s="90"/>
      <c r="G717" s="91"/>
      <c r="H717" s="91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2"/>
      <c r="AG717" s="90"/>
      <c r="AH717" s="90"/>
      <c r="AI717" s="90"/>
      <c r="AJ717" s="90"/>
      <c r="AK717" s="90"/>
      <c r="AL717" s="90"/>
      <c r="AM717" s="90"/>
      <c r="AN717" s="90"/>
      <c r="AO717" s="90"/>
      <c r="AP717" s="90"/>
      <c r="AQ717" s="93"/>
      <c r="AR717" s="93"/>
      <c r="AS717" s="94"/>
      <c r="AT717" s="93"/>
      <c r="AU717" s="93"/>
      <c r="AV717" s="93"/>
    </row>
    <row r="718" spans="1:48" ht="12.75" customHeight="1" x14ac:dyDescent="0.2">
      <c r="A718" s="86"/>
      <c r="B718" s="87"/>
      <c r="C718" s="88"/>
      <c r="D718" s="89"/>
      <c r="E718" s="90"/>
      <c r="F718" s="90"/>
      <c r="G718" s="91"/>
      <c r="H718" s="91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2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3"/>
      <c r="AR718" s="93"/>
      <c r="AS718" s="94"/>
      <c r="AT718" s="93"/>
      <c r="AU718" s="93"/>
      <c r="AV718" s="93"/>
    </row>
    <row r="719" spans="1:48" ht="12.75" customHeight="1" x14ac:dyDescent="0.2">
      <c r="A719" s="86"/>
      <c r="B719" s="87"/>
      <c r="C719" s="88"/>
      <c r="D719" s="89"/>
      <c r="E719" s="90"/>
      <c r="F719" s="90"/>
      <c r="G719" s="91"/>
      <c r="H719" s="91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2"/>
      <c r="AG719" s="90"/>
      <c r="AH719" s="90"/>
      <c r="AI719" s="90"/>
      <c r="AJ719" s="90"/>
      <c r="AK719" s="90"/>
      <c r="AL719" s="90"/>
      <c r="AM719" s="90"/>
      <c r="AN719" s="90"/>
      <c r="AO719" s="90"/>
      <c r="AP719" s="90"/>
      <c r="AQ719" s="93"/>
      <c r="AR719" s="93"/>
      <c r="AS719" s="94"/>
      <c r="AT719" s="93"/>
      <c r="AU719" s="93"/>
      <c r="AV719" s="93"/>
    </row>
    <row r="720" spans="1:48" ht="12.75" customHeight="1" x14ac:dyDescent="0.2">
      <c r="A720" s="86"/>
      <c r="B720" s="87"/>
      <c r="C720" s="88"/>
      <c r="D720" s="89"/>
      <c r="E720" s="90"/>
      <c r="F720" s="90"/>
      <c r="G720" s="91"/>
      <c r="H720" s="91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2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3"/>
      <c r="AR720" s="93"/>
      <c r="AS720" s="94"/>
      <c r="AT720" s="93"/>
      <c r="AU720" s="93"/>
      <c r="AV720" s="93"/>
    </row>
    <row r="721" spans="1:48" ht="12.75" customHeight="1" x14ac:dyDescent="0.2">
      <c r="A721" s="86"/>
      <c r="B721" s="87"/>
      <c r="C721" s="88"/>
      <c r="D721" s="89"/>
      <c r="E721" s="90"/>
      <c r="F721" s="90"/>
      <c r="G721" s="91"/>
      <c r="H721" s="91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2"/>
      <c r="AG721" s="90"/>
      <c r="AH721" s="90"/>
      <c r="AI721" s="90"/>
      <c r="AJ721" s="90"/>
      <c r="AK721" s="90"/>
      <c r="AL721" s="90"/>
      <c r="AM721" s="90"/>
      <c r="AN721" s="90"/>
      <c r="AO721" s="90"/>
      <c r="AP721" s="90"/>
      <c r="AQ721" s="93"/>
      <c r="AR721" s="93"/>
      <c r="AS721" s="94"/>
      <c r="AT721" s="93"/>
      <c r="AU721" s="93"/>
      <c r="AV721" s="93"/>
    </row>
    <row r="722" spans="1:48" ht="12.75" customHeight="1" x14ac:dyDescent="0.2">
      <c r="A722" s="86"/>
      <c r="B722" s="87"/>
      <c r="C722" s="88"/>
      <c r="D722" s="89"/>
      <c r="E722" s="90"/>
      <c r="F722" s="90"/>
      <c r="G722" s="91"/>
      <c r="H722" s="91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2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93"/>
      <c r="AR722" s="93"/>
      <c r="AS722" s="94"/>
      <c r="AT722" s="93"/>
      <c r="AU722" s="93"/>
      <c r="AV722" s="93"/>
    </row>
    <row r="723" spans="1:48" ht="12.75" customHeight="1" x14ac:dyDescent="0.2">
      <c r="A723" s="86"/>
      <c r="B723" s="87"/>
      <c r="C723" s="88"/>
      <c r="D723" s="89"/>
      <c r="E723" s="90"/>
      <c r="F723" s="90"/>
      <c r="G723" s="91"/>
      <c r="H723" s="91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2"/>
      <c r="AG723" s="90"/>
      <c r="AH723" s="90"/>
      <c r="AI723" s="90"/>
      <c r="AJ723" s="90"/>
      <c r="AK723" s="90"/>
      <c r="AL723" s="90"/>
      <c r="AM723" s="90"/>
      <c r="AN723" s="90"/>
      <c r="AO723" s="90"/>
      <c r="AP723" s="90"/>
      <c r="AQ723" s="93"/>
      <c r="AR723" s="93"/>
      <c r="AS723" s="94"/>
      <c r="AT723" s="93"/>
      <c r="AU723" s="93"/>
      <c r="AV723" s="93"/>
    </row>
    <row r="724" spans="1:48" ht="12.75" customHeight="1" x14ac:dyDescent="0.2">
      <c r="A724" s="86"/>
      <c r="B724" s="87"/>
      <c r="C724" s="88"/>
      <c r="D724" s="89"/>
      <c r="E724" s="90"/>
      <c r="F724" s="90"/>
      <c r="G724" s="91"/>
      <c r="H724" s="91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2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3"/>
      <c r="AR724" s="93"/>
      <c r="AS724" s="94"/>
      <c r="AT724" s="93"/>
      <c r="AU724" s="93"/>
      <c r="AV724" s="93"/>
    </row>
    <row r="725" spans="1:48" ht="12.75" customHeight="1" x14ac:dyDescent="0.2">
      <c r="A725" s="86"/>
      <c r="B725" s="87"/>
      <c r="C725" s="88"/>
      <c r="D725" s="89"/>
      <c r="E725" s="90"/>
      <c r="F725" s="90"/>
      <c r="G725" s="91"/>
      <c r="H725" s="91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2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3"/>
      <c r="AR725" s="93"/>
      <c r="AS725" s="94"/>
      <c r="AT725" s="93"/>
      <c r="AU725" s="93"/>
      <c r="AV725" s="93"/>
    </row>
    <row r="726" spans="1:48" ht="12.75" customHeight="1" x14ac:dyDescent="0.2">
      <c r="A726" s="86"/>
      <c r="B726" s="87"/>
      <c r="C726" s="88"/>
      <c r="D726" s="89"/>
      <c r="E726" s="90"/>
      <c r="F726" s="90"/>
      <c r="G726" s="91"/>
      <c r="H726" s="91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2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  <c r="AQ726" s="93"/>
      <c r="AR726" s="93"/>
      <c r="AS726" s="94"/>
      <c r="AT726" s="93"/>
      <c r="AU726" s="93"/>
      <c r="AV726" s="93"/>
    </row>
    <row r="727" spans="1:48" ht="12.75" customHeight="1" x14ac:dyDescent="0.2">
      <c r="A727" s="86"/>
      <c r="B727" s="87"/>
      <c r="C727" s="88"/>
      <c r="D727" s="89"/>
      <c r="E727" s="90"/>
      <c r="F727" s="90"/>
      <c r="G727" s="91"/>
      <c r="H727" s="91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2"/>
      <c r="AG727" s="90"/>
      <c r="AH727" s="90"/>
      <c r="AI727" s="90"/>
      <c r="AJ727" s="90"/>
      <c r="AK727" s="90"/>
      <c r="AL727" s="90"/>
      <c r="AM727" s="90"/>
      <c r="AN727" s="90"/>
      <c r="AO727" s="90"/>
      <c r="AP727" s="90"/>
      <c r="AQ727" s="93"/>
      <c r="AR727" s="93"/>
      <c r="AS727" s="94"/>
      <c r="AT727" s="93"/>
      <c r="AU727" s="93"/>
      <c r="AV727" s="93"/>
    </row>
    <row r="728" spans="1:48" ht="12.75" customHeight="1" x14ac:dyDescent="0.2">
      <c r="A728" s="86"/>
      <c r="B728" s="87"/>
      <c r="C728" s="88"/>
      <c r="D728" s="89"/>
      <c r="E728" s="90"/>
      <c r="F728" s="90"/>
      <c r="G728" s="91"/>
      <c r="H728" s="91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2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93"/>
      <c r="AR728" s="93"/>
      <c r="AS728" s="94"/>
      <c r="AT728" s="93"/>
      <c r="AU728" s="93"/>
      <c r="AV728" s="93"/>
    </row>
    <row r="729" spans="1:48" ht="12.75" customHeight="1" x14ac:dyDescent="0.2">
      <c r="A729" s="86"/>
      <c r="B729" s="87"/>
      <c r="C729" s="88"/>
      <c r="D729" s="89"/>
      <c r="E729" s="90"/>
      <c r="F729" s="90"/>
      <c r="G729" s="91"/>
      <c r="H729" s="91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2"/>
      <c r="AG729" s="90"/>
      <c r="AH729" s="90"/>
      <c r="AI729" s="90"/>
      <c r="AJ729" s="90"/>
      <c r="AK729" s="90"/>
      <c r="AL729" s="90"/>
      <c r="AM729" s="90"/>
      <c r="AN729" s="90"/>
      <c r="AO729" s="90"/>
      <c r="AP729" s="90"/>
      <c r="AQ729" s="93"/>
      <c r="AR729" s="93"/>
      <c r="AS729" s="94"/>
      <c r="AT729" s="93"/>
      <c r="AU729" s="93"/>
      <c r="AV729" s="93"/>
    </row>
    <row r="730" spans="1:48" ht="12.75" customHeight="1" x14ac:dyDescent="0.2">
      <c r="A730" s="86"/>
      <c r="B730" s="87"/>
      <c r="C730" s="88"/>
      <c r="D730" s="89"/>
      <c r="E730" s="90"/>
      <c r="F730" s="90"/>
      <c r="G730" s="91"/>
      <c r="H730" s="91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2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3"/>
      <c r="AR730" s="93"/>
      <c r="AS730" s="94"/>
      <c r="AT730" s="93"/>
      <c r="AU730" s="93"/>
      <c r="AV730" s="93"/>
    </row>
    <row r="731" spans="1:48" ht="12.75" customHeight="1" x14ac:dyDescent="0.2">
      <c r="A731" s="86"/>
      <c r="B731" s="87"/>
      <c r="C731" s="88"/>
      <c r="D731" s="89"/>
      <c r="E731" s="90"/>
      <c r="F731" s="90"/>
      <c r="G731" s="91"/>
      <c r="H731" s="91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2"/>
      <c r="AG731" s="90"/>
      <c r="AH731" s="90"/>
      <c r="AI731" s="90"/>
      <c r="AJ731" s="90"/>
      <c r="AK731" s="90"/>
      <c r="AL731" s="90"/>
      <c r="AM731" s="90"/>
      <c r="AN731" s="90"/>
      <c r="AO731" s="90"/>
      <c r="AP731" s="90"/>
      <c r="AQ731" s="93"/>
      <c r="AR731" s="93"/>
      <c r="AS731" s="94"/>
      <c r="AT731" s="93"/>
      <c r="AU731" s="93"/>
      <c r="AV731" s="93"/>
    </row>
    <row r="732" spans="1:48" ht="12.75" customHeight="1" x14ac:dyDescent="0.2">
      <c r="A732" s="86"/>
      <c r="B732" s="87"/>
      <c r="C732" s="88"/>
      <c r="D732" s="89"/>
      <c r="E732" s="90"/>
      <c r="F732" s="90"/>
      <c r="G732" s="91"/>
      <c r="H732" s="91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2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  <c r="AQ732" s="93"/>
      <c r="AR732" s="93"/>
      <c r="AS732" s="94"/>
      <c r="AT732" s="93"/>
      <c r="AU732" s="93"/>
      <c r="AV732" s="93"/>
    </row>
    <row r="733" spans="1:48" ht="12.75" customHeight="1" x14ac:dyDescent="0.2">
      <c r="A733" s="86"/>
      <c r="B733" s="87"/>
      <c r="C733" s="88"/>
      <c r="D733" s="89"/>
      <c r="E733" s="90"/>
      <c r="F733" s="90"/>
      <c r="G733" s="91"/>
      <c r="H733" s="91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2"/>
      <c r="AG733" s="90"/>
      <c r="AH733" s="90"/>
      <c r="AI733" s="90"/>
      <c r="AJ733" s="90"/>
      <c r="AK733" s="90"/>
      <c r="AL733" s="90"/>
      <c r="AM733" s="90"/>
      <c r="AN733" s="90"/>
      <c r="AO733" s="90"/>
      <c r="AP733" s="90"/>
      <c r="AQ733" s="93"/>
      <c r="AR733" s="93"/>
      <c r="AS733" s="94"/>
      <c r="AT733" s="93"/>
      <c r="AU733" s="93"/>
      <c r="AV733" s="93"/>
    </row>
    <row r="734" spans="1:48" ht="12.75" customHeight="1" x14ac:dyDescent="0.2">
      <c r="A734" s="86"/>
      <c r="B734" s="87"/>
      <c r="C734" s="88"/>
      <c r="D734" s="89"/>
      <c r="E734" s="90"/>
      <c r="F734" s="90"/>
      <c r="G734" s="91"/>
      <c r="H734" s="91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2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93"/>
      <c r="AR734" s="93"/>
      <c r="AS734" s="94"/>
      <c r="AT734" s="93"/>
      <c r="AU734" s="93"/>
      <c r="AV734" s="93"/>
    </row>
    <row r="735" spans="1:48" ht="12.75" customHeight="1" x14ac:dyDescent="0.2">
      <c r="A735" s="86"/>
      <c r="B735" s="87"/>
      <c r="C735" s="88"/>
      <c r="D735" s="89"/>
      <c r="E735" s="90"/>
      <c r="F735" s="90"/>
      <c r="G735" s="91"/>
      <c r="H735" s="91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2"/>
      <c r="AG735" s="90"/>
      <c r="AH735" s="90"/>
      <c r="AI735" s="90"/>
      <c r="AJ735" s="90"/>
      <c r="AK735" s="90"/>
      <c r="AL735" s="90"/>
      <c r="AM735" s="90"/>
      <c r="AN735" s="90"/>
      <c r="AO735" s="90"/>
      <c r="AP735" s="90"/>
      <c r="AQ735" s="93"/>
      <c r="AR735" s="93"/>
      <c r="AS735" s="94"/>
      <c r="AT735" s="93"/>
      <c r="AU735" s="93"/>
      <c r="AV735" s="93"/>
    </row>
    <row r="736" spans="1:48" ht="12.75" customHeight="1" x14ac:dyDescent="0.2">
      <c r="A736" s="86"/>
      <c r="B736" s="87"/>
      <c r="C736" s="88"/>
      <c r="D736" s="89"/>
      <c r="E736" s="90"/>
      <c r="F736" s="90"/>
      <c r="G736" s="91"/>
      <c r="H736" s="91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2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3"/>
      <c r="AR736" s="93"/>
      <c r="AS736" s="94"/>
      <c r="AT736" s="93"/>
      <c r="AU736" s="93"/>
      <c r="AV736" s="93"/>
    </row>
    <row r="737" spans="1:48" ht="12.75" customHeight="1" x14ac:dyDescent="0.2">
      <c r="A737" s="86"/>
      <c r="B737" s="87"/>
      <c r="C737" s="88"/>
      <c r="D737" s="89"/>
      <c r="E737" s="90"/>
      <c r="F737" s="90"/>
      <c r="G737" s="91"/>
      <c r="H737" s="91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2"/>
      <c r="AG737" s="90"/>
      <c r="AH737" s="90"/>
      <c r="AI737" s="90"/>
      <c r="AJ737" s="90"/>
      <c r="AK737" s="90"/>
      <c r="AL737" s="90"/>
      <c r="AM737" s="90"/>
      <c r="AN737" s="90"/>
      <c r="AO737" s="90"/>
      <c r="AP737" s="90"/>
      <c r="AQ737" s="93"/>
      <c r="AR737" s="93"/>
      <c r="AS737" s="94"/>
      <c r="AT737" s="93"/>
      <c r="AU737" s="93"/>
      <c r="AV737" s="93"/>
    </row>
    <row r="738" spans="1:48" ht="12.75" customHeight="1" x14ac:dyDescent="0.2">
      <c r="A738" s="86"/>
      <c r="B738" s="87"/>
      <c r="C738" s="88"/>
      <c r="D738" s="89"/>
      <c r="E738" s="90"/>
      <c r="F738" s="90"/>
      <c r="G738" s="91"/>
      <c r="H738" s="91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2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3"/>
      <c r="AR738" s="93"/>
      <c r="AS738" s="94"/>
      <c r="AT738" s="93"/>
      <c r="AU738" s="93"/>
      <c r="AV738" s="93"/>
    </row>
    <row r="739" spans="1:48" ht="12.75" customHeight="1" x14ac:dyDescent="0.2">
      <c r="A739" s="86"/>
      <c r="B739" s="87"/>
      <c r="C739" s="88"/>
      <c r="D739" s="89"/>
      <c r="E739" s="90"/>
      <c r="F739" s="90"/>
      <c r="G739" s="91"/>
      <c r="H739" s="91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2"/>
      <c r="AG739" s="90"/>
      <c r="AH739" s="90"/>
      <c r="AI739" s="90"/>
      <c r="AJ739" s="90"/>
      <c r="AK739" s="90"/>
      <c r="AL739" s="90"/>
      <c r="AM739" s="90"/>
      <c r="AN739" s="90"/>
      <c r="AO739" s="90"/>
      <c r="AP739" s="90"/>
      <c r="AQ739" s="93"/>
      <c r="AR739" s="93"/>
      <c r="AS739" s="94"/>
      <c r="AT739" s="93"/>
      <c r="AU739" s="93"/>
      <c r="AV739" s="93"/>
    </row>
    <row r="740" spans="1:48" ht="12.75" customHeight="1" x14ac:dyDescent="0.2">
      <c r="A740" s="86"/>
      <c r="B740" s="87"/>
      <c r="C740" s="88"/>
      <c r="D740" s="89"/>
      <c r="E740" s="90"/>
      <c r="F740" s="90"/>
      <c r="G740" s="91"/>
      <c r="H740" s="91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2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3"/>
      <c r="AR740" s="93"/>
      <c r="AS740" s="94"/>
      <c r="AT740" s="93"/>
      <c r="AU740" s="93"/>
      <c r="AV740" s="93"/>
    </row>
    <row r="741" spans="1:48" ht="12.75" customHeight="1" x14ac:dyDescent="0.2">
      <c r="A741" s="86"/>
      <c r="B741" s="87"/>
      <c r="C741" s="88"/>
      <c r="D741" s="89"/>
      <c r="E741" s="90"/>
      <c r="F741" s="90"/>
      <c r="G741" s="91"/>
      <c r="H741" s="91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2"/>
      <c r="AG741" s="90"/>
      <c r="AH741" s="90"/>
      <c r="AI741" s="90"/>
      <c r="AJ741" s="90"/>
      <c r="AK741" s="90"/>
      <c r="AL741" s="90"/>
      <c r="AM741" s="90"/>
      <c r="AN741" s="90"/>
      <c r="AO741" s="90"/>
      <c r="AP741" s="90"/>
      <c r="AQ741" s="93"/>
      <c r="AR741" s="93"/>
      <c r="AS741" s="94"/>
      <c r="AT741" s="93"/>
      <c r="AU741" s="93"/>
      <c r="AV741" s="93"/>
    </row>
    <row r="742" spans="1:48" ht="12.75" customHeight="1" x14ac:dyDescent="0.2">
      <c r="A742" s="86"/>
      <c r="B742" s="87"/>
      <c r="C742" s="88"/>
      <c r="D742" s="89"/>
      <c r="E742" s="90"/>
      <c r="F742" s="90"/>
      <c r="G742" s="91"/>
      <c r="H742" s="91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2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3"/>
      <c r="AR742" s="93"/>
      <c r="AS742" s="94"/>
      <c r="AT742" s="93"/>
      <c r="AU742" s="93"/>
      <c r="AV742" s="93"/>
    </row>
    <row r="743" spans="1:48" ht="12.75" customHeight="1" x14ac:dyDescent="0.2">
      <c r="A743" s="86"/>
      <c r="B743" s="87"/>
      <c r="C743" s="88"/>
      <c r="D743" s="89"/>
      <c r="E743" s="90"/>
      <c r="F743" s="90"/>
      <c r="G743" s="91"/>
      <c r="H743" s="91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2"/>
      <c r="AG743" s="90"/>
      <c r="AH743" s="90"/>
      <c r="AI743" s="90"/>
      <c r="AJ743" s="90"/>
      <c r="AK743" s="90"/>
      <c r="AL743" s="90"/>
      <c r="AM743" s="90"/>
      <c r="AN743" s="90"/>
      <c r="AO743" s="90"/>
      <c r="AP743" s="90"/>
      <c r="AQ743" s="93"/>
      <c r="AR743" s="93"/>
      <c r="AS743" s="94"/>
      <c r="AT743" s="93"/>
      <c r="AU743" s="93"/>
      <c r="AV743" s="93"/>
    </row>
    <row r="744" spans="1:48" ht="12.75" customHeight="1" x14ac:dyDescent="0.2">
      <c r="A744" s="86"/>
      <c r="B744" s="87"/>
      <c r="C744" s="88"/>
      <c r="D744" s="89"/>
      <c r="E744" s="90"/>
      <c r="F744" s="90"/>
      <c r="G744" s="91"/>
      <c r="H744" s="91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2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3"/>
      <c r="AR744" s="93"/>
      <c r="AS744" s="94"/>
      <c r="AT744" s="93"/>
      <c r="AU744" s="93"/>
      <c r="AV744" s="93"/>
    </row>
    <row r="745" spans="1:48" ht="12.75" customHeight="1" x14ac:dyDescent="0.2">
      <c r="A745" s="86"/>
      <c r="B745" s="87"/>
      <c r="C745" s="88"/>
      <c r="D745" s="89"/>
      <c r="E745" s="90"/>
      <c r="F745" s="90"/>
      <c r="G745" s="91"/>
      <c r="H745" s="91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2"/>
      <c r="AG745" s="90"/>
      <c r="AH745" s="90"/>
      <c r="AI745" s="90"/>
      <c r="AJ745" s="90"/>
      <c r="AK745" s="90"/>
      <c r="AL745" s="90"/>
      <c r="AM745" s="90"/>
      <c r="AN745" s="90"/>
      <c r="AO745" s="90"/>
      <c r="AP745" s="90"/>
      <c r="AQ745" s="93"/>
      <c r="AR745" s="93"/>
      <c r="AS745" s="94"/>
      <c r="AT745" s="93"/>
      <c r="AU745" s="93"/>
      <c r="AV745" s="93"/>
    </row>
    <row r="746" spans="1:48" ht="12.75" customHeight="1" x14ac:dyDescent="0.2">
      <c r="A746" s="86"/>
      <c r="B746" s="87"/>
      <c r="C746" s="88"/>
      <c r="D746" s="89"/>
      <c r="E746" s="90"/>
      <c r="F746" s="90"/>
      <c r="G746" s="91"/>
      <c r="H746" s="91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2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3"/>
      <c r="AR746" s="93"/>
      <c r="AS746" s="94"/>
      <c r="AT746" s="93"/>
      <c r="AU746" s="93"/>
      <c r="AV746" s="93"/>
    </row>
    <row r="747" spans="1:48" ht="12.75" customHeight="1" x14ac:dyDescent="0.2">
      <c r="A747" s="86"/>
      <c r="B747" s="87"/>
      <c r="C747" s="88"/>
      <c r="D747" s="89"/>
      <c r="E747" s="90"/>
      <c r="F747" s="90"/>
      <c r="G747" s="91"/>
      <c r="H747" s="91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2"/>
      <c r="AG747" s="90"/>
      <c r="AH747" s="90"/>
      <c r="AI747" s="90"/>
      <c r="AJ747" s="90"/>
      <c r="AK747" s="90"/>
      <c r="AL747" s="90"/>
      <c r="AM747" s="90"/>
      <c r="AN747" s="90"/>
      <c r="AO747" s="90"/>
      <c r="AP747" s="90"/>
      <c r="AQ747" s="93"/>
      <c r="AR747" s="93"/>
      <c r="AS747" s="94"/>
      <c r="AT747" s="93"/>
      <c r="AU747" s="93"/>
      <c r="AV747" s="93"/>
    </row>
    <row r="748" spans="1:48" ht="12.75" customHeight="1" x14ac:dyDescent="0.2">
      <c r="A748" s="86"/>
      <c r="B748" s="87"/>
      <c r="C748" s="88"/>
      <c r="D748" s="89"/>
      <c r="E748" s="90"/>
      <c r="F748" s="90"/>
      <c r="G748" s="91"/>
      <c r="H748" s="91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2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  <c r="AQ748" s="93"/>
      <c r="AR748" s="93"/>
      <c r="AS748" s="94"/>
      <c r="AT748" s="93"/>
      <c r="AU748" s="93"/>
      <c r="AV748" s="93"/>
    </row>
    <row r="749" spans="1:48" ht="12.75" customHeight="1" x14ac:dyDescent="0.2">
      <c r="A749" s="86"/>
      <c r="B749" s="87"/>
      <c r="C749" s="88"/>
      <c r="D749" s="89"/>
      <c r="E749" s="90"/>
      <c r="F749" s="90"/>
      <c r="G749" s="91"/>
      <c r="H749" s="91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2"/>
      <c r="AG749" s="90"/>
      <c r="AH749" s="90"/>
      <c r="AI749" s="90"/>
      <c r="AJ749" s="90"/>
      <c r="AK749" s="90"/>
      <c r="AL749" s="90"/>
      <c r="AM749" s="90"/>
      <c r="AN749" s="90"/>
      <c r="AO749" s="90"/>
      <c r="AP749" s="90"/>
      <c r="AQ749" s="93"/>
      <c r="AR749" s="93"/>
      <c r="AS749" s="94"/>
      <c r="AT749" s="93"/>
      <c r="AU749" s="93"/>
      <c r="AV749" s="93"/>
    </row>
    <row r="750" spans="1:48" ht="12.75" customHeight="1" x14ac:dyDescent="0.2">
      <c r="A750" s="86"/>
      <c r="B750" s="87"/>
      <c r="C750" s="88"/>
      <c r="D750" s="89"/>
      <c r="E750" s="90"/>
      <c r="F750" s="90"/>
      <c r="G750" s="91"/>
      <c r="H750" s="91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2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  <c r="AQ750" s="93"/>
      <c r="AR750" s="93"/>
      <c r="AS750" s="94"/>
      <c r="AT750" s="93"/>
      <c r="AU750" s="93"/>
      <c r="AV750" s="93"/>
    </row>
    <row r="751" spans="1:48" ht="12.75" customHeight="1" x14ac:dyDescent="0.2">
      <c r="A751" s="86"/>
      <c r="B751" s="87"/>
      <c r="C751" s="88"/>
      <c r="D751" s="89"/>
      <c r="E751" s="90"/>
      <c r="F751" s="90"/>
      <c r="G751" s="91"/>
      <c r="H751" s="91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2"/>
      <c r="AG751" s="90"/>
      <c r="AH751" s="90"/>
      <c r="AI751" s="90"/>
      <c r="AJ751" s="90"/>
      <c r="AK751" s="90"/>
      <c r="AL751" s="90"/>
      <c r="AM751" s="90"/>
      <c r="AN751" s="90"/>
      <c r="AO751" s="90"/>
      <c r="AP751" s="90"/>
      <c r="AQ751" s="93"/>
      <c r="AR751" s="93"/>
      <c r="AS751" s="94"/>
      <c r="AT751" s="93"/>
      <c r="AU751" s="93"/>
      <c r="AV751" s="93"/>
    </row>
    <row r="752" spans="1:48" ht="12.75" customHeight="1" x14ac:dyDescent="0.2">
      <c r="A752" s="86"/>
      <c r="B752" s="87"/>
      <c r="C752" s="88"/>
      <c r="D752" s="89"/>
      <c r="E752" s="90"/>
      <c r="F752" s="90"/>
      <c r="G752" s="91"/>
      <c r="H752" s="91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2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  <c r="AQ752" s="93"/>
      <c r="AR752" s="93"/>
      <c r="AS752" s="94"/>
      <c r="AT752" s="93"/>
      <c r="AU752" s="93"/>
      <c r="AV752" s="93"/>
    </row>
    <row r="753" spans="1:48" ht="12.75" customHeight="1" x14ac:dyDescent="0.2">
      <c r="A753" s="86"/>
      <c r="B753" s="87"/>
      <c r="C753" s="88"/>
      <c r="D753" s="89"/>
      <c r="E753" s="90"/>
      <c r="F753" s="90"/>
      <c r="G753" s="91"/>
      <c r="H753" s="91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2"/>
      <c r="AG753" s="90"/>
      <c r="AH753" s="90"/>
      <c r="AI753" s="90"/>
      <c r="AJ753" s="90"/>
      <c r="AK753" s="90"/>
      <c r="AL753" s="90"/>
      <c r="AM753" s="90"/>
      <c r="AN753" s="90"/>
      <c r="AO753" s="90"/>
      <c r="AP753" s="90"/>
      <c r="AQ753" s="93"/>
      <c r="AR753" s="93"/>
      <c r="AS753" s="94"/>
      <c r="AT753" s="93"/>
      <c r="AU753" s="93"/>
      <c r="AV753" s="93"/>
    </row>
    <row r="754" spans="1:48" ht="12.75" customHeight="1" x14ac:dyDescent="0.2">
      <c r="A754" s="86"/>
      <c r="B754" s="87"/>
      <c r="C754" s="88"/>
      <c r="D754" s="89"/>
      <c r="E754" s="90"/>
      <c r="F754" s="90"/>
      <c r="G754" s="91"/>
      <c r="H754" s="91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2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  <c r="AQ754" s="93"/>
      <c r="AR754" s="93"/>
      <c r="AS754" s="94"/>
      <c r="AT754" s="93"/>
      <c r="AU754" s="93"/>
      <c r="AV754" s="93"/>
    </row>
    <row r="755" spans="1:48" ht="12.75" customHeight="1" x14ac:dyDescent="0.2">
      <c r="A755" s="86"/>
      <c r="B755" s="87"/>
      <c r="C755" s="88"/>
      <c r="D755" s="89"/>
      <c r="E755" s="90"/>
      <c r="F755" s="90"/>
      <c r="G755" s="91"/>
      <c r="H755" s="91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2"/>
      <c r="AG755" s="90"/>
      <c r="AH755" s="90"/>
      <c r="AI755" s="90"/>
      <c r="AJ755" s="90"/>
      <c r="AK755" s="90"/>
      <c r="AL755" s="90"/>
      <c r="AM755" s="90"/>
      <c r="AN755" s="90"/>
      <c r="AO755" s="90"/>
      <c r="AP755" s="90"/>
      <c r="AQ755" s="93"/>
      <c r="AR755" s="93"/>
      <c r="AS755" s="94"/>
      <c r="AT755" s="93"/>
      <c r="AU755" s="93"/>
      <c r="AV755" s="93"/>
    </row>
    <row r="756" spans="1:48" ht="12.75" customHeight="1" x14ac:dyDescent="0.2">
      <c r="A756" s="86"/>
      <c r="B756" s="87"/>
      <c r="C756" s="88"/>
      <c r="D756" s="89"/>
      <c r="E756" s="90"/>
      <c r="F756" s="90"/>
      <c r="G756" s="91"/>
      <c r="H756" s="91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2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  <c r="AQ756" s="93"/>
      <c r="AR756" s="93"/>
      <c r="AS756" s="94"/>
      <c r="AT756" s="93"/>
      <c r="AU756" s="93"/>
      <c r="AV756" s="93"/>
    </row>
    <row r="757" spans="1:48" ht="12.75" customHeight="1" x14ac:dyDescent="0.2">
      <c r="A757" s="86"/>
      <c r="B757" s="87"/>
      <c r="C757" s="88"/>
      <c r="D757" s="89"/>
      <c r="E757" s="90"/>
      <c r="F757" s="90"/>
      <c r="G757" s="91"/>
      <c r="H757" s="91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2"/>
      <c r="AG757" s="90"/>
      <c r="AH757" s="90"/>
      <c r="AI757" s="90"/>
      <c r="AJ757" s="90"/>
      <c r="AK757" s="90"/>
      <c r="AL757" s="90"/>
      <c r="AM757" s="90"/>
      <c r="AN757" s="90"/>
      <c r="AO757" s="90"/>
      <c r="AP757" s="90"/>
      <c r="AQ757" s="93"/>
      <c r="AR757" s="93"/>
      <c r="AS757" s="94"/>
      <c r="AT757" s="93"/>
      <c r="AU757" s="93"/>
      <c r="AV757" s="93"/>
    </row>
    <row r="758" spans="1:48" ht="12.75" customHeight="1" x14ac:dyDescent="0.2">
      <c r="A758" s="86"/>
      <c r="B758" s="87"/>
      <c r="C758" s="88"/>
      <c r="D758" s="89"/>
      <c r="E758" s="90"/>
      <c r="F758" s="90"/>
      <c r="G758" s="91"/>
      <c r="H758" s="91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2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  <c r="AQ758" s="93"/>
      <c r="AR758" s="93"/>
      <c r="AS758" s="94"/>
      <c r="AT758" s="93"/>
      <c r="AU758" s="93"/>
      <c r="AV758" s="93"/>
    </row>
    <row r="759" spans="1:48" ht="12.75" customHeight="1" x14ac:dyDescent="0.2">
      <c r="A759" s="86"/>
      <c r="B759" s="87"/>
      <c r="C759" s="88"/>
      <c r="D759" s="89"/>
      <c r="E759" s="90"/>
      <c r="F759" s="90"/>
      <c r="G759" s="91"/>
      <c r="H759" s="91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2"/>
      <c r="AG759" s="90"/>
      <c r="AH759" s="90"/>
      <c r="AI759" s="90"/>
      <c r="AJ759" s="90"/>
      <c r="AK759" s="90"/>
      <c r="AL759" s="90"/>
      <c r="AM759" s="90"/>
      <c r="AN759" s="90"/>
      <c r="AO759" s="90"/>
      <c r="AP759" s="90"/>
      <c r="AQ759" s="93"/>
      <c r="AR759" s="93"/>
      <c r="AS759" s="94"/>
      <c r="AT759" s="93"/>
      <c r="AU759" s="93"/>
      <c r="AV759" s="93"/>
    </row>
    <row r="760" spans="1:48" ht="12.75" customHeight="1" x14ac:dyDescent="0.2">
      <c r="A760" s="86"/>
      <c r="B760" s="87"/>
      <c r="C760" s="88"/>
      <c r="D760" s="89"/>
      <c r="E760" s="90"/>
      <c r="F760" s="90"/>
      <c r="G760" s="91"/>
      <c r="H760" s="91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2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  <c r="AQ760" s="93"/>
      <c r="AR760" s="93"/>
      <c r="AS760" s="94"/>
      <c r="AT760" s="93"/>
      <c r="AU760" s="93"/>
      <c r="AV760" s="93"/>
    </row>
    <row r="761" spans="1:48" ht="12.75" customHeight="1" x14ac:dyDescent="0.2">
      <c r="A761" s="86"/>
      <c r="B761" s="87"/>
      <c r="C761" s="88"/>
      <c r="D761" s="89"/>
      <c r="E761" s="90"/>
      <c r="F761" s="90"/>
      <c r="G761" s="91"/>
      <c r="H761" s="91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2"/>
      <c r="AG761" s="90"/>
      <c r="AH761" s="90"/>
      <c r="AI761" s="90"/>
      <c r="AJ761" s="90"/>
      <c r="AK761" s="90"/>
      <c r="AL761" s="90"/>
      <c r="AM761" s="90"/>
      <c r="AN761" s="90"/>
      <c r="AO761" s="90"/>
      <c r="AP761" s="90"/>
      <c r="AQ761" s="93"/>
      <c r="AR761" s="93"/>
      <c r="AS761" s="94"/>
      <c r="AT761" s="93"/>
      <c r="AU761" s="93"/>
      <c r="AV761" s="93"/>
    </row>
    <row r="762" spans="1:48" ht="12.75" customHeight="1" x14ac:dyDescent="0.2">
      <c r="A762" s="86"/>
      <c r="B762" s="87"/>
      <c r="C762" s="88"/>
      <c r="D762" s="89"/>
      <c r="E762" s="90"/>
      <c r="F762" s="90"/>
      <c r="G762" s="91"/>
      <c r="H762" s="91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2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  <c r="AQ762" s="93"/>
      <c r="AR762" s="93"/>
      <c r="AS762" s="94"/>
      <c r="AT762" s="93"/>
      <c r="AU762" s="93"/>
      <c r="AV762" s="93"/>
    </row>
    <row r="763" spans="1:48" ht="12.75" customHeight="1" x14ac:dyDescent="0.2">
      <c r="A763" s="86"/>
      <c r="B763" s="87"/>
      <c r="C763" s="88"/>
      <c r="D763" s="89"/>
      <c r="E763" s="90"/>
      <c r="F763" s="90"/>
      <c r="G763" s="91"/>
      <c r="H763" s="91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2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3"/>
      <c r="AR763" s="93"/>
      <c r="AS763" s="94"/>
      <c r="AT763" s="93"/>
      <c r="AU763" s="93"/>
      <c r="AV763" s="93"/>
    </row>
    <row r="764" spans="1:48" ht="12.75" customHeight="1" x14ac:dyDescent="0.2">
      <c r="A764" s="86"/>
      <c r="B764" s="87"/>
      <c r="C764" s="88"/>
      <c r="D764" s="89"/>
      <c r="E764" s="90"/>
      <c r="F764" s="90"/>
      <c r="G764" s="91"/>
      <c r="H764" s="91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2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93"/>
      <c r="AR764" s="93"/>
      <c r="AS764" s="94"/>
      <c r="AT764" s="93"/>
      <c r="AU764" s="93"/>
      <c r="AV764" s="93"/>
    </row>
    <row r="765" spans="1:48" ht="12.75" customHeight="1" x14ac:dyDescent="0.2">
      <c r="A765" s="86"/>
      <c r="B765" s="87"/>
      <c r="C765" s="88"/>
      <c r="D765" s="89"/>
      <c r="E765" s="90"/>
      <c r="F765" s="90"/>
      <c r="G765" s="91"/>
      <c r="H765" s="91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2"/>
      <c r="AG765" s="90"/>
      <c r="AH765" s="90"/>
      <c r="AI765" s="90"/>
      <c r="AJ765" s="90"/>
      <c r="AK765" s="90"/>
      <c r="AL765" s="90"/>
      <c r="AM765" s="90"/>
      <c r="AN765" s="90"/>
      <c r="AO765" s="90"/>
      <c r="AP765" s="90"/>
      <c r="AQ765" s="93"/>
      <c r="AR765" s="93"/>
      <c r="AS765" s="94"/>
      <c r="AT765" s="93"/>
      <c r="AU765" s="93"/>
      <c r="AV765" s="93"/>
    </row>
    <row r="766" spans="1:48" ht="12.75" customHeight="1" x14ac:dyDescent="0.2">
      <c r="A766" s="86"/>
      <c r="B766" s="87"/>
      <c r="C766" s="88"/>
      <c r="D766" s="89"/>
      <c r="E766" s="90"/>
      <c r="F766" s="90"/>
      <c r="G766" s="91"/>
      <c r="H766" s="91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2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93"/>
      <c r="AR766" s="93"/>
      <c r="AS766" s="94"/>
      <c r="AT766" s="93"/>
      <c r="AU766" s="93"/>
      <c r="AV766" s="93"/>
    </row>
    <row r="767" spans="1:48" ht="12.75" customHeight="1" x14ac:dyDescent="0.2">
      <c r="A767" s="86"/>
      <c r="B767" s="87"/>
      <c r="C767" s="88"/>
      <c r="D767" s="89"/>
      <c r="E767" s="90"/>
      <c r="F767" s="90"/>
      <c r="G767" s="91"/>
      <c r="H767" s="91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2"/>
      <c r="AG767" s="90"/>
      <c r="AH767" s="90"/>
      <c r="AI767" s="90"/>
      <c r="AJ767" s="90"/>
      <c r="AK767" s="90"/>
      <c r="AL767" s="90"/>
      <c r="AM767" s="90"/>
      <c r="AN767" s="90"/>
      <c r="AO767" s="90"/>
      <c r="AP767" s="90"/>
      <c r="AQ767" s="93"/>
      <c r="AR767" s="93"/>
      <c r="AS767" s="94"/>
      <c r="AT767" s="93"/>
      <c r="AU767" s="93"/>
      <c r="AV767" s="93"/>
    </row>
    <row r="768" spans="1:48" ht="12.75" customHeight="1" x14ac:dyDescent="0.2">
      <c r="A768" s="86"/>
      <c r="B768" s="87"/>
      <c r="C768" s="88"/>
      <c r="D768" s="89"/>
      <c r="E768" s="90"/>
      <c r="F768" s="90"/>
      <c r="G768" s="91"/>
      <c r="H768" s="91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2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  <c r="AQ768" s="93"/>
      <c r="AR768" s="93"/>
      <c r="AS768" s="94"/>
      <c r="AT768" s="93"/>
      <c r="AU768" s="93"/>
      <c r="AV768" s="93"/>
    </row>
    <row r="769" spans="1:48" ht="12.75" customHeight="1" x14ac:dyDescent="0.2">
      <c r="A769" s="86"/>
      <c r="B769" s="87"/>
      <c r="C769" s="88"/>
      <c r="D769" s="89"/>
      <c r="E769" s="90"/>
      <c r="F769" s="90"/>
      <c r="G769" s="91"/>
      <c r="H769" s="91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2"/>
      <c r="AG769" s="90"/>
      <c r="AH769" s="90"/>
      <c r="AI769" s="90"/>
      <c r="AJ769" s="90"/>
      <c r="AK769" s="90"/>
      <c r="AL769" s="90"/>
      <c r="AM769" s="90"/>
      <c r="AN769" s="90"/>
      <c r="AO769" s="90"/>
      <c r="AP769" s="90"/>
      <c r="AQ769" s="93"/>
      <c r="AR769" s="93"/>
      <c r="AS769" s="94"/>
      <c r="AT769" s="93"/>
      <c r="AU769" s="93"/>
      <c r="AV769" s="93"/>
    </row>
    <row r="770" spans="1:48" ht="12.75" customHeight="1" x14ac:dyDescent="0.2">
      <c r="A770" s="86"/>
      <c r="B770" s="87"/>
      <c r="C770" s="88"/>
      <c r="D770" s="89"/>
      <c r="E770" s="90"/>
      <c r="F770" s="90"/>
      <c r="G770" s="91"/>
      <c r="H770" s="91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2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  <c r="AQ770" s="93"/>
      <c r="AR770" s="93"/>
      <c r="AS770" s="94"/>
      <c r="AT770" s="93"/>
      <c r="AU770" s="93"/>
      <c r="AV770" s="93"/>
    </row>
    <row r="771" spans="1:48" ht="12.75" customHeight="1" x14ac:dyDescent="0.2">
      <c r="A771" s="86"/>
      <c r="B771" s="87"/>
      <c r="C771" s="88"/>
      <c r="D771" s="89"/>
      <c r="E771" s="90"/>
      <c r="F771" s="90"/>
      <c r="G771" s="91"/>
      <c r="H771" s="91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2"/>
      <c r="AG771" s="90"/>
      <c r="AH771" s="90"/>
      <c r="AI771" s="90"/>
      <c r="AJ771" s="90"/>
      <c r="AK771" s="90"/>
      <c r="AL771" s="90"/>
      <c r="AM771" s="90"/>
      <c r="AN771" s="90"/>
      <c r="AO771" s="90"/>
      <c r="AP771" s="90"/>
      <c r="AQ771" s="93"/>
      <c r="AR771" s="93"/>
      <c r="AS771" s="94"/>
      <c r="AT771" s="93"/>
      <c r="AU771" s="93"/>
      <c r="AV771" s="93"/>
    </row>
    <row r="772" spans="1:48" ht="12.75" customHeight="1" x14ac:dyDescent="0.2">
      <c r="A772" s="86"/>
      <c r="B772" s="87"/>
      <c r="C772" s="88"/>
      <c r="D772" s="89"/>
      <c r="E772" s="90"/>
      <c r="F772" s="90"/>
      <c r="G772" s="91"/>
      <c r="H772" s="91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2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  <c r="AQ772" s="93"/>
      <c r="AR772" s="93"/>
      <c r="AS772" s="94"/>
      <c r="AT772" s="93"/>
      <c r="AU772" s="93"/>
      <c r="AV772" s="93"/>
    </row>
    <row r="773" spans="1:48" ht="12.75" customHeight="1" x14ac:dyDescent="0.2">
      <c r="A773" s="86"/>
      <c r="B773" s="87"/>
      <c r="C773" s="88"/>
      <c r="D773" s="89"/>
      <c r="E773" s="90"/>
      <c r="F773" s="90"/>
      <c r="G773" s="91"/>
      <c r="H773" s="91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2"/>
      <c r="AG773" s="90"/>
      <c r="AH773" s="90"/>
      <c r="AI773" s="90"/>
      <c r="AJ773" s="90"/>
      <c r="AK773" s="90"/>
      <c r="AL773" s="90"/>
      <c r="AM773" s="90"/>
      <c r="AN773" s="90"/>
      <c r="AO773" s="90"/>
      <c r="AP773" s="90"/>
      <c r="AQ773" s="93"/>
      <c r="AR773" s="93"/>
      <c r="AS773" s="94"/>
      <c r="AT773" s="93"/>
      <c r="AU773" s="93"/>
      <c r="AV773" s="93"/>
    </row>
    <row r="774" spans="1:48" ht="12.75" customHeight="1" x14ac:dyDescent="0.2">
      <c r="A774" s="86"/>
      <c r="B774" s="87"/>
      <c r="C774" s="88"/>
      <c r="D774" s="89"/>
      <c r="E774" s="90"/>
      <c r="F774" s="90"/>
      <c r="G774" s="91"/>
      <c r="H774" s="91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2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  <c r="AQ774" s="93"/>
      <c r="AR774" s="93"/>
      <c r="AS774" s="94"/>
      <c r="AT774" s="93"/>
      <c r="AU774" s="93"/>
      <c r="AV774" s="93"/>
    </row>
    <row r="775" spans="1:48" ht="12.75" customHeight="1" x14ac:dyDescent="0.2">
      <c r="A775" s="86"/>
      <c r="B775" s="87"/>
      <c r="C775" s="88"/>
      <c r="D775" s="89"/>
      <c r="E775" s="90"/>
      <c r="F775" s="90"/>
      <c r="G775" s="91"/>
      <c r="H775" s="91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2"/>
      <c r="AG775" s="90"/>
      <c r="AH775" s="90"/>
      <c r="AI775" s="90"/>
      <c r="AJ775" s="90"/>
      <c r="AK775" s="90"/>
      <c r="AL775" s="90"/>
      <c r="AM775" s="90"/>
      <c r="AN775" s="90"/>
      <c r="AO775" s="90"/>
      <c r="AP775" s="90"/>
      <c r="AQ775" s="93"/>
      <c r="AR775" s="93"/>
      <c r="AS775" s="94"/>
      <c r="AT775" s="93"/>
      <c r="AU775" s="93"/>
      <c r="AV775" s="93"/>
    </row>
    <row r="776" spans="1:48" ht="12.75" customHeight="1" x14ac:dyDescent="0.2">
      <c r="A776" s="86"/>
      <c r="B776" s="87"/>
      <c r="C776" s="88"/>
      <c r="D776" s="89"/>
      <c r="E776" s="90"/>
      <c r="F776" s="90"/>
      <c r="G776" s="91"/>
      <c r="H776" s="91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2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  <c r="AQ776" s="93"/>
      <c r="AR776" s="93"/>
      <c r="AS776" s="94"/>
      <c r="AT776" s="93"/>
      <c r="AU776" s="93"/>
      <c r="AV776" s="93"/>
    </row>
    <row r="777" spans="1:48" ht="12.75" customHeight="1" x14ac:dyDescent="0.2">
      <c r="A777" s="86"/>
      <c r="B777" s="87"/>
      <c r="C777" s="88"/>
      <c r="D777" s="89"/>
      <c r="E777" s="90"/>
      <c r="F777" s="90"/>
      <c r="G777" s="91"/>
      <c r="H777" s="91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2"/>
      <c r="AG777" s="90"/>
      <c r="AH777" s="90"/>
      <c r="AI777" s="90"/>
      <c r="AJ777" s="90"/>
      <c r="AK777" s="90"/>
      <c r="AL777" s="90"/>
      <c r="AM777" s="90"/>
      <c r="AN777" s="90"/>
      <c r="AO777" s="90"/>
      <c r="AP777" s="90"/>
      <c r="AQ777" s="93"/>
      <c r="AR777" s="93"/>
      <c r="AS777" s="94"/>
      <c r="AT777" s="93"/>
      <c r="AU777" s="93"/>
      <c r="AV777" s="93"/>
    </row>
    <row r="778" spans="1:48" ht="12.75" customHeight="1" x14ac:dyDescent="0.2">
      <c r="A778" s="86"/>
      <c r="B778" s="87"/>
      <c r="C778" s="88"/>
      <c r="D778" s="89"/>
      <c r="E778" s="90"/>
      <c r="F778" s="90"/>
      <c r="G778" s="91"/>
      <c r="H778" s="91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2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93"/>
      <c r="AR778" s="93"/>
      <c r="AS778" s="94"/>
      <c r="AT778" s="93"/>
      <c r="AU778" s="93"/>
      <c r="AV778" s="93"/>
    </row>
    <row r="779" spans="1:48" ht="12.75" customHeight="1" x14ac:dyDescent="0.2">
      <c r="A779" s="86"/>
      <c r="B779" s="87"/>
      <c r="C779" s="88"/>
      <c r="D779" s="89"/>
      <c r="E779" s="90"/>
      <c r="F779" s="90"/>
      <c r="G779" s="91"/>
      <c r="H779" s="91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2"/>
      <c r="AG779" s="90"/>
      <c r="AH779" s="90"/>
      <c r="AI779" s="90"/>
      <c r="AJ779" s="90"/>
      <c r="AK779" s="90"/>
      <c r="AL779" s="90"/>
      <c r="AM779" s="90"/>
      <c r="AN779" s="90"/>
      <c r="AO779" s="90"/>
      <c r="AP779" s="90"/>
      <c r="AQ779" s="93"/>
      <c r="AR779" s="93"/>
      <c r="AS779" s="94"/>
      <c r="AT779" s="93"/>
      <c r="AU779" s="93"/>
      <c r="AV779" s="93"/>
    </row>
    <row r="780" spans="1:48" ht="12.75" customHeight="1" x14ac:dyDescent="0.2">
      <c r="A780" s="86"/>
      <c r="B780" s="87"/>
      <c r="C780" s="88"/>
      <c r="D780" s="89"/>
      <c r="E780" s="90"/>
      <c r="F780" s="90"/>
      <c r="G780" s="91"/>
      <c r="H780" s="91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2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  <c r="AQ780" s="93"/>
      <c r="AR780" s="93"/>
      <c r="AS780" s="94"/>
      <c r="AT780" s="93"/>
      <c r="AU780" s="93"/>
      <c r="AV780" s="93"/>
    </row>
    <row r="781" spans="1:48" ht="12.75" customHeight="1" x14ac:dyDescent="0.2">
      <c r="A781" s="86"/>
      <c r="B781" s="87"/>
      <c r="C781" s="88"/>
      <c r="D781" s="89"/>
      <c r="E781" s="90"/>
      <c r="F781" s="90"/>
      <c r="G781" s="91"/>
      <c r="H781" s="91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2"/>
      <c r="AG781" s="90"/>
      <c r="AH781" s="90"/>
      <c r="AI781" s="90"/>
      <c r="AJ781" s="90"/>
      <c r="AK781" s="90"/>
      <c r="AL781" s="90"/>
      <c r="AM781" s="90"/>
      <c r="AN781" s="90"/>
      <c r="AO781" s="90"/>
      <c r="AP781" s="90"/>
      <c r="AQ781" s="93"/>
      <c r="AR781" s="93"/>
      <c r="AS781" s="94"/>
      <c r="AT781" s="93"/>
      <c r="AU781" s="93"/>
      <c r="AV781" s="93"/>
    </row>
    <row r="782" spans="1:48" ht="12.75" customHeight="1" x14ac:dyDescent="0.2">
      <c r="A782" s="86"/>
      <c r="B782" s="87"/>
      <c r="C782" s="88"/>
      <c r="D782" s="89"/>
      <c r="E782" s="90"/>
      <c r="F782" s="90"/>
      <c r="G782" s="91"/>
      <c r="H782" s="91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2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  <c r="AQ782" s="93"/>
      <c r="AR782" s="93"/>
      <c r="AS782" s="94"/>
      <c r="AT782" s="93"/>
      <c r="AU782" s="93"/>
      <c r="AV782" s="93"/>
    </row>
    <row r="783" spans="1:48" ht="12.75" customHeight="1" x14ac:dyDescent="0.2">
      <c r="A783" s="86"/>
      <c r="B783" s="87"/>
      <c r="C783" s="88"/>
      <c r="D783" s="89"/>
      <c r="E783" s="90"/>
      <c r="F783" s="90"/>
      <c r="G783" s="91"/>
      <c r="H783" s="91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2"/>
      <c r="AG783" s="90"/>
      <c r="AH783" s="90"/>
      <c r="AI783" s="90"/>
      <c r="AJ783" s="90"/>
      <c r="AK783" s="90"/>
      <c r="AL783" s="90"/>
      <c r="AM783" s="90"/>
      <c r="AN783" s="90"/>
      <c r="AO783" s="90"/>
      <c r="AP783" s="90"/>
      <c r="AQ783" s="93"/>
      <c r="AR783" s="93"/>
      <c r="AS783" s="94"/>
      <c r="AT783" s="93"/>
      <c r="AU783" s="93"/>
      <c r="AV783" s="93"/>
    </row>
    <row r="784" spans="1:48" ht="12.75" customHeight="1" x14ac:dyDescent="0.2">
      <c r="A784" s="86"/>
      <c r="B784" s="87"/>
      <c r="C784" s="88"/>
      <c r="D784" s="89"/>
      <c r="E784" s="90"/>
      <c r="F784" s="90"/>
      <c r="G784" s="91"/>
      <c r="H784" s="91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2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  <c r="AQ784" s="93"/>
      <c r="AR784" s="93"/>
      <c r="AS784" s="94"/>
      <c r="AT784" s="93"/>
      <c r="AU784" s="93"/>
      <c r="AV784" s="93"/>
    </row>
    <row r="785" spans="1:48" ht="12.75" customHeight="1" x14ac:dyDescent="0.2">
      <c r="A785" s="86"/>
      <c r="B785" s="87"/>
      <c r="C785" s="88"/>
      <c r="D785" s="89"/>
      <c r="E785" s="90"/>
      <c r="F785" s="90"/>
      <c r="G785" s="91"/>
      <c r="H785" s="91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2"/>
      <c r="AG785" s="90"/>
      <c r="AH785" s="90"/>
      <c r="AI785" s="90"/>
      <c r="AJ785" s="90"/>
      <c r="AK785" s="90"/>
      <c r="AL785" s="90"/>
      <c r="AM785" s="90"/>
      <c r="AN785" s="90"/>
      <c r="AO785" s="90"/>
      <c r="AP785" s="90"/>
      <c r="AQ785" s="93"/>
      <c r="AR785" s="93"/>
      <c r="AS785" s="94"/>
      <c r="AT785" s="93"/>
      <c r="AU785" s="93"/>
      <c r="AV785" s="93"/>
    </row>
    <row r="786" spans="1:48" ht="12.75" customHeight="1" x14ac:dyDescent="0.2">
      <c r="A786" s="86"/>
      <c r="B786" s="87"/>
      <c r="C786" s="88"/>
      <c r="D786" s="89"/>
      <c r="E786" s="90"/>
      <c r="F786" s="90"/>
      <c r="G786" s="91"/>
      <c r="H786" s="91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2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  <c r="AQ786" s="93"/>
      <c r="AR786" s="93"/>
      <c r="AS786" s="94"/>
      <c r="AT786" s="93"/>
      <c r="AU786" s="93"/>
      <c r="AV786" s="93"/>
    </row>
    <row r="787" spans="1:48" ht="12.75" customHeight="1" x14ac:dyDescent="0.2">
      <c r="A787" s="86"/>
      <c r="B787" s="87"/>
      <c r="C787" s="88"/>
      <c r="D787" s="89"/>
      <c r="E787" s="90"/>
      <c r="F787" s="90"/>
      <c r="G787" s="91"/>
      <c r="H787" s="91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2"/>
      <c r="AG787" s="90"/>
      <c r="AH787" s="90"/>
      <c r="AI787" s="90"/>
      <c r="AJ787" s="90"/>
      <c r="AK787" s="90"/>
      <c r="AL787" s="90"/>
      <c r="AM787" s="90"/>
      <c r="AN787" s="90"/>
      <c r="AO787" s="90"/>
      <c r="AP787" s="90"/>
      <c r="AQ787" s="93"/>
      <c r="AR787" s="93"/>
      <c r="AS787" s="94"/>
      <c r="AT787" s="93"/>
      <c r="AU787" s="93"/>
      <c r="AV787" s="93"/>
    </row>
    <row r="788" spans="1:48" ht="12.75" customHeight="1" x14ac:dyDescent="0.2">
      <c r="A788" s="86"/>
      <c r="B788" s="87"/>
      <c r="C788" s="88"/>
      <c r="D788" s="89"/>
      <c r="E788" s="90"/>
      <c r="F788" s="90"/>
      <c r="G788" s="91"/>
      <c r="H788" s="91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2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  <c r="AQ788" s="93"/>
      <c r="AR788" s="93"/>
      <c r="AS788" s="94"/>
      <c r="AT788" s="93"/>
      <c r="AU788" s="93"/>
      <c r="AV788" s="93"/>
    </row>
    <row r="789" spans="1:48" ht="12.75" customHeight="1" x14ac:dyDescent="0.2">
      <c r="A789" s="86"/>
      <c r="B789" s="87"/>
      <c r="C789" s="88"/>
      <c r="D789" s="89"/>
      <c r="E789" s="90"/>
      <c r="F789" s="90"/>
      <c r="G789" s="91"/>
      <c r="H789" s="91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2"/>
      <c r="AG789" s="90"/>
      <c r="AH789" s="90"/>
      <c r="AI789" s="90"/>
      <c r="AJ789" s="90"/>
      <c r="AK789" s="90"/>
      <c r="AL789" s="90"/>
      <c r="AM789" s="90"/>
      <c r="AN789" s="90"/>
      <c r="AO789" s="90"/>
      <c r="AP789" s="90"/>
      <c r="AQ789" s="93"/>
      <c r="AR789" s="93"/>
      <c r="AS789" s="94"/>
      <c r="AT789" s="93"/>
      <c r="AU789" s="93"/>
      <c r="AV789" s="93"/>
    </row>
    <row r="790" spans="1:48" ht="12.75" customHeight="1" x14ac:dyDescent="0.2">
      <c r="A790" s="86"/>
      <c r="B790" s="87"/>
      <c r="C790" s="88"/>
      <c r="D790" s="89"/>
      <c r="E790" s="90"/>
      <c r="F790" s="90"/>
      <c r="G790" s="91"/>
      <c r="H790" s="91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2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93"/>
      <c r="AR790" s="93"/>
      <c r="AS790" s="94"/>
      <c r="AT790" s="93"/>
      <c r="AU790" s="93"/>
      <c r="AV790" s="93"/>
    </row>
    <row r="791" spans="1:48" ht="12.75" customHeight="1" x14ac:dyDescent="0.2">
      <c r="A791" s="86"/>
      <c r="B791" s="87"/>
      <c r="C791" s="88"/>
      <c r="D791" s="89"/>
      <c r="E791" s="90"/>
      <c r="F791" s="90"/>
      <c r="G791" s="91"/>
      <c r="H791" s="91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2"/>
      <c r="AG791" s="90"/>
      <c r="AH791" s="90"/>
      <c r="AI791" s="90"/>
      <c r="AJ791" s="90"/>
      <c r="AK791" s="90"/>
      <c r="AL791" s="90"/>
      <c r="AM791" s="90"/>
      <c r="AN791" s="90"/>
      <c r="AO791" s="90"/>
      <c r="AP791" s="90"/>
      <c r="AQ791" s="93"/>
      <c r="AR791" s="93"/>
      <c r="AS791" s="94"/>
      <c r="AT791" s="93"/>
      <c r="AU791" s="93"/>
      <c r="AV791" s="93"/>
    </row>
    <row r="792" spans="1:48" ht="12.75" customHeight="1" x14ac:dyDescent="0.2">
      <c r="A792" s="86"/>
      <c r="B792" s="87"/>
      <c r="C792" s="88"/>
      <c r="D792" s="89"/>
      <c r="E792" s="90"/>
      <c r="F792" s="90"/>
      <c r="G792" s="91"/>
      <c r="H792" s="91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2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93"/>
      <c r="AR792" s="93"/>
      <c r="AS792" s="94"/>
      <c r="AT792" s="93"/>
      <c r="AU792" s="93"/>
      <c r="AV792" s="93"/>
    </row>
    <row r="793" spans="1:48" ht="12.75" customHeight="1" x14ac:dyDescent="0.2">
      <c r="A793" s="86"/>
      <c r="B793" s="87"/>
      <c r="C793" s="88"/>
      <c r="D793" s="89"/>
      <c r="E793" s="90"/>
      <c r="F793" s="90"/>
      <c r="G793" s="91"/>
      <c r="H793" s="91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2"/>
      <c r="AG793" s="90"/>
      <c r="AH793" s="90"/>
      <c r="AI793" s="90"/>
      <c r="AJ793" s="90"/>
      <c r="AK793" s="90"/>
      <c r="AL793" s="90"/>
      <c r="AM793" s="90"/>
      <c r="AN793" s="90"/>
      <c r="AO793" s="90"/>
      <c r="AP793" s="90"/>
      <c r="AQ793" s="93"/>
      <c r="AR793" s="93"/>
      <c r="AS793" s="94"/>
      <c r="AT793" s="93"/>
      <c r="AU793" s="93"/>
      <c r="AV793" s="93"/>
    </row>
    <row r="794" spans="1:48" ht="12.75" customHeight="1" x14ac:dyDescent="0.2">
      <c r="A794" s="86"/>
      <c r="B794" s="87"/>
      <c r="C794" s="88"/>
      <c r="D794" s="89"/>
      <c r="E794" s="90"/>
      <c r="F794" s="90"/>
      <c r="G794" s="91"/>
      <c r="H794" s="91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2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  <c r="AQ794" s="93"/>
      <c r="AR794" s="93"/>
      <c r="AS794" s="94"/>
      <c r="AT794" s="93"/>
      <c r="AU794" s="93"/>
      <c r="AV794" s="93"/>
    </row>
    <row r="795" spans="1:48" ht="12.75" customHeight="1" x14ac:dyDescent="0.2">
      <c r="A795" s="86"/>
      <c r="B795" s="87"/>
      <c r="C795" s="88"/>
      <c r="D795" s="89"/>
      <c r="E795" s="90"/>
      <c r="F795" s="90"/>
      <c r="G795" s="91"/>
      <c r="H795" s="91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2"/>
      <c r="AG795" s="90"/>
      <c r="AH795" s="90"/>
      <c r="AI795" s="90"/>
      <c r="AJ795" s="90"/>
      <c r="AK795" s="90"/>
      <c r="AL795" s="90"/>
      <c r="AM795" s="90"/>
      <c r="AN795" s="90"/>
      <c r="AO795" s="90"/>
      <c r="AP795" s="90"/>
      <c r="AQ795" s="93"/>
      <c r="AR795" s="93"/>
      <c r="AS795" s="94"/>
      <c r="AT795" s="93"/>
      <c r="AU795" s="93"/>
      <c r="AV795" s="93"/>
    </row>
    <row r="796" spans="1:48" ht="12.75" customHeight="1" x14ac:dyDescent="0.2">
      <c r="A796" s="86"/>
      <c r="B796" s="87"/>
      <c r="C796" s="88"/>
      <c r="D796" s="89"/>
      <c r="E796" s="90"/>
      <c r="F796" s="90"/>
      <c r="G796" s="91"/>
      <c r="H796" s="91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2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93"/>
      <c r="AR796" s="93"/>
      <c r="AS796" s="94"/>
      <c r="AT796" s="93"/>
      <c r="AU796" s="93"/>
      <c r="AV796" s="93"/>
    </row>
    <row r="797" spans="1:48" ht="12.75" customHeight="1" x14ac:dyDescent="0.2">
      <c r="A797" s="86"/>
      <c r="B797" s="87"/>
      <c r="C797" s="88"/>
      <c r="D797" s="89"/>
      <c r="E797" s="90"/>
      <c r="F797" s="90"/>
      <c r="G797" s="91"/>
      <c r="H797" s="91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2"/>
      <c r="AG797" s="90"/>
      <c r="AH797" s="90"/>
      <c r="AI797" s="90"/>
      <c r="AJ797" s="90"/>
      <c r="AK797" s="90"/>
      <c r="AL797" s="90"/>
      <c r="AM797" s="90"/>
      <c r="AN797" s="90"/>
      <c r="AO797" s="90"/>
      <c r="AP797" s="90"/>
      <c r="AQ797" s="93"/>
      <c r="AR797" s="93"/>
      <c r="AS797" s="94"/>
      <c r="AT797" s="93"/>
      <c r="AU797" s="93"/>
      <c r="AV797" s="93"/>
    </row>
    <row r="798" spans="1:48" ht="12.75" customHeight="1" x14ac:dyDescent="0.2">
      <c r="A798" s="86"/>
      <c r="B798" s="87"/>
      <c r="C798" s="88"/>
      <c r="D798" s="89"/>
      <c r="E798" s="90"/>
      <c r="F798" s="90"/>
      <c r="G798" s="91"/>
      <c r="H798" s="91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2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93"/>
      <c r="AR798" s="93"/>
      <c r="AS798" s="94"/>
      <c r="AT798" s="93"/>
      <c r="AU798" s="93"/>
      <c r="AV798" s="93"/>
    </row>
    <row r="799" spans="1:48" ht="12.75" customHeight="1" x14ac:dyDescent="0.2">
      <c r="A799" s="86"/>
      <c r="B799" s="87"/>
      <c r="C799" s="88"/>
      <c r="D799" s="89"/>
      <c r="E799" s="90"/>
      <c r="F799" s="90"/>
      <c r="G799" s="91"/>
      <c r="H799" s="91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2"/>
      <c r="AG799" s="90"/>
      <c r="AH799" s="90"/>
      <c r="AI799" s="90"/>
      <c r="AJ799" s="90"/>
      <c r="AK799" s="90"/>
      <c r="AL799" s="90"/>
      <c r="AM799" s="90"/>
      <c r="AN799" s="90"/>
      <c r="AO799" s="90"/>
      <c r="AP799" s="90"/>
      <c r="AQ799" s="93"/>
      <c r="AR799" s="93"/>
      <c r="AS799" s="94"/>
      <c r="AT799" s="93"/>
      <c r="AU799" s="93"/>
      <c r="AV799" s="93"/>
    </row>
    <row r="800" spans="1:48" ht="12.75" customHeight="1" x14ac:dyDescent="0.2">
      <c r="A800" s="86"/>
      <c r="B800" s="87"/>
      <c r="C800" s="88"/>
      <c r="D800" s="89"/>
      <c r="E800" s="90"/>
      <c r="F800" s="90"/>
      <c r="G800" s="91"/>
      <c r="H800" s="91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2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93"/>
      <c r="AR800" s="93"/>
      <c r="AS800" s="94"/>
      <c r="AT800" s="93"/>
      <c r="AU800" s="93"/>
      <c r="AV800" s="93"/>
    </row>
    <row r="801" spans="1:48" ht="12.75" customHeight="1" x14ac:dyDescent="0.2">
      <c r="A801" s="86"/>
      <c r="B801" s="87"/>
      <c r="C801" s="88"/>
      <c r="D801" s="89"/>
      <c r="E801" s="90"/>
      <c r="F801" s="90"/>
      <c r="G801" s="91"/>
      <c r="H801" s="91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2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3"/>
      <c r="AR801" s="93"/>
      <c r="AS801" s="94"/>
      <c r="AT801" s="93"/>
      <c r="AU801" s="93"/>
      <c r="AV801" s="93"/>
    </row>
    <row r="802" spans="1:48" ht="12.75" customHeight="1" x14ac:dyDescent="0.2">
      <c r="A802" s="86"/>
      <c r="B802" s="87"/>
      <c r="C802" s="88"/>
      <c r="D802" s="89"/>
      <c r="E802" s="90"/>
      <c r="F802" s="90"/>
      <c r="G802" s="91"/>
      <c r="H802" s="91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2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93"/>
      <c r="AR802" s="93"/>
      <c r="AS802" s="94"/>
      <c r="AT802" s="93"/>
      <c r="AU802" s="93"/>
      <c r="AV802" s="93"/>
    </row>
    <row r="803" spans="1:48" ht="12.75" customHeight="1" x14ac:dyDescent="0.2">
      <c r="A803" s="86"/>
      <c r="B803" s="87"/>
      <c r="C803" s="88"/>
      <c r="D803" s="89"/>
      <c r="E803" s="90"/>
      <c r="F803" s="90"/>
      <c r="G803" s="91"/>
      <c r="H803" s="91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2"/>
      <c r="AG803" s="90"/>
      <c r="AH803" s="90"/>
      <c r="AI803" s="90"/>
      <c r="AJ803" s="90"/>
      <c r="AK803" s="90"/>
      <c r="AL803" s="90"/>
      <c r="AM803" s="90"/>
      <c r="AN803" s="90"/>
      <c r="AO803" s="90"/>
      <c r="AP803" s="90"/>
      <c r="AQ803" s="93"/>
      <c r="AR803" s="93"/>
      <c r="AS803" s="94"/>
      <c r="AT803" s="93"/>
      <c r="AU803" s="93"/>
      <c r="AV803" s="93"/>
    </row>
    <row r="804" spans="1:48" ht="12.75" customHeight="1" x14ac:dyDescent="0.2">
      <c r="A804" s="86"/>
      <c r="B804" s="87"/>
      <c r="C804" s="88"/>
      <c r="D804" s="89"/>
      <c r="E804" s="90"/>
      <c r="F804" s="90"/>
      <c r="G804" s="91"/>
      <c r="H804" s="91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2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93"/>
      <c r="AR804" s="93"/>
      <c r="AS804" s="94"/>
      <c r="AT804" s="93"/>
      <c r="AU804" s="93"/>
      <c r="AV804" s="93"/>
    </row>
    <row r="805" spans="1:48" ht="12.75" customHeight="1" x14ac:dyDescent="0.2">
      <c r="A805" s="86"/>
      <c r="B805" s="87"/>
      <c r="C805" s="88"/>
      <c r="D805" s="89"/>
      <c r="E805" s="90"/>
      <c r="F805" s="90"/>
      <c r="G805" s="91"/>
      <c r="H805" s="91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2"/>
      <c r="AG805" s="90"/>
      <c r="AH805" s="90"/>
      <c r="AI805" s="90"/>
      <c r="AJ805" s="90"/>
      <c r="AK805" s="90"/>
      <c r="AL805" s="90"/>
      <c r="AM805" s="90"/>
      <c r="AN805" s="90"/>
      <c r="AO805" s="90"/>
      <c r="AP805" s="90"/>
      <c r="AQ805" s="93"/>
      <c r="AR805" s="93"/>
      <c r="AS805" s="94"/>
      <c r="AT805" s="93"/>
      <c r="AU805" s="93"/>
      <c r="AV805" s="93"/>
    </row>
    <row r="806" spans="1:48" ht="12.75" customHeight="1" x14ac:dyDescent="0.2">
      <c r="A806" s="86"/>
      <c r="B806" s="87"/>
      <c r="C806" s="88"/>
      <c r="D806" s="89"/>
      <c r="E806" s="90"/>
      <c r="F806" s="90"/>
      <c r="G806" s="91"/>
      <c r="H806" s="91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2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93"/>
      <c r="AR806" s="93"/>
      <c r="AS806" s="94"/>
      <c r="AT806" s="93"/>
      <c r="AU806" s="93"/>
      <c r="AV806" s="93"/>
    </row>
    <row r="807" spans="1:48" ht="12.75" customHeight="1" x14ac:dyDescent="0.2">
      <c r="A807" s="86"/>
      <c r="B807" s="87"/>
      <c r="C807" s="88"/>
      <c r="D807" s="89"/>
      <c r="E807" s="90"/>
      <c r="F807" s="90"/>
      <c r="G807" s="91"/>
      <c r="H807" s="91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2"/>
      <c r="AG807" s="90"/>
      <c r="AH807" s="90"/>
      <c r="AI807" s="90"/>
      <c r="AJ807" s="90"/>
      <c r="AK807" s="90"/>
      <c r="AL807" s="90"/>
      <c r="AM807" s="90"/>
      <c r="AN807" s="90"/>
      <c r="AO807" s="90"/>
      <c r="AP807" s="90"/>
      <c r="AQ807" s="93"/>
      <c r="AR807" s="93"/>
      <c r="AS807" s="94"/>
      <c r="AT807" s="93"/>
      <c r="AU807" s="93"/>
      <c r="AV807" s="93"/>
    </row>
    <row r="808" spans="1:48" ht="12.75" customHeight="1" x14ac:dyDescent="0.2">
      <c r="A808" s="86"/>
      <c r="B808" s="87"/>
      <c r="C808" s="88"/>
      <c r="D808" s="89"/>
      <c r="E808" s="90"/>
      <c r="F808" s="90"/>
      <c r="G808" s="91"/>
      <c r="H808" s="91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2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93"/>
      <c r="AR808" s="93"/>
      <c r="AS808" s="94"/>
      <c r="AT808" s="93"/>
      <c r="AU808" s="93"/>
      <c r="AV808" s="93"/>
    </row>
    <row r="809" spans="1:48" ht="12.75" customHeight="1" x14ac:dyDescent="0.2">
      <c r="A809" s="86"/>
      <c r="B809" s="87"/>
      <c r="C809" s="88"/>
      <c r="D809" s="89"/>
      <c r="E809" s="90"/>
      <c r="F809" s="90"/>
      <c r="G809" s="91"/>
      <c r="H809" s="91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2"/>
      <c r="AG809" s="90"/>
      <c r="AH809" s="90"/>
      <c r="AI809" s="90"/>
      <c r="AJ809" s="90"/>
      <c r="AK809" s="90"/>
      <c r="AL809" s="90"/>
      <c r="AM809" s="90"/>
      <c r="AN809" s="90"/>
      <c r="AO809" s="90"/>
      <c r="AP809" s="90"/>
      <c r="AQ809" s="93"/>
      <c r="AR809" s="93"/>
      <c r="AS809" s="94"/>
      <c r="AT809" s="93"/>
      <c r="AU809" s="93"/>
      <c r="AV809" s="93"/>
    </row>
    <row r="810" spans="1:48" ht="12.75" customHeight="1" x14ac:dyDescent="0.2">
      <c r="A810" s="86"/>
      <c r="B810" s="87"/>
      <c r="C810" s="88"/>
      <c r="D810" s="89"/>
      <c r="E810" s="90"/>
      <c r="F810" s="90"/>
      <c r="G810" s="91"/>
      <c r="H810" s="91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2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93"/>
      <c r="AR810" s="93"/>
      <c r="AS810" s="94"/>
      <c r="AT810" s="93"/>
      <c r="AU810" s="93"/>
      <c r="AV810" s="93"/>
    </row>
    <row r="811" spans="1:48" ht="12.75" customHeight="1" x14ac:dyDescent="0.2">
      <c r="A811" s="86"/>
      <c r="B811" s="87"/>
      <c r="C811" s="88"/>
      <c r="D811" s="89"/>
      <c r="E811" s="90"/>
      <c r="F811" s="90"/>
      <c r="G811" s="91"/>
      <c r="H811" s="91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2"/>
      <c r="AG811" s="90"/>
      <c r="AH811" s="90"/>
      <c r="AI811" s="90"/>
      <c r="AJ811" s="90"/>
      <c r="AK811" s="90"/>
      <c r="AL811" s="90"/>
      <c r="AM811" s="90"/>
      <c r="AN811" s="90"/>
      <c r="AO811" s="90"/>
      <c r="AP811" s="90"/>
      <c r="AQ811" s="93"/>
      <c r="AR811" s="93"/>
      <c r="AS811" s="94"/>
      <c r="AT811" s="93"/>
      <c r="AU811" s="93"/>
      <c r="AV811" s="93"/>
    </row>
    <row r="812" spans="1:48" ht="12.75" customHeight="1" x14ac:dyDescent="0.2">
      <c r="A812" s="86"/>
      <c r="B812" s="87"/>
      <c r="C812" s="88"/>
      <c r="D812" s="89"/>
      <c r="E812" s="90"/>
      <c r="F812" s="90"/>
      <c r="G812" s="91"/>
      <c r="H812" s="91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2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93"/>
      <c r="AR812" s="93"/>
      <c r="AS812" s="94"/>
      <c r="AT812" s="93"/>
      <c r="AU812" s="93"/>
      <c r="AV812" s="93"/>
    </row>
    <row r="813" spans="1:48" ht="12.75" customHeight="1" x14ac:dyDescent="0.2">
      <c r="A813" s="86"/>
      <c r="B813" s="87"/>
      <c r="C813" s="88"/>
      <c r="D813" s="89"/>
      <c r="E813" s="90"/>
      <c r="F813" s="90"/>
      <c r="G813" s="91"/>
      <c r="H813" s="91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2"/>
      <c r="AG813" s="90"/>
      <c r="AH813" s="90"/>
      <c r="AI813" s="90"/>
      <c r="AJ813" s="90"/>
      <c r="AK813" s="90"/>
      <c r="AL813" s="90"/>
      <c r="AM813" s="90"/>
      <c r="AN813" s="90"/>
      <c r="AO813" s="90"/>
      <c r="AP813" s="90"/>
      <c r="AQ813" s="93"/>
      <c r="AR813" s="93"/>
      <c r="AS813" s="94"/>
      <c r="AT813" s="93"/>
      <c r="AU813" s="93"/>
      <c r="AV813" s="93"/>
    </row>
    <row r="814" spans="1:48" ht="12.75" customHeight="1" x14ac:dyDescent="0.2">
      <c r="A814" s="86"/>
      <c r="B814" s="87"/>
      <c r="C814" s="88"/>
      <c r="D814" s="89"/>
      <c r="E814" s="90"/>
      <c r="F814" s="90"/>
      <c r="G814" s="91"/>
      <c r="H814" s="91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2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93"/>
      <c r="AR814" s="93"/>
      <c r="AS814" s="94"/>
      <c r="AT814" s="93"/>
      <c r="AU814" s="93"/>
      <c r="AV814" s="93"/>
    </row>
    <row r="815" spans="1:48" ht="12.75" customHeight="1" x14ac:dyDescent="0.2">
      <c r="A815" s="86"/>
      <c r="B815" s="87"/>
      <c r="C815" s="88"/>
      <c r="D815" s="89"/>
      <c r="E815" s="90"/>
      <c r="F815" s="90"/>
      <c r="G815" s="91"/>
      <c r="H815" s="91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2"/>
      <c r="AG815" s="90"/>
      <c r="AH815" s="90"/>
      <c r="AI815" s="90"/>
      <c r="AJ815" s="90"/>
      <c r="AK815" s="90"/>
      <c r="AL815" s="90"/>
      <c r="AM815" s="90"/>
      <c r="AN815" s="90"/>
      <c r="AO815" s="90"/>
      <c r="AP815" s="90"/>
      <c r="AQ815" s="93"/>
      <c r="AR815" s="93"/>
      <c r="AS815" s="94"/>
      <c r="AT815" s="93"/>
      <c r="AU815" s="93"/>
      <c r="AV815" s="93"/>
    </row>
    <row r="816" spans="1:48" ht="12.75" customHeight="1" x14ac:dyDescent="0.2">
      <c r="A816" s="86"/>
      <c r="B816" s="87"/>
      <c r="C816" s="88"/>
      <c r="D816" s="89"/>
      <c r="E816" s="90"/>
      <c r="F816" s="90"/>
      <c r="G816" s="91"/>
      <c r="H816" s="91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2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93"/>
      <c r="AR816" s="93"/>
      <c r="AS816" s="94"/>
      <c r="AT816" s="93"/>
      <c r="AU816" s="93"/>
      <c r="AV816" s="93"/>
    </row>
    <row r="817" spans="1:48" ht="12.75" customHeight="1" x14ac:dyDescent="0.2">
      <c r="A817" s="86"/>
      <c r="B817" s="87"/>
      <c r="C817" s="88"/>
      <c r="D817" s="89"/>
      <c r="E817" s="90"/>
      <c r="F817" s="90"/>
      <c r="G817" s="91"/>
      <c r="H817" s="91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2"/>
      <c r="AG817" s="90"/>
      <c r="AH817" s="90"/>
      <c r="AI817" s="90"/>
      <c r="AJ817" s="90"/>
      <c r="AK817" s="90"/>
      <c r="AL817" s="90"/>
      <c r="AM817" s="90"/>
      <c r="AN817" s="90"/>
      <c r="AO817" s="90"/>
      <c r="AP817" s="90"/>
      <c r="AQ817" s="93"/>
      <c r="AR817" s="93"/>
      <c r="AS817" s="94"/>
      <c r="AT817" s="93"/>
      <c r="AU817" s="93"/>
      <c r="AV817" s="93"/>
    </row>
    <row r="818" spans="1:48" ht="12.75" customHeight="1" x14ac:dyDescent="0.2">
      <c r="A818" s="86"/>
      <c r="B818" s="87"/>
      <c r="C818" s="88"/>
      <c r="D818" s="89"/>
      <c r="E818" s="90"/>
      <c r="F818" s="90"/>
      <c r="G818" s="91"/>
      <c r="H818" s="91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2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  <c r="AQ818" s="93"/>
      <c r="AR818" s="93"/>
      <c r="AS818" s="94"/>
      <c r="AT818" s="93"/>
      <c r="AU818" s="93"/>
      <c r="AV818" s="93"/>
    </row>
    <row r="819" spans="1:48" ht="12.75" customHeight="1" x14ac:dyDescent="0.2">
      <c r="A819" s="86"/>
      <c r="B819" s="87"/>
      <c r="C819" s="88"/>
      <c r="D819" s="89"/>
      <c r="E819" s="90"/>
      <c r="F819" s="90"/>
      <c r="G819" s="91"/>
      <c r="H819" s="91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2"/>
      <c r="AG819" s="90"/>
      <c r="AH819" s="90"/>
      <c r="AI819" s="90"/>
      <c r="AJ819" s="90"/>
      <c r="AK819" s="90"/>
      <c r="AL819" s="90"/>
      <c r="AM819" s="90"/>
      <c r="AN819" s="90"/>
      <c r="AO819" s="90"/>
      <c r="AP819" s="90"/>
      <c r="AQ819" s="93"/>
      <c r="AR819" s="93"/>
      <c r="AS819" s="94"/>
      <c r="AT819" s="93"/>
      <c r="AU819" s="93"/>
      <c r="AV819" s="93"/>
    </row>
    <row r="820" spans="1:48" ht="12.75" customHeight="1" x14ac:dyDescent="0.2">
      <c r="A820" s="86"/>
      <c r="B820" s="87"/>
      <c r="C820" s="88"/>
      <c r="D820" s="89"/>
      <c r="E820" s="90"/>
      <c r="F820" s="90"/>
      <c r="G820" s="91"/>
      <c r="H820" s="91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2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  <c r="AQ820" s="93"/>
      <c r="AR820" s="93"/>
      <c r="AS820" s="94"/>
      <c r="AT820" s="93"/>
      <c r="AU820" s="93"/>
      <c r="AV820" s="93"/>
    </row>
    <row r="821" spans="1:48" ht="12.75" customHeight="1" x14ac:dyDescent="0.2">
      <c r="A821" s="86"/>
      <c r="B821" s="87"/>
      <c r="C821" s="88"/>
      <c r="D821" s="89"/>
      <c r="E821" s="90"/>
      <c r="F821" s="90"/>
      <c r="G821" s="91"/>
      <c r="H821" s="91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2"/>
      <c r="AG821" s="90"/>
      <c r="AH821" s="90"/>
      <c r="AI821" s="90"/>
      <c r="AJ821" s="90"/>
      <c r="AK821" s="90"/>
      <c r="AL821" s="90"/>
      <c r="AM821" s="90"/>
      <c r="AN821" s="90"/>
      <c r="AO821" s="90"/>
      <c r="AP821" s="90"/>
      <c r="AQ821" s="93"/>
      <c r="AR821" s="93"/>
      <c r="AS821" s="94"/>
      <c r="AT821" s="93"/>
      <c r="AU821" s="93"/>
      <c r="AV821" s="93"/>
    </row>
    <row r="822" spans="1:48" ht="12.75" customHeight="1" x14ac:dyDescent="0.2">
      <c r="A822" s="86"/>
      <c r="B822" s="87"/>
      <c r="C822" s="88"/>
      <c r="D822" s="89"/>
      <c r="E822" s="90"/>
      <c r="F822" s="90"/>
      <c r="G822" s="91"/>
      <c r="H822" s="91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2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93"/>
      <c r="AR822" s="93"/>
      <c r="AS822" s="94"/>
      <c r="AT822" s="93"/>
      <c r="AU822" s="93"/>
      <c r="AV822" s="93"/>
    </row>
    <row r="823" spans="1:48" ht="12.75" customHeight="1" x14ac:dyDescent="0.2">
      <c r="A823" s="86"/>
      <c r="B823" s="87"/>
      <c r="C823" s="88"/>
      <c r="D823" s="89"/>
      <c r="E823" s="90"/>
      <c r="F823" s="90"/>
      <c r="G823" s="91"/>
      <c r="H823" s="91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2"/>
      <c r="AG823" s="90"/>
      <c r="AH823" s="90"/>
      <c r="AI823" s="90"/>
      <c r="AJ823" s="90"/>
      <c r="AK823" s="90"/>
      <c r="AL823" s="90"/>
      <c r="AM823" s="90"/>
      <c r="AN823" s="90"/>
      <c r="AO823" s="90"/>
      <c r="AP823" s="90"/>
      <c r="AQ823" s="93"/>
      <c r="AR823" s="93"/>
      <c r="AS823" s="94"/>
      <c r="AT823" s="93"/>
      <c r="AU823" s="93"/>
      <c r="AV823" s="93"/>
    </row>
    <row r="824" spans="1:48" ht="12.75" customHeight="1" x14ac:dyDescent="0.2">
      <c r="A824" s="86"/>
      <c r="B824" s="87"/>
      <c r="C824" s="88"/>
      <c r="D824" s="89"/>
      <c r="E824" s="90"/>
      <c r="F824" s="90"/>
      <c r="G824" s="91"/>
      <c r="H824" s="91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2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93"/>
      <c r="AR824" s="93"/>
      <c r="AS824" s="94"/>
      <c r="AT824" s="93"/>
      <c r="AU824" s="93"/>
      <c r="AV824" s="93"/>
    </row>
    <row r="825" spans="1:48" ht="12.75" customHeight="1" x14ac:dyDescent="0.2">
      <c r="A825" s="86"/>
      <c r="B825" s="87"/>
      <c r="C825" s="88"/>
      <c r="D825" s="89"/>
      <c r="E825" s="90"/>
      <c r="F825" s="90"/>
      <c r="G825" s="91"/>
      <c r="H825" s="91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2"/>
      <c r="AG825" s="90"/>
      <c r="AH825" s="90"/>
      <c r="AI825" s="90"/>
      <c r="AJ825" s="90"/>
      <c r="AK825" s="90"/>
      <c r="AL825" s="90"/>
      <c r="AM825" s="90"/>
      <c r="AN825" s="90"/>
      <c r="AO825" s="90"/>
      <c r="AP825" s="90"/>
      <c r="AQ825" s="93"/>
      <c r="AR825" s="93"/>
      <c r="AS825" s="94"/>
      <c r="AT825" s="93"/>
      <c r="AU825" s="93"/>
      <c r="AV825" s="93"/>
    </row>
    <row r="826" spans="1:48" ht="12.75" customHeight="1" x14ac:dyDescent="0.2">
      <c r="A826" s="86"/>
      <c r="B826" s="87"/>
      <c r="C826" s="88"/>
      <c r="D826" s="89"/>
      <c r="E826" s="90"/>
      <c r="F826" s="90"/>
      <c r="G826" s="91"/>
      <c r="H826" s="91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2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93"/>
      <c r="AR826" s="93"/>
      <c r="AS826" s="94"/>
      <c r="AT826" s="93"/>
      <c r="AU826" s="93"/>
      <c r="AV826" s="93"/>
    </row>
    <row r="827" spans="1:48" ht="12.75" customHeight="1" x14ac:dyDescent="0.2">
      <c r="A827" s="86"/>
      <c r="B827" s="87"/>
      <c r="C827" s="88"/>
      <c r="D827" s="89"/>
      <c r="E827" s="90"/>
      <c r="F827" s="90"/>
      <c r="G827" s="91"/>
      <c r="H827" s="91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2"/>
      <c r="AG827" s="90"/>
      <c r="AH827" s="90"/>
      <c r="AI827" s="90"/>
      <c r="AJ827" s="90"/>
      <c r="AK827" s="90"/>
      <c r="AL827" s="90"/>
      <c r="AM827" s="90"/>
      <c r="AN827" s="90"/>
      <c r="AO827" s="90"/>
      <c r="AP827" s="90"/>
      <c r="AQ827" s="93"/>
      <c r="AR827" s="93"/>
      <c r="AS827" s="94"/>
      <c r="AT827" s="93"/>
      <c r="AU827" s="93"/>
      <c r="AV827" s="93"/>
    </row>
    <row r="828" spans="1:48" ht="12.75" customHeight="1" x14ac:dyDescent="0.2">
      <c r="A828" s="86"/>
      <c r="B828" s="87"/>
      <c r="C828" s="88"/>
      <c r="D828" s="89"/>
      <c r="E828" s="90"/>
      <c r="F828" s="90"/>
      <c r="G828" s="91"/>
      <c r="H828" s="91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2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93"/>
      <c r="AR828" s="93"/>
      <c r="AS828" s="94"/>
      <c r="AT828" s="93"/>
      <c r="AU828" s="93"/>
      <c r="AV828" s="93"/>
    </row>
    <row r="829" spans="1:48" ht="12.75" customHeight="1" x14ac:dyDescent="0.2">
      <c r="A829" s="86"/>
      <c r="B829" s="87"/>
      <c r="C829" s="88"/>
      <c r="D829" s="89"/>
      <c r="E829" s="90"/>
      <c r="F829" s="90"/>
      <c r="G829" s="91"/>
      <c r="H829" s="91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2"/>
      <c r="AG829" s="90"/>
      <c r="AH829" s="90"/>
      <c r="AI829" s="90"/>
      <c r="AJ829" s="90"/>
      <c r="AK829" s="90"/>
      <c r="AL829" s="90"/>
      <c r="AM829" s="90"/>
      <c r="AN829" s="90"/>
      <c r="AO829" s="90"/>
      <c r="AP829" s="90"/>
      <c r="AQ829" s="93"/>
      <c r="AR829" s="93"/>
      <c r="AS829" s="94"/>
      <c r="AT829" s="93"/>
      <c r="AU829" s="93"/>
      <c r="AV829" s="93"/>
    </row>
    <row r="830" spans="1:48" ht="12.75" customHeight="1" x14ac:dyDescent="0.2">
      <c r="A830" s="86"/>
      <c r="B830" s="87"/>
      <c r="C830" s="88"/>
      <c r="D830" s="89"/>
      <c r="E830" s="90"/>
      <c r="F830" s="90"/>
      <c r="G830" s="91"/>
      <c r="H830" s="91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2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93"/>
      <c r="AR830" s="93"/>
      <c r="AS830" s="94"/>
      <c r="AT830" s="93"/>
      <c r="AU830" s="93"/>
      <c r="AV830" s="93"/>
    </row>
    <row r="831" spans="1:48" ht="12.75" customHeight="1" x14ac:dyDescent="0.2">
      <c r="A831" s="86"/>
      <c r="B831" s="87"/>
      <c r="C831" s="88"/>
      <c r="D831" s="89"/>
      <c r="E831" s="90"/>
      <c r="F831" s="90"/>
      <c r="G831" s="91"/>
      <c r="H831" s="91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2"/>
      <c r="AG831" s="90"/>
      <c r="AH831" s="90"/>
      <c r="AI831" s="90"/>
      <c r="AJ831" s="90"/>
      <c r="AK831" s="90"/>
      <c r="AL831" s="90"/>
      <c r="AM831" s="90"/>
      <c r="AN831" s="90"/>
      <c r="AO831" s="90"/>
      <c r="AP831" s="90"/>
      <c r="AQ831" s="93"/>
      <c r="AR831" s="93"/>
      <c r="AS831" s="94"/>
      <c r="AT831" s="93"/>
      <c r="AU831" s="93"/>
      <c r="AV831" s="93"/>
    </row>
    <row r="832" spans="1:48" ht="12.75" customHeight="1" x14ac:dyDescent="0.2">
      <c r="A832" s="86"/>
      <c r="B832" s="87"/>
      <c r="C832" s="88"/>
      <c r="D832" s="89"/>
      <c r="E832" s="90"/>
      <c r="F832" s="90"/>
      <c r="G832" s="91"/>
      <c r="H832" s="91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2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93"/>
      <c r="AR832" s="93"/>
      <c r="AS832" s="94"/>
      <c r="AT832" s="93"/>
      <c r="AU832" s="93"/>
      <c r="AV832" s="93"/>
    </row>
    <row r="833" spans="1:48" ht="12.75" customHeight="1" x14ac:dyDescent="0.2">
      <c r="A833" s="86"/>
      <c r="B833" s="87"/>
      <c r="C833" s="88"/>
      <c r="D833" s="89"/>
      <c r="E833" s="90"/>
      <c r="F833" s="90"/>
      <c r="G833" s="91"/>
      <c r="H833" s="91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2"/>
      <c r="AG833" s="90"/>
      <c r="AH833" s="90"/>
      <c r="AI833" s="90"/>
      <c r="AJ833" s="90"/>
      <c r="AK833" s="90"/>
      <c r="AL833" s="90"/>
      <c r="AM833" s="90"/>
      <c r="AN833" s="90"/>
      <c r="AO833" s="90"/>
      <c r="AP833" s="90"/>
      <c r="AQ833" s="93"/>
      <c r="AR833" s="93"/>
      <c r="AS833" s="94"/>
      <c r="AT833" s="93"/>
      <c r="AU833" s="93"/>
      <c r="AV833" s="93"/>
    </row>
    <row r="834" spans="1:48" ht="12.75" customHeight="1" x14ac:dyDescent="0.2">
      <c r="A834" s="86"/>
      <c r="B834" s="87"/>
      <c r="C834" s="88"/>
      <c r="D834" s="89"/>
      <c r="E834" s="90"/>
      <c r="F834" s="90"/>
      <c r="G834" s="91"/>
      <c r="H834" s="91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2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93"/>
      <c r="AR834" s="93"/>
      <c r="AS834" s="94"/>
      <c r="AT834" s="93"/>
      <c r="AU834" s="93"/>
      <c r="AV834" s="93"/>
    </row>
    <row r="835" spans="1:48" ht="12.75" customHeight="1" x14ac:dyDescent="0.2">
      <c r="A835" s="86"/>
      <c r="B835" s="87"/>
      <c r="C835" s="88"/>
      <c r="D835" s="89"/>
      <c r="E835" s="90"/>
      <c r="F835" s="90"/>
      <c r="G835" s="91"/>
      <c r="H835" s="91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2"/>
      <c r="AG835" s="90"/>
      <c r="AH835" s="90"/>
      <c r="AI835" s="90"/>
      <c r="AJ835" s="90"/>
      <c r="AK835" s="90"/>
      <c r="AL835" s="90"/>
      <c r="AM835" s="90"/>
      <c r="AN835" s="90"/>
      <c r="AO835" s="90"/>
      <c r="AP835" s="90"/>
      <c r="AQ835" s="93"/>
      <c r="AR835" s="93"/>
      <c r="AS835" s="94"/>
      <c r="AT835" s="93"/>
      <c r="AU835" s="93"/>
      <c r="AV835" s="93"/>
    </row>
    <row r="836" spans="1:48" ht="12.75" customHeight="1" x14ac:dyDescent="0.2">
      <c r="A836" s="86"/>
      <c r="B836" s="87"/>
      <c r="C836" s="88"/>
      <c r="D836" s="89"/>
      <c r="E836" s="90"/>
      <c r="F836" s="90"/>
      <c r="G836" s="91"/>
      <c r="H836" s="91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2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93"/>
      <c r="AR836" s="93"/>
      <c r="AS836" s="94"/>
      <c r="AT836" s="93"/>
      <c r="AU836" s="93"/>
      <c r="AV836" s="93"/>
    </row>
    <row r="837" spans="1:48" ht="12.75" customHeight="1" x14ac:dyDescent="0.2">
      <c r="A837" s="86"/>
      <c r="B837" s="87"/>
      <c r="C837" s="88"/>
      <c r="D837" s="89"/>
      <c r="E837" s="90"/>
      <c r="F837" s="90"/>
      <c r="G837" s="91"/>
      <c r="H837" s="91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2"/>
      <c r="AG837" s="90"/>
      <c r="AH837" s="90"/>
      <c r="AI837" s="90"/>
      <c r="AJ837" s="90"/>
      <c r="AK837" s="90"/>
      <c r="AL837" s="90"/>
      <c r="AM837" s="90"/>
      <c r="AN837" s="90"/>
      <c r="AO837" s="90"/>
      <c r="AP837" s="90"/>
      <c r="AQ837" s="93"/>
      <c r="AR837" s="93"/>
      <c r="AS837" s="94"/>
      <c r="AT837" s="93"/>
      <c r="AU837" s="93"/>
      <c r="AV837" s="93"/>
    </row>
    <row r="838" spans="1:48" ht="12.75" customHeight="1" x14ac:dyDescent="0.2">
      <c r="A838" s="86"/>
      <c r="B838" s="87"/>
      <c r="C838" s="88"/>
      <c r="D838" s="89"/>
      <c r="E838" s="90"/>
      <c r="F838" s="90"/>
      <c r="G838" s="91"/>
      <c r="H838" s="91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2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93"/>
      <c r="AR838" s="93"/>
      <c r="AS838" s="94"/>
      <c r="AT838" s="93"/>
      <c r="AU838" s="93"/>
      <c r="AV838" s="93"/>
    </row>
    <row r="839" spans="1:48" ht="12.75" customHeight="1" x14ac:dyDescent="0.2">
      <c r="A839" s="86"/>
      <c r="B839" s="87"/>
      <c r="C839" s="88"/>
      <c r="D839" s="89"/>
      <c r="E839" s="90"/>
      <c r="F839" s="90"/>
      <c r="G839" s="91"/>
      <c r="H839" s="91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2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3"/>
      <c r="AR839" s="93"/>
      <c r="AS839" s="94"/>
      <c r="AT839" s="93"/>
      <c r="AU839" s="93"/>
      <c r="AV839" s="93"/>
    </row>
    <row r="840" spans="1:48" ht="12.75" customHeight="1" x14ac:dyDescent="0.2">
      <c r="A840" s="86"/>
      <c r="B840" s="87"/>
      <c r="C840" s="88"/>
      <c r="D840" s="89"/>
      <c r="E840" s="90"/>
      <c r="F840" s="90"/>
      <c r="G840" s="91"/>
      <c r="H840" s="91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2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93"/>
      <c r="AR840" s="93"/>
      <c r="AS840" s="94"/>
      <c r="AT840" s="93"/>
      <c r="AU840" s="93"/>
      <c r="AV840" s="93"/>
    </row>
    <row r="841" spans="1:48" ht="12.75" customHeight="1" x14ac:dyDescent="0.2">
      <c r="A841" s="86"/>
      <c r="B841" s="87"/>
      <c r="C841" s="88"/>
      <c r="D841" s="89"/>
      <c r="E841" s="90"/>
      <c r="F841" s="90"/>
      <c r="G841" s="91"/>
      <c r="H841" s="91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2"/>
      <c r="AG841" s="90"/>
      <c r="AH841" s="90"/>
      <c r="AI841" s="90"/>
      <c r="AJ841" s="90"/>
      <c r="AK841" s="90"/>
      <c r="AL841" s="90"/>
      <c r="AM841" s="90"/>
      <c r="AN841" s="90"/>
      <c r="AO841" s="90"/>
      <c r="AP841" s="90"/>
      <c r="AQ841" s="93"/>
      <c r="AR841" s="93"/>
      <c r="AS841" s="94"/>
      <c r="AT841" s="93"/>
      <c r="AU841" s="93"/>
      <c r="AV841" s="93"/>
    </row>
    <row r="842" spans="1:48" ht="12.75" customHeight="1" x14ac:dyDescent="0.2">
      <c r="A842" s="86"/>
      <c r="B842" s="87"/>
      <c r="C842" s="88"/>
      <c r="D842" s="89"/>
      <c r="E842" s="90"/>
      <c r="F842" s="90"/>
      <c r="G842" s="91"/>
      <c r="H842" s="91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2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93"/>
      <c r="AR842" s="93"/>
      <c r="AS842" s="94"/>
      <c r="AT842" s="93"/>
      <c r="AU842" s="93"/>
      <c r="AV842" s="93"/>
    </row>
    <row r="843" spans="1:48" ht="12.75" customHeight="1" x14ac:dyDescent="0.2">
      <c r="A843" s="86"/>
      <c r="B843" s="87"/>
      <c r="C843" s="88"/>
      <c r="D843" s="89"/>
      <c r="E843" s="90"/>
      <c r="F843" s="90"/>
      <c r="G843" s="91"/>
      <c r="H843" s="91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2"/>
      <c r="AG843" s="90"/>
      <c r="AH843" s="90"/>
      <c r="AI843" s="90"/>
      <c r="AJ843" s="90"/>
      <c r="AK843" s="90"/>
      <c r="AL843" s="90"/>
      <c r="AM843" s="90"/>
      <c r="AN843" s="90"/>
      <c r="AO843" s="90"/>
      <c r="AP843" s="90"/>
      <c r="AQ843" s="93"/>
      <c r="AR843" s="93"/>
      <c r="AS843" s="94"/>
      <c r="AT843" s="93"/>
      <c r="AU843" s="93"/>
      <c r="AV843" s="93"/>
    </row>
    <row r="844" spans="1:48" ht="12.75" customHeight="1" x14ac:dyDescent="0.2">
      <c r="A844" s="86"/>
      <c r="B844" s="87"/>
      <c r="C844" s="88"/>
      <c r="D844" s="89"/>
      <c r="E844" s="90"/>
      <c r="F844" s="90"/>
      <c r="G844" s="91"/>
      <c r="H844" s="91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2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93"/>
      <c r="AR844" s="93"/>
      <c r="AS844" s="94"/>
      <c r="AT844" s="93"/>
      <c r="AU844" s="93"/>
      <c r="AV844" s="93"/>
    </row>
    <row r="845" spans="1:48" ht="12.75" customHeight="1" x14ac:dyDescent="0.2">
      <c r="A845" s="86"/>
      <c r="B845" s="87"/>
      <c r="C845" s="88"/>
      <c r="D845" s="89"/>
      <c r="E845" s="90"/>
      <c r="F845" s="90"/>
      <c r="G845" s="91"/>
      <c r="H845" s="91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2"/>
      <c r="AG845" s="90"/>
      <c r="AH845" s="90"/>
      <c r="AI845" s="90"/>
      <c r="AJ845" s="90"/>
      <c r="AK845" s="90"/>
      <c r="AL845" s="90"/>
      <c r="AM845" s="90"/>
      <c r="AN845" s="90"/>
      <c r="AO845" s="90"/>
      <c r="AP845" s="90"/>
      <c r="AQ845" s="93"/>
      <c r="AR845" s="93"/>
      <c r="AS845" s="94"/>
      <c r="AT845" s="93"/>
      <c r="AU845" s="93"/>
      <c r="AV845" s="93"/>
    </row>
    <row r="846" spans="1:48" ht="12.75" customHeight="1" x14ac:dyDescent="0.2">
      <c r="A846" s="86"/>
      <c r="B846" s="87"/>
      <c r="C846" s="88"/>
      <c r="D846" s="89"/>
      <c r="E846" s="90"/>
      <c r="F846" s="90"/>
      <c r="G846" s="91"/>
      <c r="H846" s="91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2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93"/>
      <c r="AR846" s="93"/>
      <c r="AS846" s="94"/>
      <c r="AT846" s="93"/>
      <c r="AU846" s="93"/>
      <c r="AV846" s="93"/>
    </row>
    <row r="847" spans="1:48" ht="12.75" customHeight="1" x14ac:dyDescent="0.2">
      <c r="A847" s="86"/>
      <c r="B847" s="87"/>
      <c r="C847" s="88"/>
      <c r="D847" s="89"/>
      <c r="E847" s="90"/>
      <c r="F847" s="90"/>
      <c r="G847" s="91"/>
      <c r="H847" s="91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2"/>
      <c r="AG847" s="90"/>
      <c r="AH847" s="90"/>
      <c r="AI847" s="90"/>
      <c r="AJ847" s="90"/>
      <c r="AK847" s="90"/>
      <c r="AL847" s="90"/>
      <c r="AM847" s="90"/>
      <c r="AN847" s="90"/>
      <c r="AO847" s="90"/>
      <c r="AP847" s="90"/>
      <c r="AQ847" s="93"/>
      <c r="AR847" s="93"/>
      <c r="AS847" s="94"/>
      <c r="AT847" s="93"/>
      <c r="AU847" s="93"/>
      <c r="AV847" s="93"/>
    </row>
    <row r="848" spans="1:48" ht="12.75" customHeight="1" x14ac:dyDescent="0.2">
      <c r="A848" s="86"/>
      <c r="B848" s="87"/>
      <c r="C848" s="88"/>
      <c r="D848" s="89"/>
      <c r="E848" s="90"/>
      <c r="F848" s="90"/>
      <c r="G848" s="91"/>
      <c r="H848" s="91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2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93"/>
      <c r="AR848" s="93"/>
      <c r="AS848" s="94"/>
      <c r="AT848" s="93"/>
      <c r="AU848" s="93"/>
      <c r="AV848" s="93"/>
    </row>
    <row r="849" spans="1:48" ht="12.75" customHeight="1" x14ac:dyDescent="0.2">
      <c r="A849" s="86"/>
      <c r="B849" s="87"/>
      <c r="C849" s="88"/>
      <c r="D849" s="89"/>
      <c r="E849" s="90"/>
      <c r="F849" s="90"/>
      <c r="G849" s="91"/>
      <c r="H849" s="91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2"/>
      <c r="AG849" s="90"/>
      <c r="AH849" s="90"/>
      <c r="AI849" s="90"/>
      <c r="AJ849" s="90"/>
      <c r="AK849" s="90"/>
      <c r="AL849" s="90"/>
      <c r="AM849" s="90"/>
      <c r="AN849" s="90"/>
      <c r="AO849" s="90"/>
      <c r="AP849" s="90"/>
      <c r="AQ849" s="93"/>
      <c r="AR849" s="93"/>
      <c r="AS849" s="94"/>
      <c r="AT849" s="93"/>
      <c r="AU849" s="93"/>
      <c r="AV849" s="93"/>
    </row>
    <row r="850" spans="1:48" ht="12.75" customHeight="1" x14ac:dyDescent="0.2">
      <c r="A850" s="86"/>
      <c r="B850" s="87"/>
      <c r="C850" s="88"/>
      <c r="D850" s="89"/>
      <c r="E850" s="90"/>
      <c r="F850" s="90"/>
      <c r="G850" s="91"/>
      <c r="H850" s="91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2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  <c r="AQ850" s="93"/>
      <c r="AR850" s="93"/>
      <c r="AS850" s="94"/>
      <c r="AT850" s="93"/>
      <c r="AU850" s="93"/>
      <c r="AV850" s="93"/>
    </row>
    <row r="851" spans="1:48" ht="12.75" customHeight="1" x14ac:dyDescent="0.2">
      <c r="A851" s="86"/>
      <c r="B851" s="87"/>
      <c r="C851" s="88"/>
      <c r="D851" s="89"/>
      <c r="E851" s="90"/>
      <c r="F851" s="90"/>
      <c r="G851" s="91"/>
      <c r="H851" s="91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2"/>
      <c r="AG851" s="90"/>
      <c r="AH851" s="90"/>
      <c r="AI851" s="90"/>
      <c r="AJ851" s="90"/>
      <c r="AK851" s="90"/>
      <c r="AL851" s="90"/>
      <c r="AM851" s="90"/>
      <c r="AN851" s="90"/>
      <c r="AO851" s="90"/>
      <c r="AP851" s="90"/>
      <c r="AQ851" s="93"/>
      <c r="AR851" s="93"/>
      <c r="AS851" s="94"/>
      <c r="AT851" s="93"/>
      <c r="AU851" s="93"/>
      <c r="AV851" s="93"/>
    </row>
    <row r="852" spans="1:48" ht="12.75" customHeight="1" x14ac:dyDescent="0.2">
      <c r="A852" s="86"/>
      <c r="B852" s="87"/>
      <c r="C852" s="88"/>
      <c r="D852" s="89"/>
      <c r="E852" s="90"/>
      <c r="F852" s="90"/>
      <c r="G852" s="91"/>
      <c r="H852" s="91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2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  <c r="AQ852" s="93"/>
      <c r="AR852" s="93"/>
      <c r="AS852" s="94"/>
      <c r="AT852" s="93"/>
      <c r="AU852" s="93"/>
      <c r="AV852" s="93"/>
    </row>
    <row r="853" spans="1:48" ht="12.75" customHeight="1" x14ac:dyDescent="0.2">
      <c r="A853" s="86"/>
      <c r="B853" s="87"/>
      <c r="C853" s="88"/>
      <c r="D853" s="89"/>
      <c r="E853" s="90"/>
      <c r="F853" s="90"/>
      <c r="G853" s="91"/>
      <c r="H853" s="91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2"/>
      <c r="AG853" s="90"/>
      <c r="AH853" s="90"/>
      <c r="AI853" s="90"/>
      <c r="AJ853" s="90"/>
      <c r="AK853" s="90"/>
      <c r="AL853" s="90"/>
      <c r="AM853" s="90"/>
      <c r="AN853" s="90"/>
      <c r="AO853" s="90"/>
      <c r="AP853" s="90"/>
      <c r="AQ853" s="93"/>
      <c r="AR853" s="93"/>
      <c r="AS853" s="94"/>
      <c r="AT853" s="93"/>
      <c r="AU853" s="93"/>
      <c r="AV853" s="93"/>
    </row>
    <row r="854" spans="1:48" ht="12.75" customHeight="1" x14ac:dyDescent="0.2">
      <c r="A854" s="86"/>
      <c r="B854" s="87"/>
      <c r="C854" s="88"/>
      <c r="D854" s="89"/>
      <c r="E854" s="90"/>
      <c r="F854" s="90"/>
      <c r="G854" s="91"/>
      <c r="H854" s="91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2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  <c r="AQ854" s="93"/>
      <c r="AR854" s="93"/>
      <c r="AS854" s="94"/>
      <c r="AT854" s="93"/>
      <c r="AU854" s="93"/>
      <c r="AV854" s="93"/>
    </row>
    <row r="855" spans="1:48" ht="12.75" customHeight="1" x14ac:dyDescent="0.2">
      <c r="A855" s="86"/>
      <c r="B855" s="87"/>
      <c r="C855" s="88"/>
      <c r="D855" s="89"/>
      <c r="E855" s="90"/>
      <c r="F855" s="90"/>
      <c r="G855" s="91"/>
      <c r="H855" s="91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2"/>
      <c r="AG855" s="90"/>
      <c r="AH855" s="90"/>
      <c r="AI855" s="90"/>
      <c r="AJ855" s="90"/>
      <c r="AK855" s="90"/>
      <c r="AL855" s="90"/>
      <c r="AM855" s="90"/>
      <c r="AN855" s="90"/>
      <c r="AO855" s="90"/>
      <c r="AP855" s="90"/>
      <c r="AQ855" s="93"/>
      <c r="AR855" s="93"/>
      <c r="AS855" s="94"/>
      <c r="AT855" s="93"/>
      <c r="AU855" s="93"/>
      <c r="AV855" s="93"/>
    </row>
    <row r="856" spans="1:48" ht="12.75" customHeight="1" x14ac:dyDescent="0.2">
      <c r="A856" s="86"/>
      <c r="B856" s="87"/>
      <c r="C856" s="88"/>
      <c r="D856" s="89"/>
      <c r="E856" s="90"/>
      <c r="F856" s="90"/>
      <c r="G856" s="91"/>
      <c r="H856" s="91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2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  <c r="AQ856" s="93"/>
      <c r="AR856" s="93"/>
      <c r="AS856" s="94"/>
      <c r="AT856" s="93"/>
      <c r="AU856" s="93"/>
      <c r="AV856" s="93"/>
    </row>
    <row r="857" spans="1:48" ht="12.75" customHeight="1" x14ac:dyDescent="0.2">
      <c r="A857" s="86"/>
      <c r="B857" s="87"/>
      <c r="C857" s="88"/>
      <c r="D857" s="89"/>
      <c r="E857" s="90"/>
      <c r="F857" s="90"/>
      <c r="G857" s="91"/>
      <c r="H857" s="91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2"/>
      <c r="AG857" s="90"/>
      <c r="AH857" s="90"/>
      <c r="AI857" s="90"/>
      <c r="AJ857" s="90"/>
      <c r="AK857" s="90"/>
      <c r="AL857" s="90"/>
      <c r="AM857" s="90"/>
      <c r="AN857" s="90"/>
      <c r="AO857" s="90"/>
      <c r="AP857" s="90"/>
      <c r="AQ857" s="93"/>
      <c r="AR857" s="93"/>
      <c r="AS857" s="94"/>
      <c r="AT857" s="93"/>
      <c r="AU857" s="93"/>
      <c r="AV857" s="93"/>
    </row>
    <row r="858" spans="1:48" ht="12.75" customHeight="1" x14ac:dyDescent="0.2">
      <c r="A858" s="86"/>
      <c r="B858" s="87"/>
      <c r="C858" s="88"/>
      <c r="D858" s="89"/>
      <c r="E858" s="90"/>
      <c r="F858" s="90"/>
      <c r="G858" s="91"/>
      <c r="H858" s="91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2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  <c r="AQ858" s="93"/>
      <c r="AR858" s="93"/>
      <c r="AS858" s="94"/>
      <c r="AT858" s="93"/>
      <c r="AU858" s="93"/>
      <c r="AV858" s="93"/>
    </row>
    <row r="859" spans="1:48" ht="12.75" customHeight="1" x14ac:dyDescent="0.2">
      <c r="A859" s="86"/>
      <c r="B859" s="87"/>
      <c r="C859" s="88"/>
      <c r="D859" s="89"/>
      <c r="E859" s="90"/>
      <c r="F859" s="90"/>
      <c r="G859" s="91"/>
      <c r="H859" s="91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2"/>
      <c r="AG859" s="90"/>
      <c r="AH859" s="90"/>
      <c r="AI859" s="90"/>
      <c r="AJ859" s="90"/>
      <c r="AK859" s="90"/>
      <c r="AL859" s="90"/>
      <c r="AM859" s="90"/>
      <c r="AN859" s="90"/>
      <c r="AO859" s="90"/>
      <c r="AP859" s="90"/>
      <c r="AQ859" s="93"/>
      <c r="AR859" s="93"/>
      <c r="AS859" s="94"/>
      <c r="AT859" s="93"/>
      <c r="AU859" s="93"/>
      <c r="AV859" s="93"/>
    </row>
    <row r="860" spans="1:48" ht="12.75" customHeight="1" x14ac:dyDescent="0.2">
      <c r="A860" s="86"/>
      <c r="B860" s="87"/>
      <c r="C860" s="88"/>
      <c r="D860" s="89"/>
      <c r="E860" s="90"/>
      <c r="F860" s="90"/>
      <c r="G860" s="91"/>
      <c r="H860" s="91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2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  <c r="AQ860" s="93"/>
      <c r="AR860" s="93"/>
      <c r="AS860" s="94"/>
      <c r="AT860" s="93"/>
      <c r="AU860" s="93"/>
      <c r="AV860" s="93"/>
    </row>
    <row r="861" spans="1:48" ht="12.75" customHeight="1" x14ac:dyDescent="0.2">
      <c r="A861" s="86"/>
      <c r="B861" s="87"/>
      <c r="C861" s="88"/>
      <c r="D861" s="89"/>
      <c r="E861" s="90"/>
      <c r="F861" s="90"/>
      <c r="G861" s="91"/>
      <c r="H861" s="91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2"/>
      <c r="AG861" s="90"/>
      <c r="AH861" s="90"/>
      <c r="AI861" s="90"/>
      <c r="AJ861" s="90"/>
      <c r="AK861" s="90"/>
      <c r="AL861" s="90"/>
      <c r="AM861" s="90"/>
      <c r="AN861" s="90"/>
      <c r="AO861" s="90"/>
      <c r="AP861" s="90"/>
      <c r="AQ861" s="93"/>
      <c r="AR861" s="93"/>
      <c r="AS861" s="94"/>
      <c r="AT861" s="93"/>
      <c r="AU861" s="93"/>
      <c r="AV861" s="93"/>
    </row>
    <row r="862" spans="1:48" ht="12.75" customHeight="1" x14ac:dyDescent="0.2">
      <c r="A862" s="86"/>
      <c r="B862" s="87"/>
      <c r="C862" s="88"/>
      <c r="D862" s="89"/>
      <c r="E862" s="90"/>
      <c r="F862" s="90"/>
      <c r="G862" s="91"/>
      <c r="H862" s="91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2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  <c r="AQ862" s="93"/>
      <c r="AR862" s="93"/>
      <c r="AS862" s="94"/>
      <c r="AT862" s="93"/>
      <c r="AU862" s="93"/>
      <c r="AV862" s="93"/>
    </row>
    <row r="863" spans="1:48" ht="12.75" customHeight="1" x14ac:dyDescent="0.2">
      <c r="A863" s="86"/>
      <c r="B863" s="87"/>
      <c r="C863" s="88"/>
      <c r="D863" s="89"/>
      <c r="E863" s="90"/>
      <c r="F863" s="90"/>
      <c r="G863" s="91"/>
      <c r="H863" s="91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2"/>
      <c r="AG863" s="90"/>
      <c r="AH863" s="90"/>
      <c r="AI863" s="90"/>
      <c r="AJ863" s="90"/>
      <c r="AK863" s="90"/>
      <c r="AL863" s="90"/>
      <c r="AM863" s="90"/>
      <c r="AN863" s="90"/>
      <c r="AO863" s="90"/>
      <c r="AP863" s="90"/>
      <c r="AQ863" s="93"/>
      <c r="AR863" s="93"/>
      <c r="AS863" s="94"/>
      <c r="AT863" s="93"/>
      <c r="AU863" s="93"/>
      <c r="AV863" s="93"/>
    </row>
    <row r="864" spans="1:48" ht="12.75" customHeight="1" x14ac:dyDescent="0.2">
      <c r="A864" s="86"/>
      <c r="B864" s="87"/>
      <c r="C864" s="88"/>
      <c r="D864" s="89"/>
      <c r="E864" s="90"/>
      <c r="F864" s="90"/>
      <c r="G864" s="91"/>
      <c r="H864" s="91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2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  <c r="AQ864" s="93"/>
      <c r="AR864" s="93"/>
      <c r="AS864" s="94"/>
      <c r="AT864" s="93"/>
      <c r="AU864" s="93"/>
      <c r="AV864" s="93"/>
    </row>
    <row r="865" spans="1:48" ht="12.75" customHeight="1" x14ac:dyDescent="0.2">
      <c r="A865" s="86"/>
      <c r="B865" s="87"/>
      <c r="C865" s="88"/>
      <c r="D865" s="89"/>
      <c r="E865" s="90"/>
      <c r="F865" s="90"/>
      <c r="G865" s="91"/>
      <c r="H865" s="91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2"/>
      <c r="AG865" s="90"/>
      <c r="AH865" s="90"/>
      <c r="AI865" s="90"/>
      <c r="AJ865" s="90"/>
      <c r="AK865" s="90"/>
      <c r="AL865" s="90"/>
      <c r="AM865" s="90"/>
      <c r="AN865" s="90"/>
      <c r="AO865" s="90"/>
      <c r="AP865" s="90"/>
      <c r="AQ865" s="93"/>
      <c r="AR865" s="93"/>
      <c r="AS865" s="94"/>
      <c r="AT865" s="93"/>
      <c r="AU865" s="93"/>
      <c r="AV865" s="93"/>
    </row>
    <row r="866" spans="1:48" ht="12.75" customHeight="1" x14ac:dyDescent="0.2">
      <c r="A866" s="86"/>
      <c r="B866" s="87"/>
      <c r="C866" s="88"/>
      <c r="D866" s="89"/>
      <c r="E866" s="90"/>
      <c r="F866" s="90"/>
      <c r="G866" s="91"/>
      <c r="H866" s="91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2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  <c r="AQ866" s="93"/>
      <c r="AR866" s="93"/>
      <c r="AS866" s="94"/>
      <c r="AT866" s="93"/>
      <c r="AU866" s="93"/>
      <c r="AV866" s="93"/>
    </row>
    <row r="867" spans="1:48" ht="12.75" customHeight="1" x14ac:dyDescent="0.2">
      <c r="A867" s="86"/>
      <c r="B867" s="87"/>
      <c r="C867" s="88"/>
      <c r="D867" s="89"/>
      <c r="E867" s="90"/>
      <c r="F867" s="90"/>
      <c r="G867" s="91"/>
      <c r="H867" s="91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2"/>
      <c r="AG867" s="90"/>
      <c r="AH867" s="90"/>
      <c r="AI867" s="90"/>
      <c r="AJ867" s="90"/>
      <c r="AK867" s="90"/>
      <c r="AL867" s="90"/>
      <c r="AM867" s="90"/>
      <c r="AN867" s="90"/>
      <c r="AO867" s="90"/>
      <c r="AP867" s="90"/>
      <c r="AQ867" s="93"/>
      <c r="AR867" s="93"/>
      <c r="AS867" s="94"/>
      <c r="AT867" s="93"/>
      <c r="AU867" s="93"/>
      <c r="AV867" s="93"/>
    </row>
    <row r="868" spans="1:48" ht="12.75" customHeight="1" x14ac:dyDescent="0.2">
      <c r="A868" s="86"/>
      <c r="B868" s="87"/>
      <c r="C868" s="88"/>
      <c r="D868" s="89"/>
      <c r="E868" s="90"/>
      <c r="F868" s="90"/>
      <c r="G868" s="91"/>
      <c r="H868" s="91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2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  <c r="AQ868" s="93"/>
      <c r="AR868" s="93"/>
      <c r="AS868" s="94"/>
      <c r="AT868" s="93"/>
      <c r="AU868" s="93"/>
      <c r="AV868" s="93"/>
    </row>
    <row r="869" spans="1:48" ht="12.75" customHeight="1" x14ac:dyDescent="0.2">
      <c r="A869" s="86"/>
      <c r="B869" s="87"/>
      <c r="C869" s="88"/>
      <c r="D869" s="89"/>
      <c r="E869" s="90"/>
      <c r="F869" s="90"/>
      <c r="G869" s="91"/>
      <c r="H869" s="91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2"/>
      <c r="AG869" s="90"/>
      <c r="AH869" s="90"/>
      <c r="AI869" s="90"/>
      <c r="AJ869" s="90"/>
      <c r="AK869" s="90"/>
      <c r="AL869" s="90"/>
      <c r="AM869" s="90"/>
      <c r="AN869" s="90"/>
      <c r="AO869" s="90"/>
      <c r="AP869" s="90"/>
      <c r="AQ869" s="93"/>
      <c r="AR869" s="93"/>
      <c r="AS869" s="94"/>
      <c r="AT869" s="93"/>
      <c r="AU869" s="93"/>
      <c r="AV869" s="93"/>
    </row>
    <row r="870" spans="1:48" ht="12.75" customHeight="1" x14ac:dyDescent="0.2">
      <c r="A870" s="86"/>
      <c r="B870" s="87"/>
      <c r="C870" s="88"/>
      <c r="D870" s="89"/>
      <c r="E870" s="90"/>
      <c r="F870" s="90"/>
      <c r="G870" s="91"/>
      <c r="H870" s="91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2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  <c r="AQ870" s="93"/>
      <c r="AR870" s="93"/>
      <c r="AS870" s="94"/>
      <c r="AT870" s="93"/>
      <c r="AU870" s="93"/>
      <c r="AV870" s="93"/>
    </row>
    <row r="871" spans="1:48" ht="12.75" customHeight="1" x14ac:dyDescent="0.2">
      <c r="A871" s="86"/>
      <c r="B871" s="87"/>
      <c r="C871" s="88"/>
      <c r="D871" s="89"/>
      <c r="E871" s="90"/>
      <c r="F871" s="90"/>
      <c r="G871" s="91"/>
      <c r="H871" s="91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2"/>
      <c r="AG871" s="90"/>
      <c r="AH871" s="90"/>
      <c r="AI871" s="90"/>
      <c r="AJ871" s="90"/>
      <c r="AK871" s="90"/>
      <c r="AL871" s="90"/>
      <c r="AM871" s="90"/>
      <c r="AN871" s="90"/>
      <c r="AO871" s="90"/>
      <c r="AP871" s="90"/>
      <c r="AQ871" s="93"/>
      <c r="AR871" s="93"/>
      <c r="AS871" s="94"/>
      <c r="AT871" s="93"/>
      <c r="AU871" s="93"/>
      <c r="AV871" s="93"/>
    </row>
    <row r="872" spans="1:48" ht="12.75" customHeight="1" x14ac:dyDescent="0.2">
      <c r="A872" s="86"/>
      <c r="B872" s="87"/>
      <c r="C872" s="88"/>
      <c r="D872" s="89"/>
      <c r="E872" s="90"/>
      <c r="F872" s="90"/>
      <c r="G872" s="91"/>
      <c r="H872" s="91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2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  <c r="AQ872" s="93"/>
      <c r="AR872" s="93"/>
      <c r="AS872" s="94"/>
      <c r="AT872" s="93"/>
      <c r="AU872" s="93"/>
      <c r="AV872" s="93"/>
    </row>
    <row r="873" spans="1:48" ht="12.75" customHeight="1" x14ac:dyDescent="0.2">
      <c r="A873" s="86"/>
      <c r="B873" s="87"/>
      <c r="C873" s="88"/>
      <c r="D873" s="89"/>
      <c r="E873" s="90"/>
      <c r="F873" s="90"/>
      <c r="G873" s="91"/>
      <c r="H873" s="91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2"/>
      <c r="AG873" s="90"/>
      <c r="AH873" s="90"/>
      <c r="AI873" s="90"/>
      <c r="AJ873" s="90"/>
      <c r="AK873" s="90"/>
      <c r="AL873" s="90"/>
      <c r="AM873" s="90"/>
      <c r="AN873" s="90"/>
      <c r="AO873" s="90"/>
      <c r="AP873" s="90"/>
      <c r="AQ873" s="93"/>
      <c r="AR873" s="93"/>
      <c r="AS873" s="94"/>
      <c r="AT873" s="93"/>
      <c r="AU873" s="93"/>
      <c r="AV873" s="93"/>
    </row>
    <row r="874" spans="1:48" ht="12.75" customHeight="1" x14ac:dyDescent="0.2">
      <c r="A874" s="86"/>
      <c r="B874" s="87"/>
      <c r="C874" s="88"/>
      <c r="D874" s="89"/>
      <c r="E874" s="90"/>
      <c r="F874" s="90"/>
      <c r="G874" s="91"/>
      <c r="H874" s="91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2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  <c r="AQ874" s="93"/>
      <c r="AR874" s="93"/>
      <c r="AS874" s="94"/>
      <c r="AT874" s="93"/>
      <c r="AU874" s="93"/>
      <c r="AV874" s="93"/>
    </row>
    <row r="875" spans="1:48" ht="12.75" customHeight="1" x14ac:dyDescent="0.2">
      <c r="A875" s="86"/>
      <c r="B875" s="87"/>
      <c r="C875" s="88"/>
      <c r="D875" s="89"/>
      <c r="E875" s="90"/>
      <c r="F875" s="90"/>
      <c r="G875" s="91"/>
      <c r="H875" s="91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2"/>
      <c r="AG875" s="90"/>
      <c r="AH875" s="90"/>
      <c r="AI875" s="90"/>
      <c r="AJ875" s="90"/>
      <c r="AK875" s="90"/>
      <c r="AL875" s="90"/>
      <c r="AM875" s="90"/>
      <c r="AN875" s="90"/>
      <c r="AO875" s="90"/>
      <c r="AP875" s="90"/>
      <c r="AQ875" s="93"/>
      <c r="AR875" s="93"/>
      <c r="AS875" s="94"/>
      <c r="AT875" s="93"/>
      <c r="AU875" s="93"/>
      <c r="AV875" s="93"/>
    </row>
    <row r="876" spans="1:48" ht="12.75" customHeight="1" x14ac:dyDescent="0.2">
      <c r="A876" s="86"/>
      <c r="B876" s="87"/>
      <c r="C876" s="88"/>
      <c r="D876" s="89"/>
      <c r="E876" s="90"/>
      <c r="F876" s="90"/>
      <c r="G876" s="91"/>
      <c r="H876" s="91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2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  <c r="AQ876" s="93"/>
      <c r="AR876" s="93"/>
      <c r="AS876" s="94"/>
      <c r="AT876" s="93"/>
      <c r="AU876" s="93"/>
      <c r="AV876" s="93"/>
    </row>
    <row r="877" spans="1:48" ht="12.75" customHeight="1" x14ac:dyDescent="0.2">
      <c r="A877" s="86"/>
      <c r="B877" s="87"/>
      <c r="C877" s="88"/>
      <c r="D877" s="89"/>
      <c r="E877" s="90"/>
      <c r="F877" s="90"/>
      <c r="G877" s="91"/>
      <c r="H877" s="91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2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3"/>
      <c r="AR877" s="93"/>
      <c r="AS877" s="94"/>
      <c r="AT877" s="93"/>
      <c r="AU877" s="93"/>
      <c r="AV877" s="93"/>
    </row>
    <row r="878" spans="1:48" ht="12.75" customHeight="1" x14ac:dyDescent="0.2">
      <c r="A878" s="86"/>
      <c r="B878" s="87"/>
      <c r="C878" s="88"/>
      <c r="D878" s="89"/>
      <c r="E878" s="90"/>
      <c r="F878" s="90"/>
      <c r="G878" s="91"/>
      <c r="H878" s="91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2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  <c r="AQ878" s="93"/>
      <c r="AR878" s="93"/>
      <c r="AS878" s="94"/>
      <c r="AT878" s="93"/>
      <c r="AU878" s="93"/>
      <c r="AV878" s="93"/>
    </row>
    <row r="879" spans="1:48" ht="12.75" customHeight="1" x14ac:dyDescent="0.2">
      <c r="A879" s="86"/>
      <c r="B879" s="87"/>
      <c r="C879" s="88"/>
      <c r="D879" s="89"/>
      <c r="E879" s="90"/>
      <c r="F879" s="90"/>
      <c r="G879" s="91"/>
      <c r="H879" s="91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2"/>
      <c r="AG879" s="90"/>
      <c r="AH879" s="90"/>
      <c r="AI879" s="90"/>
      <c r="AJ879" s="90"/>
      <c r="AK879" s="90"/>
      <c r="AL879" s="90"/>
      <c r="AM879" s="90"/>
      <c r="AN879" s="90"/>
      <c r="AO879" s="90"/>
      <c r="AP879" s="90"/>
      <c r="AQ879" s="93"/>
      <c r="AR879" s="93"/>
      <c r="AS879" s="94"/>
      <c r="AT879" s="93"/>
      <c r="AU879" s="93"/>
      <c r="AV879" s="93"/>
    </row>
    <row r="880" spans="1:48" ht="12.75" customHeight="1" x14ac:dyDescent="0.2">
      <c r="A880" s="86"/>
      <c r="B880" s="87"/>
      <c r="C880" s="88"/>
      <c r="D880" s="89"/>
      <c r="E880" s="90"/>
      <c r="F880" s="90"/>
      <c r="G880" s="91"/>
      <c r="H880" s="91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2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  <c r="AQ880" s="93"/>
      <c r="AR880" s="93"/>
      <c r="AS880" s="94"/>
      <c r="AT880" s="93"/>
      <c r="AU880" s="93"/>
      <c r="AV880" s="93"/>
    </row>
    <row r="881" spans="1:48" ht="12.75" customHeight="1" x14ac:dyDescent="0.2">
      <c r="A881" s="86"/>
      <c r="B881" s="87"/>
      <c r="C881" s="88"/>
      <c r="D881" s="89"/>
      <c r="E881" s="90"/>
      <c r="F881" s="90"/>
      <c r="G881" s="91"/>
      <c r="H881" s="91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2"/>
      <c r="AG881" s="90"/>
      <c r="AH881" s="90"/>
      <c r="AI881" s="90"/>
      <c r="AJ881" s="90"/>
      <c r="AK881" s="90"/>
      <c r="AL881" s="90"/>
      <c r="AM881" s="90"/>
      <c r="AN881" s="90"/>
      <c r="AO881" s="90"/>
      <c r="AP881" s="90"/>
      <c r="AQ881" s="93"/>
      <c r="AR881" s="93"/>
      <c r="AS881" s="94"/>
      <c r="AT881" s="93"/>
      <c r="AU881" s="93"/>
      <c r="AV881" s="93"/>
    </row>
    <row r="882" spans="1:48" ht="12.75" customHeight="1" x14ac:dyDescent="0.2">
      <c r="A882" s="86"/>
      <c r="B882" s="87"/>
      <c r="C882" s="88"/>
      <c r="D882" s="89"/>
      <c r="E882" s="90"/>
      <c r="F882" s="90"/>
      <c r="G882" s="91"/>
      <c r="H882" s="91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2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  <c r="AQ882" s="93"/>
      <c r="AR882" s="93"/>
      <c r="AS882" s="94"/>
      <c r="AT882" s="93"/>
      <c r="AU882" s="93"/>
      <c r="AV882" s="93"/>
    </row>
    <row r="883" spans="1:48" ht="12.75" customHeight="1" x14ac:dyDescent="0.2">
      <c r="A883" s="86"/>
      <c r="B883" s="87"/>
      <c r="C883" s="88"/>
      <c r="D883" s="89"/>
      <c r="E883" s="90"/>
      <c r="F883" s="90"/>
      <c r="G883" s="91"/>
      <c r="H883" s="91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2"/>
      <c r="AG883" s="90"/>
      <c r="AH883" s="90"/>
      <c r="AI883" s="90"/>
      <c r="AJ883" s="90"/>
      <c r="AK883" s="90"/>
      <c r="AL883" s="90"/>
      <c r="AM883" s="90"/>
      <c r="AN883" s="90"/>
      <c r="AO883" s="90"/>
      <c r="AP883" s="90"/>
      <c r="AQ883" s="93"/>
      <c r="AR883" s="93"/>
      <c r="AS883" s="94"/>
      <c r="AT883" s="93"/>
      <c r="AU883" s="93"/>
      <c r="AV883" s="93"/>
    </row>
    <row r="884" spans="1:48" ht="12.75" customHeight="1" x14ac:dyDescent="0.2">
      <c r="A884" s="86"/>
      <c r="B884" s="87"/>
      <c r="C884" s="88"/>
      <c r="D884" s="89"/>
      <c r="E884" s="90"/>
      <c r="F884" s="90"/>
      <c r="G884" s="91"/>
      <c r="H884" s="91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2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  <c r="AQ884" s="93"/>
      <c r="AR884" s="93"/>
      <c r="AS884" s="94"/>
      <c r="AT884" s="93"/>
      <c r="AU884" s="93"/>
      <c r="AV884" s="93"/>
    </row>
    <row r="885" spans="1:48" ht="12.75" customHeight="1" x14ac:dyDescent="0.2">
      <c r="A885" s="86"/>
      <c r="B885" s="87"/>
      <c r="C885" s="88"/>
      <c r="D885" s="89"/>
      <c r="E885" s="90"/>
      <c r="F885" s="90"/>
      <c r="G885" s="91"/>
      <c r="H885" s="91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2"/>
      <c r="AG885" s="90"/>
      <c r="AH885" s="90"/>
      <c r="AI885" s="90"/>
      <c r="AJ885" s="90"/>
      <c r="AK885" s="90"/>
      <c r="AL885" s="90"/>
      <c r="AM885" s="90"/>
      <c r="AN885" s="90"/>
      <c r="AO885" s="90"/>
      <c r="AP885" s="90"/>
      <c r="AQ885" s="93"/>
      <c r="AR885" s="93"/>
      <c r="AS885" s="94"/>
      <c r="AT885" s="93"/>
      <c r="AU885" s="93"/>
      <c r="AV885" s="93"/>
    </row>
    <row r="886" spans="1:48" ht="12.75" customHeight="1" x14ac:dyDescent="0.2">
      <c r="A886" s="86"/>
      <c r="B886" s="87"/>
      <c r="C886" s="88"/>
      <c r="D886" s="89"/>
      <c r="E886" s="90"/>
      <c r="F886" s="90"/>
      <c r="G886" s="91"/>
      <c r="H886" s="91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2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  <c r="AQ886" s="93"/>
      <c r="AR886" s="93"/>
      <c r="AS886" s="94"/>
      <c r="AT886" s="93"/>
      <c r="AU886" s="93"/>
      <c r="AV886" s="93"/>
    </row>
    <row r="887" spans="1:48" ht="12.75" customHeight="1" x14ac:dyDescent="0.2">
      <c r="A887" s="86"/>
      <c r="B887" s="87"/>
      <c r="C887" s="88"/>
      <c r="D887" s="89"/>
      <c r="E887" s="90"/>
      <c r="F887" s="90"/>
      <c r="G887" s="91"/>
      <c r="H887" s="91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2"/>
      <c r="AG887" s="90"/>
      <c r="AH887" s="90"/>
      <c r="AI887" s="90"/>
      <c r="AJ887" s="90"/>
      <c r="AK887" s="90"/>
      <c r="AL887" s="90"/>
      <c r="AM887" s="90"/>
      <c r="AN887" s="90"/>
      <c r="AO887" s="90"/>
      <c r="AP887" s="90"/>
      <c r="AQ887" s="93"/>
      <c r="AR887" s="93"/>
      <c r="AS887" s="94"/>
      <c r="AT887" s="93"/>
      <c r="AU887" s="93"/>
      <c r="AV887" s="93"/>
    </row>
    <row r="888" spans="1:48" ht="12.75" customHeight="1" x14ac:dyDescent="0.2">
      <c r="A888" s="86"/>
      <c r="B888" s="87"/>
      <c r="C888" s="88"/>
      <c r="D888" s="89"/>
      <c r="E888" s="90"/>
      <c r="F888" s="90"/>
      <c r="G888" s="91"/>
      <c r="H888" s="91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2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  <c r="AQ888" s="93"/>
      <c r="AR888" s="93"/>
      <c r="AS888" s="94"/>
      <c r="AT888" s="93"/>
      <c r="AU888" s="93"/>
      <c r="AV888" s="93"/>
    </row>
    <row r="889" spans="1:48" ht="12.75" customHeight="1" x14ac:dyDescent="0.2">
      <c r="A889" s="86"/>
      <c r="B889" s="87"/>
      <c r="C889" s="88"/>
      <c r="D889" s="89"/>
      <c r="E889" s="90"/>
      <c r="F889" s="90"/>
      <c r="G889" s="91"/>
      <c r="H889" s="91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2"/>
      <c r="AG889" s="90"/>
      <c r="AH889" s="90"/>
      <c r="AI889" s="90"/>
      <c r="AJ889" s="90"/>
      <c r="AK889" s="90"/>
      <c r="AL889" s="90"/>
      <c r="AM889" s="90"/>
      <c r="AN889" s="90"/>
      <c r="AO889" s="90"/>
      <c r="AP889" s="90"/>
      <c r="AQ889" s="93"/>
      <c r="AR889" s="93"/>
      <c r="AS889" s="94"/>
      <c r="AT889" s="93"/>
      <c r="AU889" s="93"/>
      <c r="AV889" s="93"/>
    </row>
    <row r="890" spans="1:48" ht="12.75" customHeight="1" x14ac:dyDescent="0.2">
      <c r="A890" s="86"/>
      <c r="B890" s="87"/>
      <c r="C890" s="88"/>
      <c r="D890" s="89"/>
      <c r="E890" s="90"/>
      <c r="F890" s="90"/>
      <c r="G890" s="91"/>
      <c r="H890" s="91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2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  <c r="AQ890" s="93"/>
      <c r="AR890" s="93"/>
      <c r="AS890" s="94"/>
      <c r="AT890" s="93"/>
      <c r="AU890" s="93"/>
      <c r="AV890" s="93"/>
    </row>
    <row r="891" spans="1:48" ht="12.75" customHeight="1" x14ac:dyDescent="0.2">
      <c r="A891" s="86"/>
      <c r="B891" s="87"/>
      <c r="C891" s="88"/>
      <c r="D891" s="89"/>
      <c r="E891" s="90"/>
      <c r="F891" s="90"/>
      <c r="G891" s="91"/>
      <c r="H891" s="91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2"/>
      <c r="AG891" s="90"/>
      <c r="AH891" s="90"/>
      <c r="AI891" s="90"/>
      <c r="AJ891" s="90"/>
      <c r="AK891" s="90"/>
      <c r="AL891" s="90"/>
      <c r="AM891" s="90"/>
      <c r="AN891" s="90"/>
      <c r="AO891" s="90"/>
      <c r="AP891" s="90"/>
      <c r="AQ891" s="93"/>
      <c r="AR891" s="93"/>
      <c r="AS891" s="94"/>
      <c r="AT891" s="93"/>
      <c r="AU891" s="93"/>
      <c r="AV891" s="93"/>
    </row>
    <row r="892" spans="1:48" ht="12.75" customHeight="1" x14ac:dyDescent="0.2">
      <c r="A892" s="86"/>
      <c r="B892" s="87"/>
      <c r="C892" s="88"/>
      <c r="D892" s="89"/>
      <c r="E892" s="90"/>
      <c r="F892" s="90"/>
      <c r="G892" s="91"/>
      <c r="H892" s="91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2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  <c r="AQ892" s="93"/>
      <c r="AR892" s="93"/>
      <c r="AS892" s="94"/>
      <c r="AT892" s="93"/>
      <c r="AU892" s="93"/>
      <c r="AV892" s="93"/>
    </row>
    <row r="893" spans="1:48" ht="12.75" customHeight="1" x14ac:dyDescent="0.2">
      <c r="A893" s="86"/>
      <c r="B893" s="87"/>
      <c r="C893" s="88"/>
      <c r="D893" s="89"/>
      <c r="E893" s="90"/>
      <c r="F893" s="90"/>
      <c r="G893" s="91"/>
      <c r="H893" s="91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2"/>
      <c r="AG893" s="90"/>
      <c r="AH893" s="90"/>
      <c r="AI893" s="90"/>
      <c r="AJ893" s="90"/>
      <c r="AK893" s="90"/>
      <c r="AL893" s="90"/>
      <c r="AM893" s="90"/>
      <c r="AN893" s="90"/>
      <c r="AO893" s="90"/>
      <c r="AP893" s="90"/>
      <c r="AQ893" s="93"/>
      <c r="AR893" s="93"/>
      <c r="AS893" s="94"/>
      <c r="AT893" s="93"/>
      <c r="AU893" s="93"/>
      <c r="AV893" s="93"/>
    </row>
    <row r="894" spans="1:48" ht="12.75" customHeight="1" x14ac:dyDescent="0.2">
      <c r="A894" s="86"/>
      <c r="B894" s="87"/>
      <c r="C894" s="88"/>
      <c r="D894" s="89"/>
      <c r="E894" s="90"/>
      <c r="F894" s="90"/>
      <c r="G894" s="91"/>
      <c r="H894" s="91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2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  <c r="AQ894" s="93"/>
      <c r="AR894" s="93"/>
      <c r="AS894" s="94"/>
      <c r="AT894" s="93"/>
      <c r="AU894" s="93"/>
      <c r="AV894" s="93"/>
    </row>
    <row r="895" spans="1:48" ht="12.75" customHeight="1" x14ac:dyDescent="0.2">
      <c r="A895" s="86"/>
      <c r="B895" s="87"/>
      <c r="C895" s="88"/>
      <c r="D895" s="89"/>
      <c r="E895" s="90"/>
      <c r="F895" s="90"/>
      <c r="G895" s="91"/>
      <c r="H895" s="91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2"/>
      <c r="AG895" s="90"/>
      <c r="AH895" s="90"/>
      <c r="AI895" s="90"/>
      <c r="AJ895" s="90"/>
      <c r="AK895" s="90"/>
      <c r="AL895" s="90"/>
      <c r="AM895" s="90"/>
      <c r="AN895" s="90"/>
      <c r="AO895" s="90"/>
      <c r="AP895" s="90"/>
      <c r="AQ895" s="93"/>
      <c r="AR895" s="93"/>
      <c r="AS895" s="94"/>
      <c r="AT895" s="93"/>
      <c r="AU895" s="93"/>
      <c r="AV895" s="93"/>
    </row>
    <row r="896" spans="1:48" ht="12.75" customHeight="1" x14ac:dyDescent="0.2">
      <c r="A896" s="86"/>
      <c r="B896" s="87"/>
      <c r="C896" s="88"/>
      <c r="D896" s="89"/>
      <c r="E896" s="90"/>
      <c r="F896" s="90"/>
      <c r="G896" s="91"/>
      <c r="H896" s="91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2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  <c r="AQ896" s="93"/>
      <c r="AR896" s="93"/>
      <c r="AS896" s="94"/>
      <c r="AT896" s="93"/>
      <c r="AU896" s="93"/>
      <c r="AV896" s="93"/>
    </row>
    <row r="897" spans="1:48" ht="12.75" customHeight="1" x14ac:dyDescent="0.2">
      <c r="A897" s="86"/>
      <c r="B897" s="87"/>
      <c r="C897" s="88"/>
      <c r="D897" s="89"/>
      <c r="E897" s="90"/>
      <c r="F897" s="90"/>
      <c r="G897" s="91"/>
      <c r="H897" s="91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2"/>
      <c r="AG897" s="90"/>
      <c r="AH897" s="90"/>
      <c r="AI897" s="90"/>
      <c r="AJ897" s="90"/>
      <c r="AK897" s="90"/>
      <c r="AL897" s="90"/>
      <c r="AM897" s="90"/>
      <c r="AN897" s="90"/>
      <c r="AO897" s="90"/>
      <c r="AP897" s="90"/>
      <c r="AQ897" s="93"/>
      <c r="AR897" s="93"/>
      <c r="AS897" s="94"/>
      <c r="AT897" s="93"/>
      <c r="AU897" s="93"/>
      <c r="AV897" s="93"/>
    </row>
    <row r="898" spans="1:48" ht="12.75" customHeight="1" x14ac:dyDescent="0.2">
      <c r="A898" s="86"/>
      <c r="B898" s="87"/>
      <c r="C898" s="88"/>
      <c r="D898" s="89"/>
      <c r="E898" s="90"/>
      <c r="F898" s="90"/>
      <c r="G898" s="91"/>
      <c r="H898" s="91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2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  <c r="AQ898" s="93"/>
      <c r="AR898" s="93"/>
      <c r="AS898" s="94"/>
      <c r="AT898" s="93"/>
      <c r="AU898" s="93"/>
      <c r="AV898" s="93"/>
    </row>
    <row r="899" spans="1:48" ht="12.75" customHeight="1" x14ac:dyDescent="0.2">
      <c r="A899" s="86"/>
      <c r="B899" s="87"/>
      <c r="C899" s="88"/>
      <c r="D899" s="89"/>
      <c r="E899" s="90"/>
      <c r="F899" s="90"/>
      <c r="G899" s="91"/>
      <c r="H899" s="91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2"/>
      <c r="AG899" s="90"/>
      <c r="AH899" s="90"/>
      <c r="AI899" s="90"/>
      <c r="AJ899" s="90"/>
      <c r="AK899" s="90"/>
      <c r="AL899" s="90"/>
      <c r="AM899" s="90"/>
      <c r="AN899" s="90"/>
      <c r="AO899" s="90"/>
      <c r="AP899" s="90"/>
      <c r="AQ899" s="93"/>
      <c r="AR899" s="93"/>
      <c r="AS899" s="94"/>
      <c r="AT899" s="93"/>
      <c r="AU899" s="93"/>
      <c r="AV899" s="93"/>
    </row>
    <row r="900" spans="1:48" ht="12.75" customHeight="1" x14ac:dyDescent="0.2">
      <c r="A900" s="86"/>
      <c r="B900" s="87"/>
      <c r="C900" s="88"/>
      <c r="D900" s="89"/>
      <c r="E900" s="90"/>
      <c r="F900" s="90"/>
      <c r="G900" s="91"/>
      <c r="H900" s="91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2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  <c r="AQ900" s="93"/>
      <c r="AR900" s="93"/>
      <c r="AS900" s="94"/>
      <c r="AT900" s="93"/>
      <c r="AU900" s="93"/>
      <c r="AV900" s="93"/>
    </row>
    <row r="901" spans="1:48" ht="12.75" customHeight="1" x14ac:dyDescent="0.2">
      <c r="A901" s="86"/>
      <c r="B901" s="87"/>
      <c r="C901" s="88"/>
      <c r="D901" s="89"/>
      <c r="E901" s="90"/>
      <c r="F901" s="90"/>
      <c r="G901" s="91"/>
      <c r="H901" s="91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2"/>
      <c r="AG901" s="90"/>
      <c r="AH901" s="90"/>
      <c r="AI901" s="90"/>
      <c r="AJ901" s="90"/>
      <c r="AK901" s="90"/>
      <c r="AL901" s="90"/>
      <c r="AM901" s="90"/>
      <c r="AN901" s="90"/>
      <c r="AO901" s="90"/>
      <c r="AP901" s="90"/>
      <c r="AQ901" s="93"/>
      <c r="AR901" s="93"/>
      <c r="AS901" s="94"/>
      <c r="AT901" s="93"/>
      <c r="AU901" s="93"/>
      <c r="AV901" s="93"/>
    </row>
    <row r="902" spans="1:48" ht="12.75" customHeight="1" x14ac:dyDescent="0.2">
      <c r="A902" s="86"/>
      <c r="B902" s="87"/>
      <c r="C902" s="88"/>
      <c r="D902" s="89"/>
      <c r="E902" s="90"/>
      <c r="F902" s="90"/>
      <c r="G902" s="91"/>
      <c r="H902" s="91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2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  <c r="AQ902" s="93"/>
      <c r="AR902" s="93"/>
      <c r="AS902" s="94"/>
      <c r="AT902" s="93"/>
      <c r="AU902" s="93"/>
      <c r="AV902" s="93"/>
    </row>
    <row r="903" spans="1:48" ht="12.75" customHeight="1" x14ac:dyDescent="0.2">
      <c r="A903" s="86"/>
      <c r="B903" s="87"/>
      <c r="C903" s="88"/>
      <c r="D903" s="89"/>
      <c r="E903" s="90"/>
      <c r="F903" s="90"/>
      <c r="G903" s="91"/>
      <c r="H903" s="91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2"/>
      <c r="AG903" s="90"/>
      <c r="AH903" s="90"/>
      <c r="AI903" s="90"/>
      <c r="AJ903" s="90"/>
      <c r="AK903" s="90"/>
      <c r="AL903" s="90"/>
      <c r="AM903" s="90"/>
      <c r="AN903" s="90"/>
      <c r="AO903" s="90"/>
      <c r="AP903" s="90"/>
      <c r="AQ903" s="93"/>
      <c r="AR903" s="93"/>
      <c r="AS903" s="94"/>
      <c r="AT903" s="93"/>
      <c r="AU903" s="93"/>
      <c r="AV903" s="93"/>
    </row>
    <row r="904" spans="1:48" ht="12.75" customHeight="1" x14ac:dyDescent="0.2">
      <c r="A904" s="86"/>
      <c r="B904" s="87"/>
      <c r="C904" s="88"/>
      <c r="D904" s="89"/>
      <c r="E904" s="90"/>
      <c r="F904" s="90"/>
      <c r="G904" s="91"/>
      <c r="H904" s="91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2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  <c r="AQ904" s="93"/>
      <c r="AR904" s="93"/>
      <c r="AS904" s="94"/>
      <c r="AT904" s="93"/>
      <c r="AU904" s="93"/>
      <c r="AV904" s="93"/>
    </row>
    <row r="905" spans="1:48" ht="12.75" customHeight="1" x14ac:dyDescent="0.2">
      <c r="A905" s="86"/>
      <c r="B905" s="87"/>
      <c r="C905" s="88"/>
      <c r="D905" s="89"/>
      <c r="E905" s="90"/>
      <c r="F905" s="90"/>
      <c r="G905" s="91"/>
      <c r="H905" s="91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2"/>
      <c r="AG905" s="90"/>
      <c r="AH905" s="90"/>
      <c r="AI905" s="90"/>
      <c r="AJ905" s="90"/>
      <c r="AK905" s="90"/>
      <c r="AL905" s="90"/>
      <c r="AM905" s="90"/>
      <c r="AN905" s="90"/>
      <c r="AO905" s="90"/>
      <c r="AP905" s="90"/>
      <c r="AQ905" s="93"/>
      <c r="AR905" s="93"/>
      <c r="AS905" s="94"/>
      <c r="AT905" s="93"/>
      <c r="AU905" s="93"/>
      <c r="AV905" s="93"/>
    </row>
    <row r="906" spans="1:48" ht="12.75" customHeight="1" x14ac:dyDescent="0.2">
      <c r="A906" s="86"/>
      <c r="B906" s="87"/>
      <c r="C906" s="88"/>
      <c r="D906" s="89"/>
      <c r="E906" s="90"/>
      <c r="F906" s="90"/>
      <c r="G906" s="91"/>
      <c r="H906" s="91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2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  <c r="AQ906" s="93"/>
      <c r="AR906" s="93"/>
      <c r="AS906" s="94"/>
      <c r="AT906" s="93"/>
      <c r="AU906" s="93"/>
      <c r="AV906" s="93"/>
    </row>
    <row r="907" spans="1:48" ht="12.75" customHeight="1" x14ac:dyDescent="0.2">
      <c r="A907" s="86"/>
      <c r="B907" s="87"/>
      <c r="C907" s="88"/>
      <c r="D907" s="89"/>
      <c r="E907" s="90"/>
      <c r="F907" s="90"/>
      <c r="G907" s="91"/>
      <c r="H907" s="91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2"/>
      <c r="AG907" s="90"/>
      <c r="AH907" s="90"/>
      <c r="AI907" s="90"/>
      <c r="AJ907" s="90"/>
      <c r="AK907" s="90"/>
      <c r="AL907" s="90"/>
      <c r="AM907" s="90"/>
      <c r="AN907" s="90"/>
      <c r="AO907" s="90"/>
      <c r="AP907" s="90"/>
      <c r="AQ907" s="93"/>
      <c r="AR907" s="93"/>
      <c r="AS907" s="94"/>
      <c r="AT907" s="93"/>
      <c r="AU907" s="93"/>
      <c r="AV907" s="93"/>
    </row>
    <row r="908" spans="1:48" ht="12.75" customHeight="1" x14ac:dyDescent="0.2">
      <c r="A908" s="86"/>
      <c r="B908" s="87"/>
      <c r="C908" s="88"/>
      <c r="D908" s="89"/>
      <c r="E908" s="90"/>
      <c r="F908" s="90"/>
      <c r="G908" s="91"/>
      <c r="H908" s="91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2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  <c r="AQ908" s="93"/>
      <c r="AR908" s="93"/>
      <c r="AS908" s="94"/>
      <c r="AT908" s="93"/>
      <c r="AU908" s="93"/>
      <c r="AV908" s="93"/>
    </row>
    <row r="909" spans="1:48" ht="12.75" customHeight="1" x14ac:dyDescent="0.2">
      <c r="A909" s="86"/>
      <c r="B909" s="87"/>
      <c r="C909" s="88"/>
      <c r="D909" s="89"/>
      <c r="E909" s="90"/>
      <c r="F909" s="90"/>
      <c r="G909" s="91"/>
      <c r="H909" s="91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2"/>
      <c r="AG909" s="90"/>
      <c r="AH909" s="90"/>
      <c r="AI909" s="90"/>
      <c r="AJ909" s="90"/>
      <c r="AK909" s="90"/>
      <c r="AL909" s="90"/>
      <c r="AM909" s="90"/>
      <c r="AN909" s="90"/>
      <c r="AO909" s="90"/>
      <c r="AP909" s="90"/>
      <c r="AQ909" s="93"/>
      <c r="AR909" s="93"/>
      <c r="AS909" s="94"/>
      <c r="AT909" s="93"/>
      <c r="AU909" s="93"/>
      <c r="AV909" s="93"/>
    </row>
    <row r="910" spans="1:48" ht="12.75" customHeight="1" x14ac:dyDescent="0.2">
      <c r="A910" s="86"/>
      <c r="B910" s="87"/>
      <c r="C910" s="88"/>
      <c r="D910" s="89"/>
      <c r="E910" s="90"/>
      <c r="F910" s="90"/>
      <c r="G910" s="91"/>
      <c r="H910" s="91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2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  <c r="AQ910" s="93"/>
      <c r="AR910" s="93"/>
      <c r="AS910" s="94"/>
      <c r="AT910" s="93"/>
      <c r="AU910" s="93"/>
      <c r="AV910" s="93"/>
    </row>
    <row r="911" spans="1:48" ht="12.75" customHeight="1" x14ac:dyDescent="0.2">
      <c r="A911" s="86"/>
      <c r="B911" s="87"/>
      <c r="C911" s="88"/>
      <c r="D911" s="89"/>
      <c r="E911" s="90"/>
      <c r="F911" s="90"/>
      <c r="G911" s="91"/>
      <c r="H911" s="91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2"/>
      <c r="AG911" s="90"/>
      <c r="AH911" s="90"/>
      <c r="AI911" s="90"/>
      <c r="AJ911" s="90"/>
      <c r="AK911" s="90"/>
      <c r="AL911" s="90"/>
      <c r="AM911" s="90"/>
      <c r="AN911" s="90"/>
      <c r="AO911" s="90"/>
      <c r="AP911" s="90"/>
      <c r="AQ911" s="93"/>
      <c r="AR911" s="93"/>
      <c r="AS911" s="94"/>
      <c r="AT911" s="93"/>
      <c r="AU911" s="93"/>
      <c r="AV911" s="93"/>
    </row>
    <row r="912" spans="1:48" ht="12.75" customHeight="1" x14ac:dyDescent="0.2">
      <c r="A912" s="86"/>
      <c r="B912" s="87"/>
      <c r="C912" s="88"/>
      <c r="D912" s="89"/>
      <c r="E912" s="90"/>
      <c r="F912" s="90"/>
      <c r="G912" s="91"/>
      <c r="H912" s="91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2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  <c r="AQ912" s="93"/>
      <c r="AR912" s="93"/>
      <c r="AS912" s="94"/>
      <c r="AT912" s="93"/>
      <c r="AU912" s="93"/>
      <c r="AV912" s="93"/>
    </row>
    <row r="913" spans="1:48" ht="12.75" customHeight="1" x14ac:dyDescent="0.2">
      <c r="A913" s="86"/>
      <c r="B913" s="87"/>
      <c r="C913" s="88"/>
      <c r="D913" s="89"/>
      <c r="E913" s="90"/>
      <c r="F913" s="90"/>
      <c r="G913" s="91"/>
      <c r="H913" s="91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  <c r="AD913" s="90"/>
      <c r="AE913" s="90"/>
      <c r="AF913" s="92"/>
      <c r="AG913" s="90"/>
      <c r="AH913" s="90"/>
      <c r="AI913" s="90"/>
      <c r="AJ913" s="90"/>
      <c r="AK913" s="90"/>
      <c r="AL913" s="90"/>
      <c r="AM913" s="90"/>
      <c r="AN913" s="90"/>
      <c r="AO913" s="90"/>
      <c r="AP913" s="90"/>
      <c r="AQ913" s="93"/>
      <c r="AR913" s="93"/>
      <c r="AS913" s="94"/>
      <c r="AT913" s="93"/>
      <c r="AU913" s="93"/>
      <c r="AV913" s="93"/>
    </row>
    <row r="914" spans="1:48" ht="12.75" customHeight="1" x14ac:dyDescent="0.2">
      <c r="A914" s="86"/>
      <c r="B914" s="87"/>
      <c r="C914" s="88"/>
      <c r="D914" s="89"/>
      <c r="E914" s="90"/>
      <c r="F914" s="90"/>
      <c r="G914" s="91"/>
      <c r="H914" s="91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2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  <c r="AQ914" s="93"/>
      <c r="AR914" s="93"/>
      <c r="AS914" s="94"/>
      <c r="AT914" s="93"/>
      <c r="AU914" s="93"/>
      <c r="AV914" s="93"/>
    </row>
    <row r="915" spans="1:48" ht="12.75" customHeight="1" x14ac:dyDescent="0.2">
      <c r="A915" s="86"/>
      <c r="B915" s="87"/>
      <c r="C915" s="88"/>
      <c r="D915" s="89"/>
      <c r="E915" s="90"/>
      <c r="F915" s="90"/>
      <c r="G915" s="91"/>
      <c r="H915" s="91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2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  <c r="AQ915" s="93"/>
      <c r="AR915" s="93"/>
      <c r="AS915" s="94"/>
      <c r="AT915" s="93"/>
      <c r="AU915" s="93"/>
      <c r="AV915" s="93"/>
    </row>
    <row r="916" spans="1:48" ht="12.75" customHeight="1" x14ac:dyDescent="0.2">
      <c r="A916" s="86"/>
      <c r="B916" s="87"/>
      <c r="C916" s="88"/>
      <c r="D916" s="89"/>
      <c r="E916" s="90"/>
      <c r="F916" s="90"/>
      <c r="G916" s="91"/>
      <c r="H916" s="91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2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  <c r="AQ916" s="93"/>
      <c r="AR916" s="93"/>
      <c r="AS916" s="94"/>
      <c r="AT916" s="93"/>
      <c r="AU916" s="93"/>
      <c r="AV916" s="93"/>
    </row>
    <row r="917" spans="1:48" ht="12.75" customHeight="1" x14ac:dyDescent="0.2">
      <c r="A917" s="86"/>
      <c r="B917" s="87"/>
      <c r="C917" s="88"/>
      <c r="D917" s="89"/>
      <c r="E917" s="90"/>
      <c r="F917" s="90"/>
      <c r="G917" s="91"/>
      <c r="H917" s="91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  <c r="AD917" s="90"/>
      <c r="AE917" s="90"/>
      <c r="AF917" s="92"/>
      <c r="AG917" s="90"/>
      <c r="AH917" s="90"/>
      <c r="AI917" s="90"/>
      <c r="AJ917" s="90"/>
      <c r="AK917" s="90"/>
      <c r="AL917" s="90"/>
      <c r="AM917" s="90"/>
      <c r="AN917" s="90"/>
      <c r="AO917" s="90"/>
      <c r="AP917" s="90"/>
      <c r="AQ917" s="93"/>
      <c r="AR917" s="93"/>
      <c r="AS917" s="94"/>
      <c r="AT917" s="93"/>
      <c r="AU917" s="93"/>
      <c r="AV917" s="93"/>
    </row>
    <row r="918" spans="1:48" ht="12.75" customHeight="1" x14ac:dyDescent="0.2">
      <c r="A918" s="86"/>
      <c r="B918" s="87"/>
      <c r="C918" s="88"/>
      <c r="D918" s="89"/>
      <c r="E918" s="90"/>
      <c r="F918" s="90"/>
      <c r="G918" s="91"/>
      <c r="H918" s="91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2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  <c r="AQ918" s="93"/>
      <c r="AR918" s="93"/>
      <c r="AS918" s="94"/>
      <c r="AT918" s="93"/>
      <c r="AU918" s="93"/>
      <c r="AV918" s="93"/>
    </row>
    <row r="919" spans="1:48" ht="12.75" customHeight="1" x14ac:dyDescent="0.2">
      <c r="A919" s="86"/>
      <c r="B919" s="87"/>
      <c r="C919" s="88"/>
      <c r="D919" s="89"/>
      <c r="E919" s="90"/>
      <c r="F919" s="90"/>
      <c r="G919" s="91"/>
      <c r="H919" s="91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  <c r="AD919" s="90"/>
      <c r="AE919" s="90"/>
      <c r="AF919" s="92"/>
      <c r="AG919" s="90"/>
      <c r="AH919" s="90"/>
      <c r="AI919" s="90"/>
      <c r="AJ919" s="90"/>
      <c r="AK919" s="90"/>
      <c r="AL919" s="90"/>
      <c r="AM919" s="90"/>
      <c r="AN919" s="90"/>
      <c r="AO919" s="90"/>
      <c r="AP919" s="90"/>
      <c r="AQ919" s="93"/>
      <c r="AR919" s="93"/>
      <c r="AS919" s="94"/>
      <c r="AT919" s="93"/>
      <c r="AU919" s="93"/>
      <c r="AV919" s="93"/>
    </row>
    <row r="920" spans="1:48" ht="12.75" customHeight="1" x14ac:dyDescent="0.2">
      <c r="A920" s="86"/>
      <c r="B920" s="87"/>
      <c r="C920" s="88"/>
      <c r="D920" s="89"/>
      <c r="E920" s="90"/>
      <c r="F920" s="90"/>
      <c r="G920" s="91"/>
      <c r="H920" s="91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2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  <c r="AQ920" s="93"/>
      <c r="AR920" s="93"/>
      <c r="AS920" s="94"/>
      <c r="AT920" s="93"/>
      <c r="AU920" s="93"/>
      <c r="AV920" s="93"/>
    </row>
    <row r="921" spans="1:48" ht="12.75" customHeight="1" x14ac:dyDescent="0.2">
      <c r="A921" s="86"/>
      <c r="B921" s="87"/>
      <c r="C921" s="88"/>
      <c r="D921" s="89"/>
      <c r="E921" s="90"/>
      <c r="F921" s="90"/>
      <c r="G921" s="91"/>
      <c r="H921" s="91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  <c r="AD921" s="90"/>
      <c r="AE921" s="90"/>
      <c r="AF921" s="92"/>
      <c r="AG921" s="90"/>
      <c r="AH921" s="90"/>
      <c r="AI921" s="90"/>
      <c r="AJ921" s="90"/>
      <c r="AK921" s="90"/>
      <c r="AL921" s="90"/>
      <c r="AM921" s="90"/>
      <c r="AN921" s="90"/>
      <c r="AO921" s="90"/>
      <c r="AP921" s="90"/>
      <c r="AQ921" s="93"/>
      <c r="AR921" s="93"/>
      <c r="AS921" s="94"/>
      <c r="AT921" s="93"/>
      <c r="AU921" s="93"/>
      <c r="AV921" s="93"/>
    </row>
    <row r="922" spans="1:48" ht="12.75" customHeight="1" x14ac:dyDescent="0.2">
      <c r="A922" s="86"/>
      <c r="B922" s="87"/>
      <c r="C922" s="88"/>
      <c r="D922" s="89"/>
      <c r="E922" s="90"/>
      <c r="F922" s="90"/>
      <c r="G922" s="91"/>
      <c r="H922" s="91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2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  <c r="AQ922" s="93"/>
      <c r="AR922" s="93"/>
      <c r="AS922" s="94"/>
      <c r="AT922" s="93"/>
      <c r="AU922" s="93"/>
      <c r="AV922" s="93"/>
    </row>
    <row r="923" spans="1:48" ht="12.75" customHeight="1" x14ac:dyDescent="0.2">
      <c r="A923" s="86"/>
      <c r="B923" s="87"/>
      <c r="C923" s="88"/>
      <c r="D923" s="89"/>
      <c r="E923" s="90"/>
      <c r="F923" s="90"/>
      <c r="G923" s="91"/>
      <c r="H923" s="91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  <c r="AD923" s="90"/>
      <c r="AE923" s="90"/>
      <c r="AF923" s="92"/>
      <c r="AG923" s="90"/>
      <c r="AH923" s="90"/>
      <c r="AI923" s="90"/>
      <c r="AJ923" s="90"/>
      <c r="AK923" s="90"/>
      <c r="AL923" s="90"/>
      <c r="AM923" s="90"/>
      <c r="AN923" s="90"/>
      <c r="AO923" s="90"/>
      <c r="AP923" s="90"/>
      <c r="AQ923" s="93"/>
      <c r="AR923" s="93"/>
      <c r="AS923" s="94"/>
      <c r="AT923" s="93"/>
      <c r="AU923" s="93"/>
      <c r="AV923" s="93"/>
    </row>
    <row r="924" spans="1:48" ht="12.75" customHeight="1" x14ac:dyDescent="0.2">
      <c r="A924" s="86"/>
      <c r="B924" s="87"/>
      <c r="C924" s="88"/>
      <c r="D924" s="89"/>
      <c r="E924" s="90"/>
      <c r="F924" s="90"/>
      <c r="G924" s="91"/>
      <c r="H924" s="91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2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  <c r="AQ924" s="93"/>
      <c r="AR924" s="93"/>
      <c r="AS924" s="94"/>
      <c r="AT924" s="93"/>
      <c r="AU924" s="93"/>
      <c r="AV924" s="93"/>
    </row>
    <row r="925" spans="1:48" ht="12.75" customHeight="1" x14ac:dyDescent="0.2">
      <c r="A925" s="86"/>
      <c r="B925" s="87"/>
      <c r="C925" s="88"/>
      <c r="D925" s="89"/>
      <c r="E925" s="90"/>
      <c r="F925" s="90"/>
      <c r="G925" s="91"/>
      <c r="H925" s="91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  <c r="AD925" s="90"/>
      <c r="AE925" s="90"/>
      <c r="AF925" s="92"/>
      <c r="AG925" s="90"/>
      <c r="AH925" s="90"/>
      <c r="AI925" s="90"/>
      <c r="AJ925" s="90"/>
      <c r="AK925" s="90"/>
      <c r="AL925" s="90"/>
      <c r="AM925" s="90"/>
      <c r="AN925" s="90"/>
      <c r="AO925" s="90"/>
      <c r="AP925" s="90"/>
      <c r="AQ925" s="93"/>
      <c r="AR925" s="93"/>
      <c r="AS925" s="94"/>
      <c r="AT925" s="93"/>
      <c r="AU925" s="93"/>
      <c r="AV925" s="93"/>
    </row>
    <row r="926" spans="1:48" ht="12.75" customHeight="1" x14ac:dyDescent="0.2">
      <c r="A926" s="86"/>
      <c r="B926" s="87"/>
      <c r="C926" s="88"/>
      <c r="D926" s="89"/>
      <c r="E926" s="90"/>
      <c r="F926" s="90"/>
      <c r="G926" s="91"/>
      <c r="H926" s="91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2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  <c r="AQ926" s="93"/>
      <c r="AR926" s="93"/>
      <c r="AS926" s="94"/>
      <c r="AT926" s="93"/>
      <c r="AU926" s="93"/>
      <c r="AV926" s="93"/>
    </row>
    <row r="927" spans="1:48" ht="12.75" customHeight="1" x14ac:dyDescent="0.2">
      <c r="A927" s="86"/>
      <c r="B927" s="87"/>
      <c r="C927" s="88"/>
      <c r="D927" s="89"/>
      <c r="E927" s="90"/>
      <c r="F927" s="90"/>
      <c r="G927" s="91"/>
      <c r="H927" s="91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  <c r="AD927" s="90"/>
      <c r="AE927" s="90"/>
      <c r="AF927" s="92"/>
      <c r="AG927" s="90"/>
      <c r="AH927" s="90"/>
      <c r="AI927" s="90"/>
      <c r="AJ927" s="90"/>
      <c r="AK927" s="90"/>
      <c r="AL927" s="90"/>
      <c r="AM927" s="90"/>
      <c r="AN927" s="90"/>
      <c r="AO927" s="90"/>
      <c r="AP927" s="90"/>
      <c r="AQ927" s="93"/>
      <c r="AR927" s="93"/>
      <c r="AS927" s="94"/>
      <c r="AT927" s="93"/>
      <c r="AU927" s="93"/>
      <c r="AV927" s="93"/>
    </row>
    <row r="928" spans="1:48" ht="12.75" customHeight="1" x14ac:dyDescent="0.2">
      <c r="A928" s="86"/>
      <c r="B928" s="87"/>
      <c r="C928" s="88"/>
      <c r="D928" s="89"/>
      <c r="E928" s="90"/>
      <c r="F928" s="90"/>
      <c r="G928" s="91"/>
      <c r="H928" s="91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2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  <c r="AQ928" s="93"/>
      <c r="AR928" s="93"/>
      <c r="AS928" s="94"/>
      <c r="AT928" s="93"/>
      <c r="AU928" s="93"/>
      <c r="AV928" s="93"/>
    </row>
    <row r="929" spans="1:48" ht="12.75" customHeight="1" x14ac:dyDescent="0.2">
      <c r="A929" s="86"/>
      <c r="B929" s="87"/>
      <c r="C929" s="88"/>
      <c r="D929" s="89"/>
      <c r="E929" s="90"/>
      <c r="F929" s="90"/>
      <c r="G929" s="91"/>
      <c r="H929" s="91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  <c r="AD929" s="90"/>
      <c r="AE929" s="90"/>
      <c r="AF929" s="92"/>
      <c r="AG929" s="90"/>
      <c r="AH929" s="90"/>
      <c r="AI929" s="90"/>
      <c r="AJ929" s="90"/>
      <c r="AK929" s="90"/>
      <c r="AL929" s="90"/>
      <c r="AM929" s="90"/>
      <c r="AN929" s="90"/>
      <c r="AO929" s="90"/>
      <c r="AP929" s="90"/>
      <c r="AQ929" s="93"/>
      <c r="AR929" s="93"/>
      <c r="AS929" s="94"/>
      <c r="AT929" s="93"/>
      <c r="AU929" s="93"/>
      <c r="AV929" s="93"/>
    </row>
    <row r="930" spans="1:48" ht="12.75" customHeight="1" x14ac:dyDescent="0.2">
      <c r="A930" s="86"/>
      <c r="B930" s="87"/>
      <c r="C930" s="88"/>
      <c r="D930" s="89"/>
      <c r="E930" s="90"/>
      <c r="F930" s="90"/>
      <c r="G930" s="91"/>
      <c r="H930" s="91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2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  <c r="AQ930" s="93"/>
      <c r="AR930" s="93"/>
      <c r="AS930" s="94"/>
      <c r="AT930" s="93"/>
      <c r="AU930" s="93"/>
      <c r="AV930" s="93"/>
    </row>
    <row r="931" spans="1:48" ht="12.75" customHeight="1" x14ac:dyDescent="0.2">
      <c r="A931" s="86"/>
      <c r="B931" s="87"/>
      <c r="C931" s="88"/>
      <c r="D931" s="89"/>
      <c r="E931" s="90"/>
      <c r="F931" s="90"/>
      <c r="G931" s="91"/>
      <c r="H931" s="91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  <c r="AD931" s="90"/>
      <c r="AE931" s="90"/>
      <c r="AF931" s="92"/>
      <c r="AG931" s="90"/>
      <c r="AH931" s="90"/>
      <c r="AI931" s="90"/>
      <c r="AJ931" s="90"/>
      <c r="AK931" s="90"/>
      <c r="AL931" s="90"/>
      <c r="AM931" s="90"/>
      <c r="AN931" s="90"/>
      <c r="AO931" s="90"/>
      <c r="AP931" s="90"/>
      <c r="AQ931" s="93"/>
      <c r="AR931" s="93"/>
      <c r="AS931" s="94"/>
      <c r="AT931" s="93"/>
      <c r="AU931" s="93"/>
      <c r="AV931" s="93"/>
    </row>
    <row r="932" spans="1:48" ht="12.75" customHeight="1" x14ac:dyDescent="0.2">
      <c r="A932" s="86"/>
      <c r="B932" s="87"/>
      <c r="C932" s="88"/>
      <c r="D932" s="89"/>
      <c r="E932" s="90"/>
      <c r="F932" s="90"/>
      <c r="G932" s="91"/>
      <c r="H932" s="91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2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  <c r="AQ932" s="93"/>
      <c r="AR932" s="93"/>
      <c r="AS932" s="94"/>
      <c r="AT932" s="93"/>
      <c r="AU932" s="93"/>
      <c r="AV932" s="93"/>
    </row>
    <row r="933" spans="1:48" ht="12.75" customHeight="1" x14ac:dyDescent="0.2">
      <c r="A933" s="86"/>
      <c r="B933" s="87"/>
      <c r="C933" s="88"/>
      <c r="D933" s="89"/>
      <c r="E933" s="90"/>
      <c r="F933" s="90"/>
      <c r="G933" s="91"/>
      <c r="H933" s="91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  <c r="AD933" s="90"/>
      <c r="AE933" s="90"/>
      <c r="AF933" s="92"/>
      <c r="AG933" s="90"/>
      <c r="AH933" s="90"/>
      <c r="AI933" s="90"/>
      <c r="AJ933" s="90"/>
      <c r="AK933" s="90"/>
      <c r="AL933" s="90"/>
      <c r="AM933" s="90"/>
      <c r="AN933" s="90"/>
      <c r="AO933" s="90"/>
      <c r="AP933" s="90"/>
      <c r="AQ933" s="93"/>
      <c r="AR933" s="93"/>
      <c r="AS933" s="94"/>
      <c r="AT933" s="93"/>
      <c r="AU933" s="93"/>
      <c r="AV933" s="93"/>
    </row>
    <row r="934" spans="1:48" ht="12.75" customHeight="1" x14ac:dyDescent="0.2">
      <c r="A934" s="86"/>
      <c r="B934" s="87"/>
      <c r="C934" s="88"/>
      <c r="D934" s="89"/>
      <c r="E934" s="90"/>
      <c r="F934" s="90"/>
      <c r="G934" s="91"/>
      <c r="H934" s="91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2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3"/>
      <c r="AR934" s="93"/>
      <c r="AS934" s="94"/>
      <c r="AT934" s="93"/>
      <c r="AU934" s="93"/>
      <c r="AV934" s="93"/>
    </row>
    <row r="935" spans="1:48" ht="12.75" customHeight="1" x14ac:dyDescent="0.2">
      <c r="A935" s="86"/>
      <c r="B935" s="87"/>
      <c r="C935" s="88"/>
      <c r="D935" s="89"/>
      <c r="E935" s="90"/>
      <c r="F935" s="90"/>
      <c r="G935" s="91"/>
      <c r="H935" s="91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2"/>
      <c r="AG935" s="90"/>
      <c r="AH935" s="90"/>
      <c r="AI935" s="90"/>
      <c r="AJ935" s="90"/>
      <c r="AK935" s="90"/>
      <c r="AL935" s="90"/>
      <c r="AM935" s="90"/>
      <c r="AN935" s="90"/>
      <c r="AO935" s="90"/>
      <c r="AP935" s="90"/>
      <c r="AQ935" s="93"/>
      <c r="AR935" s="93"/>
      <c r="AS935" s="94"/>
      <c r="AT935" s="93"/>
      <c r="AU935" s="93"/>
      <c r="AV935" s="93"/>
    </row>
    <row r="936" spans="1:48" ht="12.75" customHeight="1" x14ac:dyDescent="0.2">
      <c r="A936" s="86"/>
      <c r="B936" s="87"/>
      <c r="C936" s="88"/>
      <c r="D936" s="89"/>
      <c r="E936" s="90"/>
      <c r="F936" s="90"/>
      <c r="G936" s="91"/>
      <c r="H936" s="91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2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3"/>
      <c r="AR936" s="93"/>
      <c r="AS936" s="94"/>
      <c r="AT936" s="93"/>
      <c r="AU936" s="93"/>
      <c r="AV936" s="93"/>
    </row>
    <row r="937" spans="1:48" ht="12.75" customHeight="1" x14ac:dyDescent="0.2">
      <c r="A937" s="86"/>
      <c r="B937" s="87"/>
      <c r="C937" s="88"/>
      <c r="D937" s="89"/>
      <c r="E937" s="90"/>
      <c r="F937" s="90"/>
      <c r="G937" s="91"/>
      <c r="H937" s="91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  <c r="AD937" s="90"/>
      <c r="AE937" s="90"/>
      <c r="AF937" s="92"/>
      <c r="AG937" s="90"/>
      <c r="AH937" s="90"/>
      <c r="AI937" s="90"/>
      <c r="AJ937" s="90"/>
      <c r="AK937" s="90"/>
      <c r="AL937" s="90"/>
      <c r="AM937" s="90"/>
      <c r="AN937" s="90"/>
      <c r="AO937" s="90"/>
      <c r="AP937" s="90"/>
      <c r="AQ937" s="93"/>
      <c r="AR937" s="93"/>
      <c r="AS937" s="94"/>
      <c r="AT937" s="93"/>
      <c r="AU937" s="93"/>
      <c r="AV937" s="93"/>
    </row>
    <row r="938" spans="1:48" ht="12.75" customHeight="1" x14ac:dyDescent="0.2">
      <c r="A938" s="86"/>
      <c r="B938" s="87"/>
      <c r="C938" s="88"/>
      <c r="D938" s="89"/>
      <c r="E938" s="90"/>
      <c r="F938" s="90"/>
      <c r="G938" s="91"/>
      <c r="H938" s="91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2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  <c r="AQ938" s="93"/>
      <c r="AR938" s="93"/>
      <c r="AS938" s="94"/>
      <c r="AT938" s="93"/>
      <c r="AU938" s="93"/>
      <c r="AV938" s="93"/>
    </row>
    <row r="939" spans="1:48" ht="12.75" customHeight="1" x14ac:dyDescent="0.2">
      <c r="A939" s="86"/>
      <c r="B939" s="87"/>
      <c r="C939" s="88"/>
      <c r="D939" s="89"/>
      <c r="E939" s="90"/>
      <c r="F939" s="90"/>
      <c r="G939" s="91"/>
      <c r="H939" s="91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  <c r="AD939" s="90"/>
      <c r="AE939" s="90"/>
      <c r="AF939" s="92"/>
      <c r="AG939" s="90"/>
      <c r="AH939" s="90"/>
      <c r="AI939" s="90"/>
      <c r="AJ939" s="90"/>
      <c r="AK939" s="90"/>
      <c r="AL939" s="90"/>
      <c r="AM939" s="90"/>
      <c r="AN939" s="90"/>
      <c r="AO939" s="90"/>
      <c r="AP939" s="90"/>
      <c r="AQ939" s="93"/>
      <c r="AR939" s="93"/>
      <c r="AS939" s="94"/>
      <c r="AT939" s="93"/>
      <c r="AU939" s="93"/>
      <c r="AV939" s="93"/>
    </row>
    <row r="940" spans="1:48" ht="12.75" customHeight="1" x14ac:dyDescent="0.2">
      <c r="A940" s="86"/>
      <c r="B940" s="87"/>
      <c r="C940" s="88"/>
      <c r="D940" s="89"/>
      <c r="E940" s="90"/>
      <c r="F940" s="90"/>
      <c r="G940" s="91"/>
      <c r="H940" s="91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2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  <c r="AQ940" s="93"/>
      <c r="AR940" s="93"/>
      <c r="AS940" s="94"/>
      <c r="AT940" s="93"/>
      <c r="AU940" s="93"/>
      <c r="AV940" s="93"/>
    </row>
    <row r="941" spans="1:48" ht="12.75" customHeight="1" x14ac:dyDescent="0.2">
      <c r="A941" s="86"/>
      <c r="B941" s="87"/>
      <c r="C941" s="88"/>
      <c r="D941" s="89"/>
      <c r="E941" s="90"/>
      <c r="F941" s="90"/>
      <c r="G941" s="91"/>
      <c r="H941" s="91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  <c r="AD941" s="90"/>
      <c r="AE941" s="90"/>
      <c r="AF941" s="92"/>
      <c r="AG941" s="90"/>
      <c r="AH941" s="90"/>
      <c r="AI941" s="90"/>
      <c r="AJ941" s="90"/>
      <c r="AK941" s="90"/>
      <c r="AL941" s="90"/>
      <c r="AM941" s="90"/>
      <c r="AN941" s="90"/>
      <c r="AO941" s="90"/>
      <c r="AP941" s="90"/>
      <c r="AQ941" s="93"/>
      <c r="AR941" s="93"/>
      <c r="AS941" s="94"/>
      <c r="AT941" s="93"/>
      <c r="AU941" s="93"/>
      <c r="AV941" s="93"/>
    </row>
    <row r="942" spans="1:48" ht="12.75" customHeight="1" x14ac:dyDescent="0.2">
      <c r="A942" s="86"/>
      <c r="B942" s="87"/>
      <c r="C942" s="88"/>
      <c r="D942" s="89"/>
      <c r="E942" s="90"/>
      <c r="F942" s="90"/>
      <c r="G942" s="91"/>
      <c r="H942" s="91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2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3"/>
      <c r="AR942" s="93"/>
      <c r="AS942" s="94"/>
      <c r="AT942" s="93"/>
      <c r="AU942" s="93"/>
      <c r="AV942" s="93"/>
    </row>
    <row r="943" spans="1:48" ht="12.75" customHeight="1" x14ac:dyDescent="0.2">
      <c r="A943" s="86"/>
      <c r="B943" s="87"/>
      <c r="C943" s="88"/>
      <c r="D943" s="89"/>
      <c r="E943" s="90"/>
      <c r="F943" s="90"/>
      <c r="G943" s="91"/>
      <c r="H943" s="91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  <c r="AE943" s="90"/>
      <c r="AF943" s="92"/>
      <c r="AG943" s="90"/>
      <c r="AH943" s="90"/>
      <c r="AI943" s="90"/>
      <c r="AJ943" s="90"/>
      <c r="AK943" s="90"/>
      <c r="AL943" s="90"/>
      <c r="AM943" s="90"/>
      <c r="AN943" s="90"/>
      <c r="AO943" s="90"/>
      <c r="AP943" s="90"/>
      <c r="AQ943" s="93"/>
      <c r="AR943" s="93"/>
      <c r="AS943" s="94"/>
      <c r="AT943" s="93"/>
      <c r="AU943" s="93"/>
      <c r="AV943" s="93"/>
    </row>
    <row r="944" spans="1:48" ht="12.75" customHeight="1" x14ac:dyDescent="0.2">
      <c r="A944" s="86"/>
      <c r="B944" s="87"/>
      <c r="C944" s="88"/>
      <c r="D944" s="89"/>
      <c r="E944" s="90"/>
      <c r="F944" s="90"/>
      <c r="G944" s="91"/>
      <c r="H944" s="91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2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3"/>
      <c r="AR944" s="93"/>
      <c r="AS944" s="94"/>
      <c r="AT944" s="93"/>
      <c r="AU944" s="93"/>
      <c r="AV944" s="93"/>
    </row>
    <row r="945" spans="1:48" ht="12.75" customHeight="1" x14ac:dyDescent="0.2">
      <c r="A945" s="86"/>
      <c r="B945" s="87"/>
      <c r="C945" s="88"/>
      <c r="D945" s="89"/>
      <c r="E945" s="90"/>
      <c r="F945" s="90"/>
      <c r="G945" s="91"/>
      <c r="H945" s="91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  <c r="AE945" s="90"/>
      <c r="AF945" s="92"/>
      <c r="AG945" s="90"/>
      <c r="AH945" s="90"/>
      <c r="AI945" s="90"/>
      <c r="AJ945" s="90"/>
      <c r="AK945" s="90"/>
      <c r="AL945" s="90"/>
      <c r="AM945" s="90"/>
      <c r="AN945" s="90"/>
      <c r="AO945" s="90"/>
      <c r="AP945" s="90"/>
      <c r="AQ945" s="93"/>
      <c r="AR945" s="93"/>
      <c r="AS945" s="94"/>
      <c r="AT945" s="93"/>
      <c r="AU945" s="93"/>
      <c r="AV945" s="93"/>
    </row>
    <row r="946" spans="1:48" ht="12.75" customHeight="1" x14ac:dyDescent="0.2">
      <c r="A946" s="86"/>
      <c r="B946" s="87"/>
      <c r="C946" s="88"/>
      <c r="D946" s="89"/>
      <c r="E946" s="90"/>
      <c r="F946" s="90"/>
      <c r="G946" s="91"/>
      <c r="H946" s="91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2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3"/>
      <c r="AR946" s="93"/>
      <c r="AS946" s="94"/>
      <c r="AT946" s="93"/>
      <c r="AU946" s="93"/>
      <c r="AV946" s="93"/>
    </row>
    <row r="947" spans="1:48" ht="12.75" customHeight="1" x14ac:dyDescent="0.2">
      <c r="A947" s="86"/>
      <c r="B947" s="87"/>
      <c r="C947" s="88"/>
      <c r="D947" s="89"/>
      <c r="E947" s="90"/>
      <c r="F947" s="90"/>
      <c r="G947" s="91"/>
      <c r="H947" s="91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  <c r="AE947" s="90"/>
      <c r="AF947" s="92"/>
      <c r="AG947" s="90"/>
      <c r="AH947" s="90"/>
      <c r="AI947" s="90"/>
      <c r="AJ947" s="90"/>
      <c r="AK947" s="90"/>
      <c r="AL947" s="90"/>
      <c r="AM947" s="90"/>
      <c r="AN947" s="90"/>
      <c r="AO947" s="90"/>
      <c r="AP947" s="90"/>
      <c r="AQ947" s="93"/>
      <c r="AR947" s="93"/>
      <c r="AS947" s="94"/>
      <c r="AT947" s="93"/>
      <c r="AU947" s="93"/>
      <c r="AV947" s="93"/>
    </row>
    <row r="948" spans="1:48" ht="12.75" customHeight="1" x14ac:dyDescent="0.2">
      <c r="A948" s="86"/>
      <c r="B948" s="87"/>
      <c r="C948" s="88"/>
      <c r="D948" s="89"/>
      <c r="E948" s="90"/>
      <c r="F948" s="90"/>
      <c r="G948" s="91"/>
      <c r="H948" s="91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2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3"/>
      <c r="AR948" s="93"/>
      <c r="AS948" s="94"/>
      <c r="AT948" s="93"/>
      <c r="AU948" s="93"/>
      <c r="AV948" s="93"/>
    </row>
    <row r="949" spans="1:48" ht="12.75" customHeight="1" x14ac:dyDescent="0.2">
      <c r="A949" s="86"/>
      <c r="B949" s="87"/>
      <c r="C949" s="88"/>
      <c r="D949" s="89"/>
      <c r="E949" s="90"/>
      <c r="F949" s="90"/>
      <c r="G949" s="91"/>
      <c r="H949" s="91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  <c r="AE949" s="90"/>
      <c r="AF949" s="92"/>
      <c r="AG949" s="90"/>
      <c r="AH949" s="90"/>
      <c r="AI949" s="90"/>
      <c r="AJ949" s="90"/>
      <c r="AK949" s="90"/>
      <c r="AL949" s="90"/>
      <c r="AM949" s="90"/>
      <c r="AN949" s="90"/>
      <c r="AO949" s="90"/>
      <c r="AP949" s="90"/>
      <c r="AQ949" s="93"/>
      <c r="AR949" s="93"/>
      <c r="AS949" s="94"/>
      <c r="AT949" s="93"/>
      <c r="AU949" s="93"/>
      <c r="AV949" s="93"/>
    </row>
    <row r="950" spans="1:48" ht="12.75" customHeight="1" x14ac:dyDescent="0.2">
      <c r="A950" s="86"/>
      <c r="B950" s="87"/>
      <c r="C950" s="88"/>
      <c r="D950" s="89"/>
      <c r="E950" s="90"/>
      <c r="F950" s="90"/>
      <c r="G950" s="91"/>
      <c r="H950" s="91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2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3"/>
      <c r="AR950" s="93"/>
      <c r="AS950" s="94"/>
      <c r="AT950" s="93"/>
      <c r="AU950" s="93"/>
      <c r="AV950" s="93"/>
    </row>
    <row r="951" spans="1:48" ht="12.75" customHeight="1" x14ac:dyDescent="0.2">
      <c r="A951" s="86"/>
      <c r="B951" s="87"/>
      <c r="C951" s="88"/>
      <c r="D951" s="89"/>
      <c r="E951" s="90"/>
      <c r="F951" s="90"/>
      <c r="G951" s="91"/>
      <c r="H951" s="91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  <c r="AE951" s="90"/>
      <c r="AF951" s="92"/>
      <c r="AG951" s="90"/>
      <c r="AH951" s="90"/>
      <c r="AI951" s="90"/>
      <c r="AJ951" s="90"/>
      <c r="AK951" s="90"/>
      <c r="AL951" s="90"/>
      <c r="AM951" s="90"/>
      <c r="AN951" s="90"/>
      <c r="AO951" s="90"/>
      <c r="AP951" s="90"/>
      <c r="AQ951" s="93"/>
      <c r="AR951" s="93"/>
      <c r="AS951" s="94"/>
      <c r="AT951" s="93"/>
      <c r="AU951" s="93"/>
      <c r="AV951" s="93"/>
    </row>
    <row r="952" spans="1:48" ht="12.75" customHeight="1" x14ac:dyDescent="0.2">
      <c r="A952" s="86"/>
      <c r="B952" s="87"/>
      <c r="C952" s="88"/>
      <c r="D952" s="89"/>
      <c r="E952" s="90"/>
      <c r="F952" s="90"/>
      <c r="G952" s="91"/>
      <c r="H952" s="91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2"/>
      <c r="AG952" s="90"/>
      <c r="AH952" s="90"/>
      <c r="AI952" s="90"/>
      <c r="AJ952" s="90"/>
      <c r="AK952" s="90"/>
      <c r="AL952" s="90"/>
      <c r="AM952" s="90"/>
      <c r="AN952" s="90"/>
      <c r="AO952" s="90"/>
      <c r="AP952" s="90"/>
      <c r="AQ952" s="93"/>
      <c r="AR952" s="93"/>
      <c r="AS952" s="94"/>
      <c r="AT952" s="93"/>
      <c r="AU952" s="93"/>
      <c r="AV952" s="93"/>
    </row>
    <row r="953" spans="1:48" ht="12.75" customHeight="1" x14ac:dyDescent="0.2">
      <c r="A953" s="86"/>
      <c r="B953" s="87"/>
      <c r="C953" s="88"/>
      <c r="D953" s="89"/>
      <c r="E953" s="90"/>
      <c r="F953" s="90"/>
      <c r="G953" s="91"/>
      <c r="H953" s="91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2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  <c r="AQ953" s="93"/>
      <c r="AR953" s="93"/>
      <c r="AS953" s="94"/>
      <c r="AT953" s="93"/>
      <c r="AU953" s="93"/>
      <c r="AV953" s="93"/>
    </row>
    <row r="954" spans="1:48" ht="12.75" customHeight="1" x14ac:dyDescent="0.2">
      <c r="A954" s="86"/>
      <c r="B954" s="87"/>
      <c r="C954" s="88"/>
      <c r="D954" s="89"/>
      <c r="E954" s="90"/>
      <c r="F954" s="90"/>
      <c r="G954" s="91"/>
      <c r="H954" s="91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2"/>
      <c r="AG954" s="90"/>
      <c r="AH954" s="90"/>
      <c r="AI954" s="90"/>
      <c r="AJ954" s="90"/>
      <c r="AK954" s="90"/>
      <c r="AL954" s="90"/>
      <c r="AM954" s="90"/>
      <c r="AN954" s="90"/>
      <c r="AO954" s="90"/>
      <c r="AP954" s="90"/>
      <c r="AQ954" s="93"/>
      <c r="AR954" s="93"/>
      <c r="AS954" s="94"/>
      <c r="AT954" s="93"/>
      <c r="AU954" s="93"/>
      <c r="AV954" s="93"/>
    </row>
    <row r="955" spans="1:48" ht="12.75" customHeight="1" x14ac:dyDescent="0.2">
      <c r="A955" s="86"/>
      <c r="B955" s="87"/>
      <c r="C955" s="88"/>
      <c r="D955" s="89"/>
      <c r="E955" s="90"/>
      <c r="F955" s="90"/>
      <c r="G955" s="91"/>
      <c r="H955" s="91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  <c r="AE955" s="90"/>
      <c r="AF955" s="92"/>
      <c r="AG955" s="90"/>
      <c r="AH955" s="90"/>
      <c r="AI955" s="90"/>
      <c r="AJ955" s="90"/>
      <c r="AK955" s="90"/>
      <c r="AL955" s="90"/>
      <c r="AM955" s="90"/>
      <c r="AN955" s="90"/>
      <c r="AO955" s="90"/>
      <c r="AP955" s="90"/>
      <c r="AQ955" s="93"/>
      <c r="AR955" s="93"/>
      <c r="AS955" s="94"/>
      <c r="AT955" s="93"/>
      <c r="AU955" s="93"/>
      <c r="AV955" s="93"/>
    </row>
    <row r="956" spans="1:48" ht="12.75" customHeight="1" x14ac:dyDescent="0.2">
      <c r="A956" s="86"/>
      <c r="B956" s="87"/>
      <c r="C956" s="88"/>
      <c r="D956" s="89"/>
      <c r="E956" s="90"/>
      <c r="F956" s="90"/>
      <c r="G956" s="91"/>
      <c r="H956" s="91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2"/>
      <c r="AG956" s="90"/>
      <c r="AH956" s="90"/>
      <c r="AI956" s="90"/>
      <c r="AJ956" s="90"/>
      <c r="AK956" s="90"/>
      <c r="AL956" s="90"/>
      <c r="AM956" s="90"/>
      <c r="AN956" s="90"/>
      <c r="AO956" s="90"/>
      <c r="AP956" s="90"/>
      <c r="AQ956" s="93"/>
      <c r="AR956" s="93"/>
      <c r="AS956" s="94"/>
      <c r="AT956" s="93"/>
      <c r="AU956" s="93"/>
      <c r="AV956" s="93"/>
    </row>
    <row r="957" spans="1:48" ht="12.75" customHeight="1" x14ac:dyDescent="0.2">
      <c r="A957" s="86"/>
      <c r="B957" s="87"/>
      <c r="C957" s="88"/>
      <c r="D957" s="89"/>
      <c r="E957" s="90"/>
      <c r="F957" s="90"/>
      <c r="G957" s="91"/>
      <c r="H957" s="91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  <c r="AE957" s="90"/>
      <c r="AF957" s="92"/>
      <c r="AG957" s="90"/>
      <c r="AH957" s="90"/>
      <c r="AI957" s="90"/>
      <c r="AJ957" s="90"/>
      <c r="AK957" s="90"/>
      <c r="AL957" s="90"/>
      <c r="AM957" s="90"/>
      <c r="AN957" s="90"/>
      <c r="AO957" s="90"/>
      <c r="AP957" s="90"/>
      <c r="AQ957" s="93"/>
      <c r="AR957" s="93"/>
      <c r="AS957" s="94"/>
      <c r="AT957" s="93"/>
      <c r="AU957" s="93"/>
      <c r="AV957" s="93"/>
    </row>
    <row r="958" spans="1:48" ht="12.75" customHeight="1" x14ac:dyDescent="0.2">
      <c r="A958" s="86"/>
      <c r="B958" s="87"/>
      <c r="C958" s="88"/>
      <c r="D958" s="89"/>
      <c r="E958" s="90"/>
      <c r="F958" s="90"/>
      <c r="G958" s="91"/>
      <c r="H958" s="91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  <c r="AE958" s="90"/>
      <c r="AF958" s="92"/>
      <c r="AG958" s="90"/>
      <c r="AH958" s="90"/>
      <c r="AI958" s="90"/>
      <c r="AJ958" s="90"/>
      <c r="AK958" s="90"/>
      <c r="AL958" s="90"/>
      <c r="AM958" s="90"/>
      <c r="AN958" s="90"/>
      <c r="AO958" s="90"/>
      <c r="AP958" s="90"/>
      <c r="AQ958" s="93"/>
      <c r="AR958" s="93"/>
      <c r="AS958" s="94"/>
      <c r="AT958" s="93"/>
      <c r="AU958" s="93"/>
      <c r="AV958" s="93"/>
    </row>
    <row r="959" spans="1:48" ht="12.75" customHeight="1" x14ac:dyDescent="0.2">
      <c r="A959" s="86"/>
      <c r="B959" s="87"/>
      <c r="C959" s="88"/>
      <c r="D959" s="89"/>
      <c r="E959" s="90"/>
      <c r="F959" s="90"/>
      <c r="G959" s="91"/>
      <c r="H959" s="91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  <c r="AE959" s="90"/>
      <c r="AF959" s="92"/>
      <c r="AG959" s="90"/>
      <c r="AH959" s="90"/>
      <c r="AI959" s="90"/>
      <c r="AJ959" s="90"/>
      <c r="AK959" s="90"/>
      <c r="AL959" s="90"/>
      <c r="AM959" s="90"/>
      <c r="AN959" s="90"/>
      <c r="AO959" s="90"/>
      <c r="AP959" s="90"/>
      <c r="AQ959" s="93"/>
      <c r="AR959" s="93"/>
      <c r="AS959" s="94"/>
      <c r="AT959" s="93"/>
      <c r="AU959" s="93"/>
      <c r="AV959" s="93"/>
    </row>
    <row r="960" spans="1:48" ht="12.75" customHeight="1" x14ac:dyDescent="0.2">
      <c r="A960" s="86"/>
      <c r="B960" s="87"/>
      <c r="C960" s="88"/>
      <c r="D960" s="89"/>
      <c r="E960" s="90"/>
      <c r="F960" s="90"/>
      <c r="G960" s="91"/>
      <c r="H960" s="91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  <c r="AE960" s="90"/>
      <c r="AF960" s="92"/>
      <c r="AG960" s="90"/>
      <c r="AH960" s="90"/>
      <c r="AI960" s="90"/>
      <c r="AJ960" s="90"/>
      <c r="AK960" s="90"/>
      <c r="AL960" s="90"/>
      <c r="AM960" s="90"/>
      <c r="AN960" s="90"/>
      <c r="AO960" s="90"/>
      <c r="AP960" s="90"/>
      <c r="AQ960" s="93"/>
      <c r="AR960" s="93"/>
      <c r="AS960" s="94"/>
      <c r="AT960" s="93"/>
      <c r="AU960" s="93"/>
      <c r="AV960" s="93"/>
    </row>
    <row r="961" spans="1:48" ht="12.75" customHeight="1" x14ac:dyDescent="0.2">
      <c r="A961" s="86"/>
      <c r="B961" s="87"/>
      <c r="C961" s="88"/>
      <c r="D961" s="89"/>
      <c r="E961" s="90"/>
      <c r="F961" s="90"/>
      <c r="G961" s="91"/>
      <c r="H961" s="91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  <c r="AE961" s="90"/>
      <c r="AF961" s="92"/>
      <c r="AG961" s="90"/>
      <c r="AH961" s="90"/>
      <c r="AI961" s="90"/>
      <c r="AJ961" s="90"/>
      <c r="AK961" s="90"/>
      <c r="AL961" s="90"/>
      <c r="AM961" s="90"/>
      <c r="AN961" s="90"/>
      <c r="AO961" s="90"/>
      <c r="AP961" s="90"/>
      <c r="AQ961" s="93"/>
      <c r="AR961" s="93"/>
      <c r="AS961" s="94"/>
      <c r="AT961" s="93"/>
      <c r="AU961" s="93"/>
      <c r="AV961" s="93"/>
    </row>
    <row r="962" spans="1:48" ht="12.75" customHeight="1" x14ac:dyDescent="0.2">
      <c r="A962" s="86"/>
      <c r="B962" s="87"/>
      <c r="C962" s="88"/>
      <c r="D962" s="89"/>
      <c r="E962" s="90"/>
      <c r="F962" s="90"/>
      <c r="G962" s="91"/>
      <c r="H962" s="91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  <c r="AE962" s="90"/>
      <c r="AF962" s="92"/>
      <c r="AG962" s="90"/>
      <c r="AH962" s="90"/>
      <c r="AI962" s="90"/>
      <c r="AJ962" s="90"/>
      <c r="AK962" s="90"/>
      <c r="AL962" s="90"/>
      <c r="AM962" s="90"/>
      <c r="AN962" s="90"/>
      <c r="AO962" s="90"/>
      <c r="AP962" s="90"/>
      <c r="AQ962" s="93"/>
      <c r="AR962" s="93"/>
      <c r="AS962" s="94"/>
      <c r="AT962" s="93"/>
      <c r="AU962" s="93"/>
      <c r="AV962" s="93"/>
    </row>
    <row r="963" spans="1:48" ht="12.75" customHeight="1" x14ac:dyDescent="0.2">
      <c r="A963" s="86"/>
      <c r="B963" s="87"/>
      <c r="C963" s="88"/>
      <c r="D963" s="89"/>
      <c r="E963" s="90"/>
      <c r="F963" s="90"/>
      <c r="G963" s="91"/>
      <c r="H963" s="91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  <c r="AE963" s="90"/>
      <c r="AF963" s="92"/>
      <c r="AG963" s="90"/>
      <c r="AH963" s="90"/>
      <c r="AI963" s="90"/>
      <c r="AJ963" s="90"/>
      <c r="AK963" s="90"/>
      <c r="AL963" s="90"/>
      <c r="AM963" s="90"/>
      <c r="AN963" s="90"/>
      <c r="AO963" s="90"/>
      <c r="AP963" s="90"/>
      <c r="AQ963" s="93"/>
      <c r="AR963" s="93"/>
      <c r="AS963" s="94"/>
      <c r="AT963" s="93"/>
      <c r="AU963" s="93"/>
      <c r="AV963" s="93"/>
    </row>
    <row r="964" spans="1:48" ht="12.75" customHeight="1" x14ac:dyDescent="0.2">
      <c r="A964" s="86"/>
      <c r="B964" s="87"/>
      <c r="C964" s="88"/>
      <c r="D964" s="89"/>
      <c r="E964" s="90"/>
      <c r="F964" s="90"/>
      <c r="G964" s="91"/>
      <c r="H964" s="91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  <c r="AE964" s="90"/>
      <c r="AF964" s="92"/>
      <c r="AG964" s="90"/>
      <c r="AH964" s="90"/>
      <c r="AI964" s="90"/>
      <c r="AJ964" s="90"/>
      <c r="AK964" s="90"/>
      <c r="AL964" s="90"/>
      <c r="AM964" s="90"/>
      <c r="AN964" s="90"/>
      <c r="AO964" s="90"/>
      <c r="AP964" s="90"/>
      <c r="AQ964" s="93"/>
      <c r="AR964" s="93"/>
      <c r="AS964" s="94"/>
      <c r="AT964" s="93"/>
      <c r="AU964" s="93"/>
      <c r="AV964" s="93"/>
    </row>
    <row r="965" spans="1:48" ht="12.75" customHeight="1" x14ac:dyDescent="0.2">
      <c r="A965" s="86"/>
      <c r="B965" s="87"/>
      <c r="C965" s="88"/>
      <c r="D965" s="89"/>
      <c r="E965" s="90"/>
      <c r="F965" s="90"/>
      <c r="G965" s="91"/>
      <c r="H965" s="91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  <c r="AE965" s="90"/>
      <c r="AF965" s="92"/>
      <c r="AG965" s="90"/>
      <c r="AH965" s="90"/>
      <c r="AI965" s="90"/>
      <c r="AJ965" s="90"/>
      <c r="AK965" s="90"/>
      <c r="AL965" s="90"/>
      <c r="AM965" s="90"/>
      <c r="AN965" s="90"/>
      <c r="AO965" s="90"/>
      <c r="AP965" s="90"/>
      <c r="AQ965" s="93"/>
      <c r="AR965" s="93"/>
      <c r="AS965" s="94"/>
      <c r="AT965" s="93"/>
      <c r="AU965" s="93"/>
      <c r="AV965" s="93"/>
    </row>
    <row r="966" spans="1:48" ht="12.75" customHeight="1" x14ac:dyDescent="0.2">
      <c r="A966" s="86"/>
      <c r="B966" s="87"/>
      <c r="C966" s="88"/>
      <c r="D966" s="89"/>
      <c r="E966" s="90"/>
      <c r="F966" s="90"/>
      <c r="G966" s="91"/>
      <c r="H966" s="91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  <c r="AD966" s="90"/>
      <c r="AE966" s="90"/>
      <c r="AF966" s="92"/>
      <c r="AG966" s="90"/>
      <c r="AH966" s="90"/>
      <c r="AI966" s="90"/>
      <c r="AJ966" s="90"/>
      <c r="AK966" s="90"/>
      <c r="AL966" s="90"/>
      <c r="AM966" s="90"/>
      <c r="AN966" s="90"/>
      <c r="AO966" s="90"/>
      <c r="AP966" s="90"/>
      <c r="AQ966" s="93"/>
      <c r="AR966" s="93"/>
      <c r="AS966" s="94"/>
      <c r="AT966" s="93"/>
      <c r="AU966" s="93"/>
      <c r="AV966" s="93"/>
    </row>
    <row r="967" spans="1:48" ht="12.75" customHeight="1" x14ac:dyDescent="0.2">
      <c r="A967" s="86"/>
      <c r="B967" s="87"/>
      <c r="C967" s="88"/>
      <c r="D967" s="89"/>
      <c r="E967" s="90"/>
      <c r="F967" s="90"/>
      <c r="G967" s="91"/>
      <c r="H967" s="91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  <c r="AE967" s="90"/>
      <c r="AF967" s="92"/>
      <c r="AG967" s="90"/>
      <c r="AH967" s="90"/>
      <c r="AI967" s="90"/>
      <c r="AJ967" s="90"/>
      <c r="AK967" s="90"/>
      <c r="AL967" s="90"/>
      <c r="AM967" s="90"/>
      <c r="AN967" s="90"/>
      <c r="AO967" s="90"/>
      <c r="AP967" s="90"/>
      <c r="AQ967" s="93"/>
      <c r="AR967" s="93"/>
      <c r="AS967" s="94"/>
      <c r="AT967" s="93"/>
      <c r="AU967" s="93"/>
      <c r="AV967" s="93"/>
    </row>
    <row r="968" spans="1:48" ht="12.75" customHeight="1" x14ac:dyDescent="0.2">
      <c r="A968" s="86"/>
      <c r="B968" s="87"/>
      <c r="C968" s="88"/>
      <c r="D968" s="89"/>
      <c r="E968" s="90"/>
      <c r="F968" s="90"/>
      <c r="G968" s="91"/>
      <c r="H968" s="91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  <c r="AD968" s="90"/>
      <c r="AE968" s="90"/>
      <c r="AF968" s="92"/>
      <c r="AG968" s="90"/>
      <c r="AH968" s="90"/>
      <c r="AI968" s="90"/>
      <c r="AJ968" s="90"/>
      <c r="AK968" s="90"/>
      <c r="AL968" s="90"/>
      <c r="AM968" s="90"/>
      <c r="AN968" s="90"/>
      <c r="AO968" s="90"/>
      <c r="AP968" s="90"/>
      <c r="AQ968" s="93"/>
      <c r="AR968" s="93"/>
      <c r="AS968" s="94"/>
      <c r="AT968" s="93"/>
      <c r="AU968" s="93"/>
      <c r="AV968" s="93"/>
    </row>
    <row r="969" spans="1:48" ht="12.75" customHeight="1" x14ac:dyDescent="0.2">
      <c r="A969" s="86"/>
      <c r="B969" s="87"/>
      <c r="C969" s="88"/>
      <c r="D969" s="89"/>
      <c r="E969" s="90"/>
      <c r="F969" s="90"/>
      <c r="G969" s="91"/>
      <c r="H969" s="91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  <c r="AE969" s="90"/>
      <c r="AF969" s="92"/>
      <c r="AG969" s="90"/>
      <c r="AH969" s="90"/>
      <c r="AI969" s="90"/>
      <c r="AJ969" s="90"/>
      <c r="AK969" s="90"/>
      <c r="AL969" s="90"/>
      <c r="AM969" s="90"/>
      <c r="AN969" s="90"/>
      <c r="AO969" s="90"/>
      <c r="AP969" s="90"/>
      <c r="AQ969" s="93"/>
      <c r="AR969" s="93"/>
      <c r="AS969" s="94"/>
      <c r="AT969" s="93"/>
      <c r="AU969" s="93"/>
      <c r="AV969" s="93"/>
    </row>
    <row r="970" spans="1:48" ht="12.75" customHeight="1" x14ac:dyDescent="0.2">
      <c r="A970" s="86"/>
      <c r="B970" s="87"/>
      <c r="C970" s="88"/>
      <c r="D970" s="89"/>
      <c r="E970" s="90"/>
      <c r="F970" s="90"/>
      <c r="G970" s="91"/>
      <c r="H970" s="91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  <c r="AD970" s="90"/>
      <c r="AE970" s="90"/>
      <c r="AF970" s="92"/>
      <c r="AG970" s="90"/>
      <c r="AH970" s="90"/>
      <c r="AI970" s="90"/>
      <c r="AJ970" s="90"/>
      <c r="AK970" s="90"/>
      <c r="AL970" s="90"/>
      <c r="AM970" s="90"/>
      <c r="AN970" s="90"/>
      <c r="AO970" s="90"/>
      <c r="AP970" s="90"/>
      <c r="AQ970" s="93"/>
      <c r="AR970" s="93"/>
      <c r="AS970" s="94"/>
      <c r="AT970" s="93"/>
      <c r="AU970" s="93"/>
      <c r="AV970" s="93"/>
    </row>
    <row r="971" spans="1:48" ht="12.75" customHeight="1" x14ac:dyDescent="0.2">
      <c r="A971" s="86"/>
      <c r="B971" s="87"/>
      <c r="C971" s="88"/>
      <c r="D971" s="89"/>
      <c r="E971" s="90"/>
      <c r="F971" s="90"/>
      <c r="G971" s="91"/>
      <c r="H971" s="91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  <c r="AE971" s="90"/>
      <c r="AF971" s="92"/>
      <c r="AG971" s="90"/>
      <c r="AH971" s="90"/>
      <c r="AI971" s="90"/>
      <c r="AJ971" s="90"/>
      <c r="AK971" s="90"/>
      <c r="AL971" s="90"/>
      <c r="AM971" s="90"/>
      <c r="AN971" s="90"/>
      <c r="AO971" s="90"/>
      <c r="AP971" s="90"/>
      <c r="AQ971" s="93"/>
      <c r="AR971" s="93"/>
      <c r="AS971" s="94"/>
      <c r="AT971" s="93"/>
      <c r="AU971" s="93"/>
      <c r="AV971" s="93"/>
    </row>
    <row r="972" spans="1:48" ht="12.75" customHeight="1" x14ac:dyDescent="0.2">
      <c r="A972" s="86"/>
      <c r="B972" s="87"/>
      <c r="C972" s="88"/>
      <c r="D972" s="89"/>
      <c r="E972" s="90"/>
      <c r="F972" s="90"/>
      <c r="G972" s="91"/>
      <c r="H972" s="91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  <c r="AC972" s="90"/>
      <c r="AD972" s="90"/>
      <c r="AE972" s="90"/>
      <c r="AF972" s="92"/>
      <c r="AG972" s="90"/>
      <c r="AH972" s="90"/>
      <c r="AI972" s="90"/>
      <c r="AJ972" s="90"/>
      <c r="AK972" s="90"/>
      <c r="AL972" s="90"/>
      <c r="AM972" s="90"/>
      <c r="AN972" s="90"/>
      <c r="AO972" s="90"/>
      <c r="AP972" s="90"/>
      <c r="AQ972" s="93"/>
      <c r="AR972" s="93"/>
      <c r="AS972" s="94"/>
      <c r="AT972" s="93"/>
      <c r="AU972" s="93"/>
      <c r="AV972" s="93"/>
    </row>
    <row r="973" spans="1:48" ht="12.75" customHeight="1" x14ac:dyDescent="0.2">
      <c r="A973" s="86"/>
      <c r="B973" s="87"/>
      <c r="C973" s="88"/>
      <c r="D973" s="89"/>
      <c r="E973" s="90"/>
      <c r="F973" s="90"/>
      <c r="G973" s="91"/>
      <c r="H973" s="91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  <c r="AC973" s="90"/>
      <c r="AD973" s="90"/>
      <c r="AE973" s="90"/>
      <c r="AF973" s="92"/>
      <c r="AG973" s="90"/>
      <c r="AH973" s="90"/>
      <c r="AI973" s="90"/>
      <c r="AJ973" s="90"/>
      <c r="AK973" s="90"/>
      <c r="AL973" s="90"/>
      <c r="AM973" s="90"/>
      <c r="AN973" s="90"/>
      <c r="AO973" s="90"/>
      <c r="AP973" s="90"/>
      <c r="AQ973" s="93"/>
      <c r="AR973" s="93"/>
      <c r="AS973" s="94"/>
      <c r="AT973" s="93"/>
      <c r="AU973" s="93"/>
      <c r="AV973" s="93"/>
    </row>
    <row r="974" spans="1:48" ht="12.75" customHeight="1" x14ac:dyDescent="0.2">
      <c r="A974" s="86"/>
      <c r="B974" s="87"/>
      <c r="C974" s="88"/>
      <c r="D974" s="89"/>
      <c r="E974" s="90"/>
      <c r="F974" s="90"/>
      <c r="G974" s="91"/>
      <c r="H974" s="91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  <c r="AC974" s="90"/>
      <c r="AD974" s="90"/>
      <c r="AE974" s="90"/>
      <c r="AF974" s="92"/>
      <c r="AG974" s="90"/>
      <c r="AH974" s="90"/>
      <c r="AI974" s="90"/>
      <c r="AJ974" s="90"/>
      <c r="AK974" s="90"/>
      <c r="AL974" s="90"/>
      <c r="AM974" s="90"/>
      <c r="AN974" s="90"/>
      <c r="AO974" s="90"/>
      <c r="AP974" s="90"/>
      <c r="AQ974" s="93"/>
      <c r="AR974" s="93"/>
      <c r="AS974" s="94"/>
      <c r="AT974" s="93"/>
      <c r="AU974" s="93"/>
      <c r="AV974" s="93"/>
    </row>
    <row r="975" spans="1:48" ht="12.75" customHeight="1" x14ac:dyDescent="0.2">
      <c r="A975" s="86"/>
      <c r="B975" s="87"/>
      <c r="C975" s="88"/>
      <c r="D975" s="89"/>
      <c r="E975" s="90"/>
      <c r="F975" s="90"/>
      <c r="G975" s="91"/>
      <c r="H975" s="91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  <c r="AC975" s="90"/>
      <c r="AD975" s="90"/>
      <c r="AE975" s="90"/>
      <c r="AF975" s="92"/>
      <c r="AG975" s="90"/>
      <c r="AH975" s="90"/>
      <c r="AI975" s="90"/>
      <c r="AJ975" s="90"/>
      <c r="AK975" s="90"/>
      <c r="AL975" s="90"/>
      <c r="AM975" s="90"/>
      <c r="AN975" s="90"/>
      <c r="AO975" s="90"/>
      <c r="AP975" s="90"/>
      <c r="AQ975" s="93"/>
      <c r="AR975" s="93"/>
      <c r="AS975" s="94"/>
      <c r="AT975" s="93"/>
      <c r="AU975" s="93"/>
      <c r="AV975" s="93"/>
    </row>
    <row r="976" spans="1:48" ht="12.75" customHeight="1" x14ac:dyDescent="0.2">
      <c r="A976" s="86"/>
      <c r="B976" s="87"/>
      <c r="C976" s="88"/>
      <c r="D976" s="89"/>
      <c r="E976" s="90"/>
      <c r="F976" s="90"/>
      <c r="G976" s="91"/>
      <c r="H976" s="91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  <c r="AC976" s="90"/>
      <c r="AD976" s="90"/>
      <c r="AE976" s="90"/>
      <c r="AF976" s="92"/>
      <c r="AG976" s="90"/>
      <c r="AH976" s="90"/>
      <c r="AI976" s="90"/>
      <c r="AJ976" s="90"/>
      <c r="AK976" s="90"/>
      <c r="AL976" s="90"/>
      <c r="AM976" s="90"/>
      <c r="AN976" s="90"/>
      <c r="AO976" s="90"/>
      <c r="AP976" s="90"/>
      <c r="AQ976" s="93"/>
      <c r="AR976" s="93"/>
      <c r="AS976" s="94"/>
      <c r="AT976" s="93"/>
      <c r="AU976" s="93"/>
      <c r="AV976" s="93"/>
    </row>
    <row r="977" spans="1:48" ht="12.75" customHeight="1" x14ac:dyDescent="0.2">
      <c r="A977" s="86"/>
      <c r="B977" s="87"/>
      <c r="C977" s="88"/>
      <c r="D977" s="89"/>
      <c r="E977" s="90"/>
      <c r="F977" s="90"/>
      <c r="G977" s="91"/>
      <c r="H977" s="91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  <c r="AC977" s="90"/>
      <c r="AD977" s="90"/>
      <c r="AE977" s="90"/>
      <c r="AF977" s="92"/>
      <c r="AG977" s="90"/>
      <c r="AH977" s="90"/>
      <c r="AI977" s="90"/>
      <c r="AJ977" s="90"/>
      <c r="AK977" s="90"/>
      <c r="AL977" s="90"/>
      <c r="AM977" s="90"/>
      <c r="AN977" s="90"/>
      <c r="AO977" s="90"/>
      <c r="AP977" s="90"/>
      <c r="AQ977" s="93"/>
      <c r="AR977" s="93"/>
      <c r="AS977" s="94"/>
      <c r="AT977" s="93"/>
      <c r="AU977" s="93"/>
      <c r="AV977" s="93"/>
    </row>
    <row r="978" spans="1:48" ht="12.75" customHeight="1" x14ac:dyDescent="0.2">
      <c r="A978" s="86"/>
      <c r="B978" s="87"/>
      <c r="C978" s="88"/>
      <c r="D978" s="89"/>
      <c r="E978" s="90"/>
      <c r="F978" s="90"/>
      <c r="G978" s="91"/>
      <c r="H978" s="91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  <c r="AC978" s="90"/>
      <c r="AD978" s="90"/>
      <c r="AE978" s="90"/>
      <c r="AF978" s="92"/>
      <c r="AG978" s="90"/>
      <c r="AH978" s="90"/>
      <c r="AI978" s="90"/>
      <c r="AJ978" s="90"/>
      <c r="AK978" s="90"/>
      <c r="AL978" s="90"/>
      <c r="AM978" s="90"/>
      <c r="AN978" s="90"/>
      <c r="AO978" s="90"/>
      <c r="AP978" s="90"/>
      <c r="AQ978" s="93"/>
      <c r="AR978" s="93"/>
      <c r="AS978" s="94"/>
      <c r="AT978" s="93"/>
      <c r="AU978" s="93"/>
      <c r="AV978" s="93"/>
    </row>
    <row r="979" spans="1:48" ht="12.75" customHeight="1" x14ac:dyDescent="0.2">
      <c r="A979" s="86"/>
      <c r="B979" s="87"/>
      <c r="C979" s="88"/>
      <c r="D979" s="89"/>
      <c r="E979" s="90"/>
      <c r="F979" s="90"/>
      <c r="G979" s="91"/>
      <c r="H979" s="91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  <c r="AC979" s="90"/>
      <c r="AD979" s="90"/>
      <c r="AE979" s="90"/>
      <c r="AF979" s="92"/>
      <c r="AG979" s="90"/>
      <c r="AH979" s="90"/>
      <c r="AI979" s="90"/>
      <c r="AJ979" s="90"/>
      <c r="AK979" s="90"/>
      <c r="AL979" s="90"/>
      <c r="AM979" s="90"/>
      <c r="AN979" s="90"/>
      <c r="AO979" s="90"/>
      <c r="AP979" s="90"/>
      <c r="AQ979" s="93"/>
      <c r="AR979" s="93"/>
      <c r="AS979" s="94"/>
      <c r="AT979" s="93"/>
      <c r="AU979" s="93"/>
      <c r="AV979" s="93"/>
    </row>
    <row r="980" spans="1:48" ht="12.75" customHeight="1" x14ac:dyDescent="0.2">
      <c r="A980" s="86"/>
      <c r="B980" s="87"/>
      <c r="C980" s="88"/>
      <c r="D980" s="89"/>
      <c r="E980" s="90"/>
      <c r="F980" s="90"/>
      <c r="G980" s="91"/>
      <c r="H980" s="91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  <c r="AC980" s="90"/>
      <c r="AD980" s="90"/>
      <c r="AE980" s="90"/>
      <c r="AF980" s="92"/>
      <c r="AG980" s="90"/>
      <c r="AH980" s="90"/>
      <c r="AI980" s="90"/>
      <c r="AJ980" s="90"/>
      <c r="AK980" s="90"/>
      <c r="AL980" s="90"/>
      <c r="AM980" s="90"/>
      <c r="AN980" s="90"/>
      <c r="AO980" s="90"/>
      <c r="AP980" s="90"/>
      <c r="AQ980" s="93"/>
      <c r="AR980" s="93"/>
      <c r="AS980" s="94"/>
      <c r="AT980" s="93"/>
      <c r="AU980" s="93"/>
      <c r="AV980" s="93"/>
    </row>
    <row r="981" spans="1:48" ht="12.75" customHeight="1" x14ac:dyDescent="0.2">
      <c r="A981" s="86"/>
      <c r="B981" s="87"/>
      <c r="C981" s="88"/>
      <c r="D981" s="89"/>
      <c r="E981" s="90"/>
      <c r="F981" s="90"/>
      <c r="G981" s="91"/>
      <c r="H981" s="91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  <c r="AC981" s="90"/>
      <c r="AD981" s="90"/>
      <c r="AE981" s="90"/>
      <c r="AF981" s="92"/>
      <c r="AG981" s="90"/>
      <c r="AH981" s="90"/>
      <c r="AI981" s="90"/>
      <c r="AJ981" s="90"/>
      <c r="AK981" s="90"/>
      <c r="AL981" s="90"/>
      <c r="AM981" s="90"/>
      <c r="AN981" s="90"/>
      <c r="AO981" s="90"/>
      <c r="AP981" s="90"/>
      <c r="AQ981" s="93"/>
      <c r="AR981" s="93"/>
      <c r="AS981" s="94"/>
      <c r="AT981" s="93"/>
      <c r="AU981" s="93"/>
      <c r="AV981" s="93"/>
    </row>
    <row r="982" spans="1:48" ht="12.75" customHeight="1" x14ac:dyDescent="0.2">
      <c r="A982" s="86"/>
      <c r="B982" s="87"/>
      <c r="C982" s="88"/>
      <c r="D982" s="89"/>
      <c r="E982" s="90"/>
      <c r="F982" s="90"/>
      <c r="G982" s="91"/>
      <c r="H982" s="91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  <c r="AC982" s="90"/>
      <c r="AD982" s="90"/>
      <c r="AE982" s="90"/>
      <c r="AF982" s="92"/>
      <c r="AG982" s="90"/>
      <c r="AH982" s="90"/>
      <c r="AI982" s="90"/>
      <c r="AJ982" s="90"/>
      <c r="AK982" s="90"/>
      <c r="AL982" s="90"/>
      <c r="AM982" s="90"/>
      <c r="AN982" s="90"/>
      <c r="AO982" s="90"/>
      <c r="AP982" s="90"/>
      <c r="AQ982" s="93"/>
      <c r="AR982" s="93"/>
      <c r="AS982" s="94"/>
      <c r="AT982" s="93"/>
      <c r="AU982" s="93"/>
      <c r="AV982" s="93"/>
    </row>
    <row r="983" spans="1:48" ht="12.75" customHeight="1" x14ac:dyDescent="0.2">
      <c r="A983" s="86"/>
      <c r="B983" s="87"/>
      <c r="C983" s="88"/>
      <c r="D983" s="89"/>
      <c r="E983" s="90"/>
      <c r="F983" s="90"/>
      <c r="G983" s="91"/>
      <c r="H983" s="91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  <c r="AC983" s="90"/>
      <c r="AD983" s="90"/>
      <c r="AE983" s="90"/>
      <c r="AF983" s="92"/>
      <c r="AG983" s="90"/>
      <c r="AH983" s="90"/>
      <c r="AI983" s="90"/>
      <c r="AJ983" s="90"/>
      <c r="AK983" s="90"/>
      <c r="AL983" s="90"/>
      <c r="AM983" s="90"/>
      <c r="AN983" s="90"/>
      <c r="AO983" s="90"/>
      <c r="AP983" s="90"/>
      <c r="AQ983" s="93"/>
      <c r="AR983" s="93"/>
      <c r="AS983" s="94"/>
      <c r="AT983" s="93"/>
      <c r="AU983" s="93"/>
      <c r="AV983" s="93"/>
    </row>
    <row r="984" spans="1:48" ht="12.75" customHeight="1" x14ac:dyDescent="0.2">
      <c r="A984" s="86"/>
      <c r="B984" s="87"/>
      <c r="C984" s="88"/>
      <c r="D984" s="89"/>
      <c r="E984" s="90"/>
      <c r="F984" s="90"/>
      <c r="G984" s="91"/>
      <c r="H984" s="91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  <c r="AC984" s="90"/>
      <c r="AD984" s="90"/>
      <c r="AE984" s="90"/>
      <c r="AF984" s="92"/>
      <c r="AG984" s="90"/>
      <c r="AH984" s="90"/>
      <c r="AI984" s="90"/>
      <c r="AJ984" s="90"/>
      <c r="AK984" s="90"/>
      <c r="AL984" s="90"/>
      <c r="AM984" s="90"/>
      <c r="AN984" s="90"/>
      <c r="AO984" s="90"/>
      <c r="AP984" s="90"/>
      <c r="AQ984" s="93"/>
      <c r="AR984" s="93"/>
      <c r="AS984" s="94"/>
      <c r="AT984" s="93"/>
      <c r="AU984" s="93"/>
      <c r="AV984" s="93"/>
    </row>
    <row r="985" spans="1:48" ht="12.75" customHeight="1" x14ac:dyDescent="0.2">
      <c r="A985" s="86"/>
      <c r="B985" s="87"/>
      <c r="C985" s="88"/>
      <c r="D985" s="89"/>
      <c r="E985" s="90"/>
      <c r="F985" s="90"/>
      <c r="G985" s="91"/>
      <c r="H985" s="91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  <c r="AC985" s="90"/>
      <c r="AD985" s="90"/>
      <c r="AE985" s="90"/>
      <c r="AF985" s="92"/>
      <c r="AG985" s="90"/>
      <c r="AH985" s="90"/>
      <c r="AI985" s="90"/>
      <c r="AJ985" s="90"/>
      <c r="AK985" s="90"/>
      <c r="AL985" s="90"/>
      <c r="AM985" s="90"/>
      <c r="AN985" s="90"/>
      <c r="AO985" s="90"/>
      <c r="AP985" s="90"/>
      <c r="AQ985" s="93"/>
      <c r="AR985" s="93"/>
      <c r="AS985" s="94"/>
      <c r="AT985" s="93"/>
      <c r="AU985" s="93"/>
      <c r="AV985" s="93"/>
    </row>
    <row r="986" spans="1:48" ht="12.75" customHeight="1" x14ac:dyDescent="0.2">
      <c r="A986" s="86"/>
      <c r="B986" s="87"/>
      <c r="C986" s="88"/>
      <c r="D986" s="89"/>
      <c r="E986" s="90"/>
      <c r="F986" s="90"/>
      <c r="G986" s="91"/>
      <c r="H986" s="91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  <c r="AC986" s="90"/>
      <c r="AD986" s="90"/>
      <c r="AE986" s="90"/>
      <c r="AF986" s="92"/>
      <c r="AG986" s="90"/>
      <c r="AH986" s="90"/>
      <c r="AI986" s="90"/>
      <c r="AJ986" s="90"/>
      <c r="AK986" s="90"/>
      <c r="AL986" s="90"/>
      <c r="AM986" s="90"/>
      <c r="AN986" s="90"/>
      <c r="AO986" s="90"/>
      <c r="AP986" s="90"/>
      <c r="AQ986" s="93"/>
      <c r="AR986" s="93"/>
      <c r="AS986" s="94"/>
      <c r="AT986" s="93"/>
      <c r="AU986" s="93"/>
      <c r="AV986" s="93"/>
    </row>
    <row r="987" spans="1:48" ht="12.75" customHeight="1" x14ac:dyDescent="0.2">
      <c r="A987" s="86"/>
      <c r="B987" s="87"/>
      <c r="C987" s="88"/>
      <c r="D987" s="89"/>
      <c r="E987" s="90"/>
      <c r="F987" s="90"/>
      <c r="G987" s="91"/>
      <c r="H987" s="91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  <c r="AC987" s="90"/>
      <c r="AD987" s="90"/>
      <c r="AE987" s="90"/>
      <c r="AF987" s="92"/>
      <c r="AG987" s="90"/>
      <c r="AH987" s="90"/>
      <c r="AI987" s="90"/>
      <c r="AJ987" s="90"/>
      <c r="AK987" s="90"/>
      <c r="AL987" s="90"/>
      <c r="AM987" s="90"/>
      <c r="AN987" s="90"/>
      <c r="AO987" s="90"/>
      <c r="AP987" s="90"/>
      <c r="AQ987" s="93"/>
      <c r="AR987" s="93"/>
      <c r="AS987" s="94"/>
      <c r="AT987" s="93"/>
      <c r="AU987" s="93"/>
      <c r="AV987" s="93"/>
    </row>
    <row r="988" spans="1:48" ht="12.75" customHeight="1" x14ac:dyDescent="0.2">
      <c r="A988" s="86"/>
      <c r="B988" s="87"/>
      <c r="C988" s="88"/>
      <c r="D988" s="89"/>
      <c r="E988" s="90"/>
      <c r="F988" s="90"/>
      <c r="G988" s="91"/>
      <c r="H988" s="91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2"/>
      <c r="AG988" s="90"/>
      <c r="AH988" s="90"/>
      <c r="AI988" s="90"/>
      <c r="AJ988" s="90"/>
      <c r="AK988" s="90"/>
      <c r="AL988" s="90"/>
      <c r="AM988" s="90"/>
      <c r="AN988" s="90"/>
      <c r="AO988" s="90"/>
      <c r="AP988" s="90"/>
      <c r="AQ988" s="93"/>
      <c r="AR988" s="93"/>
      <c r="AS988" s="94"/>
      <c r="AT988" s="93"/>
      <c r="AU988" s="93"/>
      <c r="AV988" s="93"/>
    </row>
  </sheetData>
  <autoFilter ref="A9:AX185"/>
  <mergeCells count="14">
    <mergeCell ref="AK8:AP8"/>
    <mergeCell ref="AQ8:AS8"/>
    <mergeCell ref="AT8:AV8"/>
    <mergeCell ref="D8:E8"/>
    <mergeCell ref="F8:G8"/>
    <mergeCell ref="M8:R8"/>
    <mergeCell ref="S8:X8"/>
    <mergeCell ref="Y8:AD8"/>
    <mergeCell ref="AE8:AJ8"/>
    <mergeCell ref="E2:I2"/>
    <mergeCell ref="D3:K3"/>
    <mergeCell ref="AQ7:AV7"/>
    <mergeCell ref="E5:F5"/>
    <mergeCell ref="H6:K6"/>
  </mergeCells>
  <printOptions horizontalCentered="1"/>
  <pageMargins left="0.19685039370078741" right="0" top="0.74803149606299213" bottom="0.35433070866141736" header="0.31496062992125984" footer="0.31496062992125984"/>
  <pageSetup paperSize="5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SEPTIEMBRE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LAPTOP_HP</dc:creator>
  <cp:lastModifiedBy>LAPTOP_HP</cp:lastModifiedBy>
  <cp:lastPrinted>2026-10-05T15:13:37Z</cp:lastPrinted>
  <dcterms:created xsi:type="dcterms:W3CDTF">2026-09-20T20:06:29Z</dcterms:created>
  <dcterms:modified xsi:type="dcterms:W3CDTF">2026-10-07T21:39:18Z</dcterms:modified>
</cp:coreProperties>
</file>