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eddie/Documents/DPS/[Reporte] Cuadres/Julio/"/>
    </mc:Choice>
  </mc:AlternateContent>
  <xr:revisionPtr revIDLastSave="0" documentId="13_ncr:1_{68819CA4-FD6F-7D43-9E2B-4D66FC8925D6}" xr6:coauthVersionLast="47" xr6:coauthVersionMax="47" xr10:uidLastSave="{00000000-0000-0000-0000-000000000000}"/>
  <bookViews>
    <workbookView xWindow="0" yWindow="660" windowWidth="15120" windowHeight="17900" xr2:uid="{00000000-000D-0000-FFFF-FFFF00000000}"/>
  </bookViews>
  <sheets>
    <sheet name="INTEGRADO" sheetId="6" r:id="rId1"/>
    <sheet name="BECA MEDIA" sheetId="1" r:id="rId2"/>
    <sheet name="BECA SUPERIOR" sheetId="2" r:id="rId3"/>
    <sheet name="JOVENES PROTAGONISTAS" sheetId="10" r:id="rId4"/>
    <sheet name="BOLSA" sheetId="8" r:id="rId5"/>
    <sheet name="COMEDORES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3" i="10" l="1"/>
  <c r="T140" i="10"/>
  <c r="R137" i="10"/>
  <c r="O137" i="10"/>
  <c r="M137" i="10"/>
  <c r="L137" i="10"/>
  <c r="J137" i="10"/>
  <c r="G137" i="10"/>
  <c r="F137" i="10"/>
  <c r="O136" i="10"/>
  <c r="M136" i="10"/>
  <c r="L136" i="10"/>
  <c r="T136" i="10" s="1"/>
  <c r="I136" i="10"/>
  <c r="G136" i="10"/>
  <c r="F136" i="10"/>
  <c r="J135" i="10"/>
  <c r="T135" i="10" s="1"/>
  <c r="L134" i="10"/>
  <c r="Q133" i="10"/>
  <c r="O133" i="10"/>
  <c r="M133" i="10"/>
  <c r="K133" i="10"/>
  <c r="K137" i="10" s="1"/>
  <c r="I133" i="10"/>
  <c r="I137" i="10" s="1"/>
  <c r="G133" i="10"/>
  <c r="S132" i="10"/>
  <c r="S131" i="10"/>
  <c r="S130" i="10"/>
  <c r="S129" i="10"/>
  <c r="S128" i="10"/>
  <c r="S127" i="10"/>
  <c r="S126" i="10"/>
  <c r="S125" i="10"/>
  <c r="S124" i="10"/>
  <c r="S123" i="10"/>
  <c r="S122" i="10"/>
  <c r="S121" i="10"/>
  <c r="S120" i="10"/>
  <c r="S119" i="10"/>
  <c r="S118" i="10"/>
  <c r="S117" i="10"/>
  <c r="S116" i="10"/>
  <c r="S115" i="10"/>
  <c r="S114" i="10"/>
  <c r="S113" i="10"/>
  <c r="S112" i="10"/>
  <c r="S111" i="10"/>
  <c r="S110" i="10"/>
  <c r="S109" i="10"/>
  <c r="S108" i="10"/>
  <c r="S107" i="10"/>
  <c r="S106" i="10"/>
  <c r="S105" i="10"/>
  <c r="S104" i="10"/>
  <c r="S103" i="10"/>
  <c r="S102" i="10"/>
  <c r="S101" i="10"/>
  <c r="S100" i="10"/>
  <c r="S99" i="10"/>
  <c r="S98" i="10"/>
  <c r="S97" i="10"/>
  <c r="S96" i="10"/>
  <c r="S95" i="10"/>
  <c r="S94" i="10"/>
  <c r="S93" i="10"/>
  <c r="S92" i="10"/>
  <c r="S91" i="10"/>
  <c r="S90" i="10"/>
  <c r="S89" i="10"/>
  <c r="S88" i="10"/>
  <c r="S87" i="10"/>
  <c r="S86" i="10"/>
  <c r="S85" i="10"/>
  <c r="S84" i="10"/>
  <c r="J84" i="10"/>
  <c r="S83" i="10"/>
  <c r="J83" i="10"/>
  <c r="S82" i="10"/>
  <c r="J82" i="10"/>
  <c r="S81" i="10"/>
  <c r="J81" i="10"/>
  <c r="S80" i="10"/>
  <c r="J80" i="10"/>
  <c r="S79" i="10"/>
  <c r="S78" i="10"/>
  <c r="S77" i="10"/>
  <c r="S76" i="10"/>
  <c r="S75" i="10"/>
  <c r="S74" i="10"/>
  <c r="S73" i="10"/>
  <c r="S72" i="10"/>
  <c r="S71" i="10"/>
  <c r="S70" i="10"/>
  <c r="S69" i="10"/>
  <c r="S68" i="10"/>
  <c r="S67" i="10"/>
  <c r="S66" i="10"/>
  <c r="S65" i="10"/>
  <c r="S64" i="10"/>
  <c r="S63" i="10"/>
  <c r="S62" i="10"/>
  <c r="S61" i="10"/>
  <c r="S60" i="10"/>
  <c r="S59" i="10"/>
  <c r="S58" i="10"/>
  <c r="S57" i="10"/>
  <c r="S56" i="10"/>
  <c r="S55" i="10"/>
  <c r="S54" i="10"/>
  <c r="S53" i="10"/>
  <c r="S52" i="10"/>
  <c r="S51" i="10"/>
  <c r="S50" i="10"/>
  <c r="S49" i="10"/>
  <c r="S48" i="10"/>
  <c r="S47" i="10"/>
  <c r="S46" i="10"/>
  <c r="S45" i="10"/>
  <c r="S44" i="10"/>
  <c r="S43" i="10"/>
  <c r="S42" i="10"/>
  <c r="S41" i="10"/>
  <c r="S40" i="10"/>
  <c r="S39" i="10"/>
  <c r="S38" i="10"/>
  <c r="S37" i="10"/>
  <c r="S36" i="10"/>
  <c r="S35" i="10"/>
  <c r="S34" i="10"/>
  <c r="S33" i="10"/>
  <c r="S32" i="10"/>
  <c r="S31" i="10"/>
  <c r="S30" i="10"/>
  <c r="S29" i="10"/>
  <c r="S28" i="10"/>
  <c r="S27" i="10"/>
  <c r="S26" i="10"/>
  <c r="S25" i="10"/>
  <c r="S24" i="10"/>
  <c r="S23" i="10"/>
  <c r="S22" i="10"/>
  <c r="S21" i="10"/>
  <c r="S20" i="10"/>
  <c r="S19" i="10"/>
  <c r="S18" i="10"/>
  <c r="S17" i="10"/>
  <c r="S16" i="10"/>
  <c r="S15" i="10"/>
  <c r="S14" i="10"/>
  <c r="S13" i="10"/>
  <c r="S12" i="10"/>
  <c r="S11" i="10"/>
  <c r="W10" i="10"/>
  <c r="W11" i="10" s="1"/>
  <c r="W12" i="10" s="1"/>
  <c r="W13" i="10" s="1"/>
  <c r="W14" i="10" s="1"/>
  <c r="W15" i="10" s="1"/>
  <c r="W16" i="10" s="1"/>
  <c r="W17" i="10" s="1"/>
  <c r="W18" i="10" s="1"/>
  <c r="W22" i="10" s="1"/>
  <c r="W23" i="10" s="1"/>
  <c r="W24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W86" i="10" s="1"/>
  <c r="W87" i="10" s="1"/>
  <c r="W88" i="10" s="1"/>
  <c r="W89" i="10" s="1"/>
  <c r="W90" i="10" s="1"/>
  <c r="W91" i="10" s="1"/>
  <c r="W92" i="10" s="1"/>
  <c r="W93" i="10" s="1"/>
  <c r="W94" i="10" s="1"/>
  <c r="W95" i="10" s="1"/>
  <c r="W96" i="10" s="1"/>
  <c r="W97" i="10" s="1"/>
  <c r="W98" i="10" s="1"/>
  <c r="W99" i="10" s="1"/>
  <c r="W100" i="10" s="1"/>
  <c r="W101" i="10" s="1"/>
  <c r="W102" i="10" s="1"/>
  <c r="W103" i="10" s="1"/>
  <c r="W104" i="10" s="1"/>
  <c r="W105" i="10" s="1"/>
  <c r="W106" i="10" s="1"/>
  <c r="W107" i="10" s="1"/>
  <c r="W108" i="10" s="1"/>
  <c r="W109" i="10" s="1"/>
  <c r="W110" i="10" s="1"/>
  <c r="W111" i="10" s="1"/>
  <c r="W112" i="10" s="1"/>
  <c r="W113" i="10" s="1"/>
  <c r="W114" i="10" s="1"/>
  <c r="W116" i="10" s="1"/>
  <c r="W117" i="10" s="1"/>
  <c r="W118" i="10" s="1"/>
  <c r="W119" i="10" s="1"/>
  <c r="W120" i="10" s="1"/>
  <c r="W121" i="10" s="1"/>
  <c r="W122" i="10" s="1"/>
  <c r="W123" i="10" s="1"/>
  <c r="W124" i="10" s="1"/>
  <c r="W125" i="10" s="1"/>
  <c r="W126" i="10" s="1"/>
  <c r="W127" i="10" s="1"/>
  <c r="W128" i="10" s="1"/>
  <c r="W129" i="10" s="1"/>
  <c r="W130" i="10" s="1"/>
  <c r="W131" i="10" s="1"/>
  <c r="W132" i="10" s="1"/>
  <c r="S10" i="10"/>
  <c r="S9" i="10"/>
  <c r="S8" i="10"/>
  <c r="A8" i="10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S7" i="10"/>
  <c r="X6" i="10"/>
  <c r="W6" i="10"/>
  <c r="W7" i="10" s="1"/>
  <c r="W8" i="10" s="1"/>
  <c r="W9" i="10" s="1"/>
  <c r="V6" i="10"/>
  <c r="V7" i="10" s="1"/>
  <c r="S6" i="10"/>
  <c r="A6" i="10"/>
  <c r="A7" i="10" s="1"/>
  <c r="X5" i="10"/>
  <c r="N5" i="10" s="1"/>
  <c r="V5" i="10"/>
  <c r="S5" i="10"/>
  <c r="R5" i="10"/>
  <c r="AA4" i="10"/>
  <c r="AA5" i="10" s="1"/>
  <c r="Z4" i="10"/>
  <c r="Z5" i="10" s="1"/>
  <c r="X4" i="10"/>
  <c r="V4" i="10"/>
  <c r="Y2" i="10"/>
  <c r="Y3" i="10" s="1"/>
  <c r="Y4" i="10" s="1"/>
  <c r="Y5" i="10" s="1"/>
  <c r="V2" i="10"/>
  <c r="H6" i="10" l="1"/>
  <c r="H5" i="10"/>
  <c r="Y6" i="10"/>
  <c r="J5" i="10"/>
  <c r="Z6" i="10"/>
  <c r="V8" i="10"/>
  <c r="R7" i="10"/>
  <c r="P5" i="10"/>
  <c r="AA6" i="10"/>
  <c r="S133" i="10"/>
  <c r="S137" i="10" s="1"/>
  <c r="N6" i="10"/>
  <c r="X7" i="10"/>
  <c r="R6" i="10"/>
  <c r="K136" i="10"/>
  <c r="V9" i="10" l="1"/>
  <c r="R8" i="10"/>
  <c r="J6" i="10"/>
  <c r="T6" i="10" s="1"/>
  <c r="Z7" i="10"/>
  <c r="H7" i="10"/>
  <c r="Y7" i="10"/>
  <c r="AA7" i="10"/>
  <c r="P6" i="10"/>
  <c r="T5" i="10"/>
  <c r="X8" i="10"/>
  <c r="N7" i="10"/>
  <c r="R9" i="10" l="1"/>
  <c r="V10" i="10"/>
  <c r="P7" i="10"/>
  <c r="AA8" i="10"/>
  <c r="Y8" i="10"/>
  <c r="H8" i="10"/>
  <c r="J7" i="10"/>
  <c r="Z8" i="10"/>
  <c r="N8" i="10"/>
  <c r="X9" i="10"/>
  <c r="H9" i="10" l="1"/>
  <c r="Y9" i="10"/>
  <c r="P8" i="10"/>
  <c r="T8" i="10" s="1"/>
  <c r="AA9" i="10"/>
  <c r="R10" i="10"/>
  <c r="V11" i="10"/>
  <c r="T7" i="10"/>
  <c r="N9" i="10"/>
  <c r="X10" i="10"/>
  <c r="Z9" i="10"/>
  <c r="J8" i="10"/>
  <c r="R11" i="10" l="1"/>
  <c r="V12" i="10"/>
  <c r="N10" i="10"/>
  <c r="X11" i="10"/>
  <c r="P9" i="10"/>
  <c r="AA10" i="10"/>
  <c r="Y10" i="10"/>
  <c r="H10" i="10"/>
  <c r="J9" i="10"/>
  <c r="Z10" i="10"/>
  <c r="H12" i="10" l="1"/>
  <c r="Y12" i="10"/>
  <c r="P10" i="10"/>
  <c r="AA11" i="10"/>
  <c r="N11" i="10"/>
  <c r="X12" i="10"/>
  <c r="T9" i="10"/>
  <c r="R12" i="10"/>
  <c r="V13" i="10"/>
  <c r="J10" i="10"/>
  <c r="T10" i="10" s="1"/>
  <c r="Z12" i="10"/>
  <c r="R13" i="10" l="1"/>
  <c r="V14" i="10"/>
  <c r="N12" i="10"/>
  <c r="X13" i="10"/>
  <c r="P11" i="10"/>
  <c r="T11" i="10" s="1"/>
  <c r="AA12" i="10"/>
  <c r="H13" i="10"/>
  <c r="Y13" i="10"/>
  <c r="Z13" i="10"/>
  <c r="J12" i="10"/>
  <c r="T12" i="10" l="1"/>
  <c r="H14" i="10"/>
  <c r="Y14" i="10"/>
  <c r="P12" i="10"/>
  <c r="AA13" i="10"/>
  <c r="N13" i="10"/>
  <c r="X14" i="10"/>
  <c r="R14" i="10"/>
  <c r="V15" i="10"/>
  <c r="Z14" i="10"/>
  <c r="J13" i="10"/>
  <c r="Z15" i="10" l="1"/>
  <c r="J14" i="10"/>
  <c r="V16" i="10"/>
  <c r="R15" i="10"/>
  <c r="N14" i="10"/>
  <c r="X15" i="10"/>
  <c r="P13" i="10"/>
  <c r="T13" i="10" s="1"/>
  <c r="AA14" i="10"/>
  <c r="H15" i="10"/>
  <c r="Y15" i="10"/>
  <c r="Y16" i="10" l="1"/>
  <c r="H16" i="10"/>
  <c r="AA15" i="10"/>
  <c r="P14" i="10"/>
  <c r="T14" i="10" s="1"/>
  <c r="X16" i="10"/>
  <c r="N15" i="10"/>
  <c r="V17" i="10"/>
  <c r="R16" i="10"/>
  <c r="Z16" i="10"/>
  <c r="J15" i="10"/>
  <c r="Z17" i="10" l="1"/>
  <c r="J16" i="10"/>
  <c r="V18" i="10"/>
  <c r="R17" i="10"/>
  <c r="X17" i="10"/>
  <c r="N16" i="10"/>
  <c r="AA16" i="10"/>
  <c r="P15" i="10"/>
  <c r="T15" i="10" s="1"/>
  <c r="Y18" i="10"/>
  <c r="H18" i="10"/>
  <c r="Y22" i="10" l="1"/>
  <c r="H22" i="10"/>
  <c r="AA17" i="10"/>
  <c r="P16" i="10"/>
  <c r="T16" i="10" s="1"/>
  <c r="X18" i="10"/>
  <c r="N17" i="10"/>
  <c r="V19" i="10"/>
  <c r="R18" i="10"/>
  <c r="Z18" i="10"/>
  <c r="J17" i="10"/>
  <c r="Z22" i="10" l="1"/>
  <c r="J18" i="10"/>
  <c r="V20" i="10"/>
  <c r="R19" i="10"/>
  <c r="T19" i="10" s="1"/>
  <c r="N18" i="10"/>
  <c r="X22" i="10"/>
  <c r="AA18" i="10"/>
  <c r="P17" i="10"/>
  <c r="T17" i="10" s="1"/>
  <c r="H24" i="10"/>
  <c r="Y24" i="10"/>
  <c r="Y27" i="10" l="1"/>
  <c r="H27" i="10"/>
  <c r="X23" i="10"/>
  <c r="N22" i="10"/>
  <c r="AA22" i="10"/>
  <c r="P18" i="10"/>
  <c r="T18" i="10" s="1"/>
  <c r="R20" i="10"/>
  <c r="T20" i="10" s="1"/>
  <c r="V21" i="10"/>
  <c r="Z23" i="10"/>
  <c r="J22" i="10"/>
  <c r="R21" i="10" l="1"/>
  <c r="T21" i="10" s="1"/>
  <c r="V22" i="10"/>
  <c r="J23" i="10"/>
  <c r="Z24" i="10"/>
  <c r="P22" i="10"/>
  <c r="AA23" i="10"/>
  <c r="N23" i="10"/>
  <c r="X24" i="10"/>
  <c r="Y28" i="10"/>
  <c r="H28" i="10"/>
  <c r="H29" i="10" l="1"/>
  <c r="Y29" i="10"/>
  <c r="AA24" i="10"/>
  <c r="P23" i="10"/>
  <c r="X27" i="10"/>
  <c r="N24" i="10"/>
  <c r="J24" i="10"/>
  <c r="Z27" i="10"/>
  <c r="V23" i="10"/>
  <c r="R22" i="10"/>
  <c r="T22" i="10" s="1"/>
  <c r="Z28" i="10" l="1"/>
  <c r="J27" i="10"/>
  <c r="X28" i="10"/>
  <c r="N27" i="10"/>
  <c r="P24" i="10"/>
  <c r="AA27" i="10"/>
  <c r="H30" i="10"/>
  <c r="Y30" i="10"/>
  <c r="V24" i="10"/>
  <c r="R23" i="10"/>
  <c r="T23" i="10" s="1"/>
  <c r="V25" i="10" l="1"/>
  <c r="R24" i="10"/>
  <c r="T24" i="10" s="1"/>
  <c r="Y31" i="10"/>
  <c r="H31" i="10"/>
  <c r="P27" i="10"/>
  <c r="AA28" i="10"/>
  <c r="X29" i="10"/>
  <c r="N28" i="10"/>
  <c r="Z29" i="10"/>
  <c r="J28" i="10"/>
  <c r="X30" i="10" l="1"/>
  <c r="N29" i="10"/>
  <c r="AA29" i="10"/>
  <c r="P28" i="10"/>
  <c r="H32" i="10"/>
  <c r="Y32" i="10"/>
  <c r="V26" i="10"/>
  <c r="R25" i="10"/>
  <c r="T25" i="10" s="1"/>
  <c r="Z30" i="10"/>
  <c r="J29" i="10"/>
  <c r="Z31" i="10" l="1"/>
  <c r="J30" i="10"/>
  <c r="R26" i="10"/>
  <c r="T26" i="10" s="1"/>
  <c r="V27" i="10"/>
  <c r="H33" i="10"/>
  <c r="Y33" i="10"/>
  <c r="AA30" i="10"/>
  <c r="P29" i="10"/>
  <c r="X31" i="10"/>
  <c r="N30" i="10"/>
  <c r="P30" i="10" l="1"/>
  <c r="AA31" i="10"/>
  <c r="N31" i="10"/>
  <c r="X32" i="10"/>
  <c r="H34" i="10"/>
  <c r="Y34" i="10"/>
  <c r="V28" i="10"/>
  <c r="R27" i="10"/>
  <c r="T27" i="10" s="1"/>
  <c r="J31" i="10"/>
  <c r="Z32" i="10"/>
  <c r="H35" i="10" l="1"/>
  <c r="Y35" i="10"/>
  <c r="N32" i="10"/>
  <c r="X33" i="10"/>
  <c r="V29" i="10"/>
  <c r="R28" i="10"/>
  <c r="T28" i="10" s="1"/>
  <c r="P31" i="10"/>
  <c r="AA32" i="10"/>
  <c r="J32" i="10"/>
  <c r="Z33" i="10"/>
  <c r="P32" i="10" l="1"/>
  <c r="AA33" i="10"/>
  <c r="V30" i="10"/>
  <c r="R29" i="10"/>
  <c r="T29" i="10" s="1"/>
  <c r="N33" i="10"/>
  <c r="X34" i="10"/>
  <c r="Y42" i="10"/>
  <c r="H42" i="10"/>
  <c r="Z34" i="10"/>
  <c r="J33" i="10"/>
  <c r="X35" i="10" l="1"/>
  <c r="N34" i="10"/>
  <c r="R30" i="10"/>
  <c r="T30" i="10" s="1"/>
  <c r="V31" i="10"/>
  <c r="J34" i="10"/>
  <c r="Z35" i="10"/>
  <c r="Y43" i="10"/>
  <c r="H43" i="10"/>
  <c r="P33" i="10"/>
  <c r="AA34" i="10"/>
  <c r="H44" i="10" l="1"/>
  <c r="Y44" i="10"/>
  <c r="J35" i="10"/>
  <c r="Z42" i="10"/>
  <c r="R31" i="10"/>
  <c r="T31" i="10" s="1"/>
  <c r="V32" i="10"/>
  <c r="X36" i="10"/>
  <c r="N35" i="10"/>
  <c r="P34" i="10"/>
  <c r="AA35" i="10"/>
  <c r="N36" i="10" l="1"/>
  <c r="X37" i="10"/>
  <c r="R32" i="10"/>
  <c r="T32" i="10" s="1"/>
  <c r="V33" i="10"/>
  <c r="Z43" i="10"/>
  <c r="J42" i="10"/>
  <c r="H45" i="10"/>
  <c r="Y45" i="10"/>
  <c r="AA36" i="10"/>
  <c r="P35" i="10"/>
  <c r="Y46" i="10" l="1"/>
  <c r="H46" i="10"/>
  <c r="Z44" i="10"/>
  <c r="J43" i="10"/>
  <c r="R33" i="10"/>
  <c r="T33" i="10" s="1"/>
  <c r="V34" i="10"/>
  <c r="X38" i="10"/>
  <c r="N37" i="10"/>
  <c r="P36" i="10"/>
  <c r="AA37" i="10"/>
  <c r="N38" i="10" l="1"/>
  <c r="X42" i="10"/>
  <c r="R34" i="10"/>
  <c r="T34" i="10" s="1"/>
  <c r="V35" i="10"/>
  <c r="Z45" i="10"/>
  <c r="J44" i="10"/>
  <c r="P37" i="10"/>
  <c r="AA38" i="10"/>
  <c r="H47" i="10"/>
  <c r="Y47" i="10"/>
  <c r="AA42" i="10" l="1"/>
  <c r="P38" i="10"/>
  <c r="J45" i="10"/>
  <c r="Z46" i="10"/>
  <c r="R35" i="10"/>
  <c r="T35" i="10" s="1"/>
  <c r="V36" i="10"/>
  <c r="N42" i="10"/>
  <c r="X43" i="10"/>
  <c r="Y48" i="10"/>
  <c r="H48" i="10"/>
  <c r="Y50" i="10" l="1"/>
  <c r="H50" i="10"/>
  <c r="R36" i="10"/>
  <c r="T36" i="10" s="1"/>
  <c r="V37" i="10"/>
  <c r="N43" i="10"/>
  <c r="X44" i="10"/>
  <c r="J46" i="10"/>
  <c r="Z47" i="10"/>
  <c r="P42" i="10"/>
  <c r="AA43" i="10"/>
  <c r="P43" i="10" l="1"/>
  <c r="AA44" i="10"/>
  <c r="J47" i="10"/>
  <c r="Z48" i="10"/>
  <c r="N44" i="10"/>
  <c r="X45" i="10"/>
  <c r="V38" i="10"/>
  <c r="R37" i="10"/>
  <c r="T37" i="10" s="1"/>
  <c r="Y51" i="10"/>
  <c r="H51" i="10"/>
  <c r="X46" i="10" l="1"/>
  <c r="N45" i="10"/>
  <c r="Z50" i="10"/>
  <c r="J48" i="10"/>
  <c r="Y52" i="10"/>
  <c r="H52" i="10"/>
  <c r="V39" i="10"/>
  <c r="R38" i="10"/>
  <c r="T38" i="10" s="1"/>
  <c r="P44" i="10"/>
  <c r="AA45" i="10"/>
  <c r="V40" i="10" l="1"/>
  <c r="R39" i="10"/>
  <c r="T39" i="10" s="1"/>
  <c r="H53" i="10"/>
  <c r="Y53" i="10"/>
  <c r="Z51" i="10"/>
  <c r="J50" i="10"/>
  <c r="P45" i="10"/>
  <c r="AA46" i="10"/>
  <c r="N46" i="10"/>
  <c r="X47" i="10"/>
  <c r="Z52" i="10" l="1"/>
  <c r="J51" i="10"/>
  <c r="Y54" i="10"/>
  <c r="H54" i="10"/>
  <c r="N47" i="10"/>
  <c r="X48" i="10"/>
  <c r="V41" i="10"/>
  <c r="R40" i="10"/>
  <c r="T40" i="10" s="1"/>
  <c r="P46" i="10"/>
  <c r="AA47" i="10"/>
  <c r="V42" i="10" l="1"/>
  <c r="R41" i="10"/>
  <c r="T41" i="10" s="1"/>
  <c r="X49" i="10"/>
  <c r="N48" i="10"/>
  <c r="H55" i="10"/>
  <c r="Y55" i="10"/>
  <c r="Z53" i="10"/>
  <c r="J52" i="10"/>
  <c r="P47" i="10"/>
  <c r="AA48" i="10"/>
  <c r="R42" i="10" l="1"/>
  <c r="T42" i="10" s="1"/>
  <c r="V43" i="10"/>
  <c r="J53" i="10"/>
  <c r="Z54" i="10"/>
  <c r="H59" i="10"/>
  <c r="Y59" i="10"/>
  <c r="X50" i="10"/>
  <c r="N49" i="10"/>
  <c r="P48" i="10"/>
  <c r="AA49" i="10"/>
  <c r="X51" i="10" l="1"/>
  <c r="N50" i="10"/>
  <c r="Y60" i="10"/>
  <c r="H60" i="10"/>
  <c r="J54" i="10"/>
  <c r="Z55" i="10"/>
  <c r="R43" i="10"/>
  <c r="T43" i="10" s="1"/>
  <c r="V44" i="10"/>
  <c r="AA50" i="10"/>
  <c r="P49" i="10"/>
  <c r="Z59" i="10" l="1"/>
  <c r="J55" i="10"/>
  <c r="H64" i="10"/>
  <c r="Y64" i="10"/>
  <c r="X52" i="10"/>
  <c r="N51" i="10"/>
  <c r="AA51" i="10"/>
  <c r="P50" i="10"/>
  <c r="R44" i="10"/>
  <c r="T44" i="10" s="1"/>
  <c r="V45" i="10"/>
  <c r="P51" i="10" l="1"/>
  <c r="AA52" i="10"/>
  <c r="Z60" i="10"/>
  <c r="J59" i="10"/>
  <c r="N52" i="10"/>
  <c r="X53" i="10"/>
  <c r="H65" i="10"/>
  <c r="Y65" i="10"/>
  <c r="R45" i="10"/>
  <c r="T45" i="10" s="1"/>
  <c r="V46" i="10"/>
  <c r="X54" i="10" l="1"/>
  <c r="N53" i="10"/>
  <c r="Z61" i="10"/>
  <c r="J60" i="10"/>
  <c r="V47" i="10"/>
  <c r="R46" i="10"/>
  <c r="T46" i="10" s="1"/>
  <c r="AA53" i="10"/>
  <c r="P52" i="10"/>
  <c r="H66" i="10"/>
  <c r="Y66" i="10"/>
  <c r="P53" i="10" l="1"/>
  <c r="AA54" i="10"/>
  <c r="V48" i="10"/>
  <c r="R47" i="10"/>
  <c r="T47" i="10" s="1"/>
  <c r="Z62" i="10"/>
  <c r="J61" i="10"/>
  <c r="Y70" i="10"/>
  <c r="H70" i="10"/>
  <c r="N54" i="10"/>
  <c r="X55" i="10"/>
  <c r="Z63" i="10" l="1"/>
  <c r="J62" i="10"/>
  <c r="AA55" i="10"/>
  <c r="P54" i="10"/>
  <c r="H71" i="10"/>
  <c r="Y71" i="10"/>
  <c r="V49" i="10"/>
  <c r="R48" i="10"/>
  <c r="T48" i="10" s="1"/>
  <c r="N55" i="10"/>
  <c r="X56" i="10"/>
  <c r="R49" i="10" l="1"/>
  <c r="T49" i="10" s="1"/>
  <c r="V50" i="10"/>
  <c r="Y72" i="10"/>
  <c r="H72" i="10"/>
  <c r="AA56" i="10"/>
  <c r="P55" i="10"/>
  <c r="J63" i="10"/>
  <c r="Z64" i="10"/>
  <c r="X57" i="10"/>
  <c r="N56" i="10"/>
  <c r="J64" i="10" l="1"/>
  <c r="Z65" i="10"/>
  <c r="X58" i="10"/>
  <c r="N57" i="10"/>
  <c r="AA57" i="10"/>
  <c r="P56" i="10"/>
  <c r="Y73" i="10"/>
  <c r="H73" i="10"/>
  <c r="R50" i="10"/>
  <c r="T50" i="10" s="1"/>
  <c r="V51" i="10"/>
  <c r="H76" i="10" l="1"/>
  <c r="Y76" i="10"/>
  <c r="AA58" i="10"/>
  <c r="P57" i="10"/>
  <c r="N58" i="10"/>
  <c r="X59" i="10"/>
  <c r="J65" i="10"/>
  <c r="Z66" i="10"/>
  <c r="R51" i="10"/>
  <c r="T51" i="10" s="1"/>
  <c r="V52" i="10"/>
  <c r="R52" i="10" l="1"/>
  <c r="T52" i="10" s="1"/>
  <c r="V53" i="10"/>
  <c r="Y79" i="10"/>
  <c r="H79" i="10"/>
  <c r="J66" i="10"/>
  <c r="Z67" i="10"/>
  <c r="X60" i="10"/>
  <c r="N59" i="10"/>
  <c r="AA59" i="10"/>
  <c r="P58" i="10"/>
  <c r="AA60" i="10" l="1"/>
  <c r="P59" i="10"/>
  <c r="J67" i="10"/>
  <c r="Z68" i="10"/>
  <c r="X61" i="10"/>
  <c r="N60" i="10"/>
  <c r="V54" i="10"/>
  <c r="R53" i="10"/>
  <c r="T53" i="10" s="1"/>
  <c r="H85" i="10"/>
  <c r="Y85" i="10"/>
  <c r="V55" i="10" l="1"/>
  <c r="R54" i="10"/>
  <c r="T54" i="10" s="1"/>
  <c r="X62" i="10"/>
  <c r="N61" i="10"/>
  <c r="Z69" i="10"/>
  <c r="J68" i="10"/>
  <c r="H86" i="10"/>
  <c r="Y86" i="10"/>
  <c r="AA61" i="10"/>
  <c r="P60" i="10"/>
  <c r="Z70" i="10" l="1"/>
  <c r="J69" i="10"/>
  <c r="X63" i="10"/>
  <c r="N62" i="10"/>
  <c r="AA62" i="10"/>
  <c r="P61" i="10"/>
  <c r="Y87" i="10"/>
  <c r="H87" i="10"/>
  <c r="V56" i="10"/>
  <c r="R55" i="10"/>
  <c r="T55" i="10" s="1"/>
  <c r="H89" i="10" l="1"/>
  <c r="Y89" i="10"/>
  <c r="AA63" i="10"/>
  <c r="P62" i="10"/>
  <c r="N63" i="10"/>
  <c r="X64" i="10"/>
  <c r="Z71" i="10"/>
  <c r="J70" i="10"/>
  <c r="R56" i="10"/>
  <c r="T56" i="10" s="1"/>
  <c r="V57" i="10"/>
  <c r="N64" i="10" l="1"/>
  <c r="X65" i="10"/>
  <c r="V58" i="10"/>
  <c r="R57" i="10"/>
  <c r="T57" i="10" s="1"/>
  <c r="AA64" i="10"/>
  <c r="P63" i="10"/>
  <c r="Z72" i="10"/>
  <c r="J71" i="10"/>
  <c r="Y90" i="10"/>
  <c r="H90" i="10"/>
  <c r="Y91" i="10" l="1"/>
  <c r="H91" i="10"/>
  <c r="Z73" i="10"/>
  <c r="J72" i="10"/>
  <c r="AA65" i="10"/>
  <c r="P64" i="10"/>
  <c r="R58" i="10"/>
  <c r="T58" i="10" s="1"/>
  <c r="V59" i="10"/>
  <c r="N65" i="10"/>
  <c r="X66" i="10"/>
  <c r="V60" i="10" l="1"/>
  <c r="R59" i="10"/>
  <c r="T59" i="10" s="1"/>
  <c r="P65" i="10"/>
  <c r="AA66" i="10"/>
  <c r="Z74" i="10"/>
  <c r="J73" i="10"/>
  <c r="Y92" i="10"/>
  <c r="H92" i="10"/>
  <c r="X67" i="10"/>
  <c r="N66" i="10"/>
  <c r="H93" i="10" l="1"/>
  <c r="Y93" i="10"/>
  <c r="J74" i="10"/>
  <c r="Z75" i="10"/>
  <c r="P66" i="10"/>
  <c r="AA67" i="10"/>
  <c r="V61" i="10"/>
  <c r="R60" i="10"/>
  <c r="T60" i="10" s="1"/>
  <c r="N67" i="10"/>
  <c r="X68" i="10"/>
  <c r="R61" i="10" l="1"/>
  <c r="T61" i="10" s="1"/>
  <c r="V62" i="10"/>
  <c r="P67" i="10"/>
  <c r="AA68" i="10"/>
  <c r="J75" i="10"/>
  <c r="Z76" i="10"/>
  <c r="Y94" i="10"/>
  <c r="H94" i="10"/>
  <c r="N68" i="10"/>
  <c r="X69" i="10"/>
  <c r="H95" i="10" l="1"/>
  <c r="Y95" i="10"/>
  <c r="P68" i="10"/>
  <c r="AA69" i="10"/>
  <c r="N69" i="10"/>
  <c r="X70" i="10"/>
  <c r="R62" i="10"/>
  <c r="T62" i="10" s="1"/>
  <c r="V63" i="10"/>
  <c r="J76" i="10"/>
  <c r="Z77" i="10"/>
  <c r="N70" i="10" l="1"/>
  <c r="X71" i="10"/>
  <c r="P69" i="10"/>
  <c r="AA70" i="10"/>
  <c r="Y96" i="10"/>
  <c r="H96" i="10"/>
  <c r="J77" i="10"/>
  <c r="Z78" i="10"/>
  <c r="V64" i="10"/>
  <c r="R63" i="10"/>
  <c r="T63" i="10" s="1"/>
  <c r="Y97" i="10" l="1"/>
  <c r="H97" i="10"/>
  <c r="AA71" i="10"/>
  <c r="P70" i="10"/>
  <c r="X72" i="10"/>
  <c r="N71" i="10"/>
  <c r="Z79" i="10"/>
  <c r="J78" i="10"/>
  <c r="R64" i="10"/>
  <c r="T64" i="10" s="1"/>
  <c r="V65" i="10"/>
  <c r="X73" i="10" l="1"/>
  <c r="N72" i="10"/>
  <c r="AA72" i="10"/>
  <c r="P71" i="10"/>
  <c r="Y100" i="10"/>
  <c r="H100" i="10"/>
  <c r="Z85" i="10"/>
  <c r="J79" i="10"/>
  <c r="R65" i="10"/>
  <c r="T65" i="10" s="1"/>
  <c r="V66" i="10"/>
  <c r="N73" i="10" l="1"/>
  <c r="X74" i="10"/>
  <c r="J85" i="10"/>
  <c r="Z86" i="10"/>
  <c r="H101" i="10"/>
  <c r="Y101" i="10"/>
  <c r="AA73" i="10"/>
  <c r="P72" i="10"/>
  <c r="R66" i="10"/>
  <c r="T66" i="10" s="1"/>
  <c r="V67" i="10"/>
  <c r="AA74" i="10" l="1"/>
  <c r="P73" i="10"/>
  <c r="Y103" i="10"/>
  <c r="H103" i="10"/>
  <c r="J86" i="10"/>
  <c r="Z87" i="10"/>
  <c r="X75" i="10"/>
  <c r="N74" i="10"/>
  <c r="R67" i="10"/>
  <c r="T67" i="10" s="1"/>
  <c r="V68" i="10"/>
  <c r="N75" i="10" l="1"/>
  <c r="X76" i="10"/>
  <c r="J87" i="10"/>
  <c r="Z88" i="10"/>
  <c r="H104" i="10"/>
  <c r="Y104" i="10"/>
  <c r="V69" i="10"/>
  <c r="R68" i="10"/>
  <c r="T68" i="10" s="1"/>
  <c r="P74" i="10"/>
  <c r="AA75" i="10"/>
  <c r="H113" i="10" l="1"/>
  <c r="Y113" i="10"/>
  <c r="V70" i="10"/>
  <c r="R69" i="10"/>
  <c r="T69" i="10" s="1"/>
  <c r="J88" i="10"/>
  <c r="Z89" i="10"/>
  <c r="N76" i="10"/>
  <c r="X77" i="10"/>
  <c r="P75" i="10"/>
  <c r="AA76" i="10"/>
  <c r="X78" i="10" l="1"/>
  <c r="N77" i="10"/>
  <c r="Z90" i="10"/>
  <c r="J89" i="10"/>
  <c r="V71" i="10"/>
  <c r="R70" i="10"/>
  <c r="T70" i="10" s="1"/>
  <c r="P76" i="10"/>
  <c r="AA77" i="10"/>
  <c r="Y116" i="10"/>
  <c r="H116" i="10"/>
  <c r="Z91" i="10" l="1"/>
  <c r="J90" i="10"/>
  <c r="Y117" i="10"/>
  <c r="H117" i="10"/>
  <c r="P77" i="10"/>
  <c r="AA78" i="10"/>
  <c r="V72" i="10"/>
  <c r="R71" i="10"/>
  <c r="T71" i="10" s="1"/>
  <c r="X79" i="10"/>
  <c r="N78" i="10"/>
  <c r="P78" i="10" l="1"/>
  <c r="AA79" i="10"/>
  <c r="Z92" i="10"/>
  <c r="J91" i="10"/>
  <c r="N79" i="10"/>
  <c r="X80" i="10"/>
  <c r="V73" i="10"/>
  <c r="R72" i="10"/>
  <c r="T72" i="10" s="1"/>
  <c r="H118" i="10"/>
  <c r="Y118" i="10"/>
  <c r="V74" i="10" l="1"/>
  <c r="R73" i="10"/>
  <c r="T73" i="10" s="1"/>
  <c r="N80" i="10"/>
  <c r="X81" i="10"/>
  <c r="Z93" i="10"/>
  <c r="J92" i="10"/>
  <c r="P79" i="10"/>
  <c r="AA80" i="10"/>
  <c r="H119" i="10"/>
  <c r="Y119" i="10"/>
  <c r="H122" i="10" l="1"/>
  <c r="Y122" i="10"/>
  <c r="V75" i="10"/>
  <c r="R74" i="10"/>
  <c r="T74" i="10" s="1"/>
  <c r="P80" i="10"/>
  <c r="AA81" i="10"/>
  <c r="Z94" i="10"/>
  <c r="J93" i="10"/>
  <c r="N81" i="10"/>
  <c r="X82" i="10"/>
  <c r="Z95" i="10" l="1"/>
  <c r="J94" i="10"/>
  <c r="H123" i="10"/>
  <c r="Y123" i="10"/>
  <c r="X83" i="10"/>
  <c r="N82" i="10"/>
  <c r="P81" i="10"/>
  <c r="AA82" i="10"/>
  <c r="R75" i="10"/>
  <c r="T75" i="10" s="1"/>
  <c r="V76" i="10"/>
  <c r="P82" i="10" l="1"/>
  <c r="AA83" i="10"/>
  <c r="X84" i="10"/>
  <c r="N83" i="10"/>
  <c r="H124" i="10"/>
  <c r="Y124" i="10"/>
  <c r="Z96" i="10"/>
  <c r="J95" i="10"/>
  <c r="R76" i="10"/>
  <c r="T76" i="10" s="1"/>
  <c r="V77" i="10"/>
  <c r="Z97" i="10" l="1"/>
  <c r="J96" i="10"/>
  <c r="H129" i="10"/>
  <c r="Y129" i="10"/>
  <c r="H131" i="10" s="1"/>
  <c r="N84" i="10"/>
  <c r="X85" i="10"/>
  <c r="R77" i="10"/>
  <c r="T77" i="10" s="1"/>
  <c r="V78" i="10"/>
  <c r="AA84" i="10"/>
  <c r="P83" i="10"/>
  <c r="R78" i="10" l="1"/>
  <c r="T78" i="10" s="1"/>
  <c r="V79" i="10"/>
  <c r="N85" i="10"/>
  <c r="X86" i="10"/>
  <c r="H133" i="10"/>
  <c r="P84" i="10"/>
  <c r="AA85" i="10"/>
  <c r="H134" i="10"/>
  <c r="Z98" i="10"/>
  <c r="J97" i="10"/>
  <c r="R79" i="10" l="1"/>
  <c r="T79" i="10" s="1"/>
  <c r="V80" i="10"/>
  <c r="AA86" i="10"/>
  <c r="P85" i="10"/>
  <c r="X87" i="10"/>
  <c r="N86" i="10"/>
  <c r="Z99" i="10"/>
  <c r="J98" i="10"/>
  <c r="H137" i="10"/>
  <c r="J99" i="10" l="1"/>
  <c r="Z100" i="10"/>
  <c r="N87" i="10"/>
  <c r="X88" i="10"/>
  <c r="P86" i="10"/>
  <c r="AA87" i="10"/>
  <c r="R80" i="10"/>
  <c r="T80" i="10" s="1"/>
  <c r="V81" i="10"/>
  <c r="R81" i="10" l="1"/>
  <c r="T81" i="10" s="1"/>
  <c r="V82" i="10"/>
  <c r="P87" i="10"/>
  <c r="AA88" i="10"/>
  <c r="N88" i="10"/>
  <c r="X89" i="10"/>
  <c r="Z101" i="10"/>
  <c r="J100" i="10"/>
  <c r="Z102" i="10" l="1"/>
  <c r="J101" i="10"/>
  <c r="X90" i="10"/>
  <c r="N89" i="10"/>
  <c r="AA89" i="10"/>
  <c r="P88" i="10"/>
  <c r="R82" i="10"/>
  <c r="T82" i="10" s="1"/>
  <c r="V83" i="10"/>
  <c r="V84" i="10" l="1"/>
  <c r="R83" i="10"/>
  <c r="T83" i="10" s="1"/>
  <c r="X91" i="10"/>
  <c r="N90" i="10"/>
  <c r="P89" i="10"/>
  <c r="AA90" i="10"/>
  <c r="J102" i="10"/>
  <c r="Z103" i="10"/>
  <c r="Z104" i="10" l="1"/>
  <c r="J103" i="10"/>
  <c r="P90" i="10"/>
  <c r="AA91" i="10"/>
  <c r="X92" i="10"/>
  <c r="N91" i="10"/>
  <c r="V85" i="10"/>
  <c r="R84" i="10"/>
  <c r="T84" i="10" s="1"/>
  <c r="V86" i="10" l="1"/>
  <c r="R85" i="10"/>
  <c r="T85" i="10" s="1"/>
  <c r="N92" i="10"/>
  <c r="X93" i="10"/>
  <c r="AA92" i="10"/>
  <c r="P91" i="10"/>
  <c r="J104" i="10"/>
  <c r="Z105" i="10"/>
  <c r="Z106" i="10" l="1"/>
  <c r="J105" i="10"/>
  <c r="AA93" i="10"/>
  <c r="P92" i="10"/>
  <c r="X94" i="10"/>
  <c r="N93" i="10"/>
  <c r="R86" i="10"/>
  <c r="T86" i="10" s="1"/>
  <c r="V87" i="10"/>
  <c r="V88" i="10" l="1"/>
  <c r="R87" i="10"/>
  <c r="T87" i="10" s="1"/>
  <c r="N94" i="10"/>
  <c r="X95" i="10"/>
  <c r="P93" i="10"/>
  <c r="AA94" i="10"/>
  <c r="Z107" i="10"/>
  <c r="J106" i="10"/>
  <c r="Z109" i="10" l="1"/>
  <c r="J107" i="10"/>
  <c r="P94" i="10"/>
  <c r="AA95" i="10"/>
  <c r="X96" i="10"/>
  <c r="N95" i="10"/>
  <c r="R88" i="10"/>
  <c r="T88" i="10" s="1"/>
  <c r="V89" i="10"/>
  <c r="R89" i="10" l="1"/>
  <c r="T89" i="10" s="1"/>
  <c r="V90" i="10"/>
  <c r="X97" i="10"/>
  <c r="N96" i="10"/>
  <c r="P95" i="10"/>
  <c r="AA96" i="10"/>
  <c r="J109" i="10"/>
  <c r="Z110" i="10"/>
  <c r="J110" i="10" l="1"/>
  <c r="Z111" i="10"/>
  <c r="X98" i="10"/>
  <c r="N97" i="10"/>
  <c r="V91" i="10"/>
  <c r="R90" i="10"/>
  <c r="T90" i="10" s="1"/>
  <c r="AA97" i="10"/>
  <c r="P96" i="10"/>
  <c r="V92" i="10" l="1"/>
  <c r="R91" i="10"/>
  <c r="T91" i="10" s="1"/>
  <c r="N98" i="10"/>
  <c r="X99" i="10"/>
  <c r="J111" i="10"/>
  <c r="Z112" i="10"/>
  <c r="AA98" i="10"/>
  <c r="P97" i="10"/>
  <c r="P98" i="10" l="1"/>
  <c r="AA99" i="10"/>
  <c r="J112" i="10"/>
  <c r="Z113" i="10"/>
  <c r="X100" i="10"/>
  <c r="N99" i="10"/>
  <c r="R92" i="10"/>
  <c r="T92" i="10" s="1"/>
  <c r="V93" i="10"/>
  <c r="R93" i="10" l="1"/>
  <c r="T93" i="10" s="1"/>
  <c r="V94" i="10"/>
  <c r="N100" i="10"/>
  <c r="X101" i="10"/>
  <c r="J113" i="10"/>
  <c r="Z116" i="10"/>
  <c r="P99" i="10"/>
  <c r="AA100" i="10"/>
  <c r="Z117" i="10" l="1"/>
  <c r="J116" i="10"/>
  <c r="AA101" i="10"/>
  <c r="P100" i="10"/>
  <c r="X102" i="10"/>
  <c r="N101" i="10"/>
  <c r="R94" i="10"/>
  <c r="T94" i="10" s="1"/>
  <c r="V95" i="10"/>
  <c r="N102" i="10" l="1"/>
  <c r="X103" i="10"/>
  <c r="P101" i="10"/>
  <c r="AA102" i="10"/>
  <c r="V96" i="10"/>
  <c r="R95" i="10"/>
  <c r="T95" i="10" s="1"/>
  <c r="Z118" i="10"/>
  <c r="J117" i="10"/>
  <c r="V97" i="10" l="1"/>
  <c r="R96" i="10"/>
  <c r="T96" i="10" s="1"/>
  <c r="J118" i="10"/>
  <c r="Z119" i="10"/>
  <c r="P102" i="10"/>
  <c r="AA103" i="10"/>
  <c r="N103" i="10"/>
  <c r="X104" i="10"/>
  <c r="X105" i="10" l="1"/>
  <c r="N104" i="10"/>
  <c r="P103" i="10"/>
  <c r="AA104" i="10"/>
  <c r="J119" i="10"/>
  <c r="Z122" i="10"/>
  <c r="V98" i="10"/>
  <c r="R97" i="10"/>
  <c r="T97" i="10" s="1"/>
  <c r="Z123" i="10" l="1"/>
  <c r="J122" i="10"/>
  <c r="V99" i="10"/>
  <c r="R98" i="10"/>
  <c r="T98" i="10" s="1"/>
  <c r="AA105" i="10"/>
  <c r="P104" i="10"/>
  <c r="N105" i="10"/>
  <c r="X106" i="10"/>
  <c r="N106" i="10" l="1"/>
  <c r="X107" i="10"/>
  <c r="AA106" i="10"/>
  <c r="P105" i="10"/>
  <c r="V100" i="10"/>
  <c r="R99" i="10"/>
  <c r="T99" i="10" s="1"/>
  <c r="Z124" i="10"/>
  <c r="J123" i="10"/>
  <c r="Z129" i="10" l="1"/>
  <c r="J124" i="10"/>
  <c r="V101" i="10"/>
  <c r="R100" i="10"/>
  <c r="T100" i="10" s="1"/>
  <c r="AA107" i="10"/>
  <c r="P106" i="10"/>
  <c r="X108" i="10"/>
  <c r="N107" i="10"/>
  <c r="X109" i="10" l="1"/>
  <c r="N108" i="10"/>
  <c r="AA108" i="10"/>
  <c r="P107" i="10"/>
  <c r="R101" i="10"/>
  <c r="T101" i="10" s="1"/>
  <c r="V102" i="10"/>
  <c r="J129" i="10"/>
  <c r="Z130" i="10"/>
  <c r="J130" i="10" l="1"/>
  <c r="Z131" i="10"/>
  <c r="J131" i="10" s="1"/>
  <c r="R102" i="10"/>
  <c r="T102" i="10" s="1"/>
  <c r="V103" i="10"/>
  <c r="AA109" i="10"/>
  <c r="P108" i="10"/>
  <c r="N109" i="10"/>
  <c r="X110" i="10"/>
  <c r="N110" i="10" l="1"/>
  <c r="X111" i="10"/>
  <c r="P109" i="10"/>
  <c r="AA110" i="10"/>
  <c r="V104" i="10"/>
  <c r="R103" i="10"/>
  <c r="T103" i="10" s="1"/>
  <c r="J133" i="10"/>
  <c r="V105" i="10" l="1"/>
  <c r="R104" i="10"/>
  <c r="T104" i="10" s="1"/>
  <c r="AA111" i="10"/>
  <c r="P110" i="10"/>
  <c r="N111" i="10"/>
  <c r="X112" i="10"/>
  <c r="N112" i="10" l="1"/>
  <c r="X113" i="10"/>
  <c r="AA112" i="10"/>
  <c r="P111" i="10"/>
  <c r="V106" i="10"/>
  <c r="R105" i="10"/>
  <c r="T105" i="10" s="1"/>
  <c r="V107" i="10" l="1"/>
  <c r="R106" i="10"/>
  <c r="T106" i="10" s="1"/>
  <c r="AA113" i="10"/>
  <c r="P112" i="10"/>
  <c r="X114" i="10"/>
  <c r="N113" i="10"/>
  <c r="X116" i="10" l="1"/>
  <c r="N114" i="10"/>
  <c r="AA114" i="10"/>
  <c r="P113" i="10"/>
  <c r="R107" i="10"/>
  <c r="T107" i="10" s="1"/>
  <c r="V108" i="10"/>
  <c r="V109" i="10" l="1"/>
  <c r="R108" i="10"/>
  <c r="T108" i="10" s="1"/>
  <c r="AA116" i="10"/>
  <c r="P114" i="10"/>
  <c r="N116" i="10"/>
  <c r="X117" i="10"/>
  <c r="N117" i="10" l="1"/>
  <c r="X118" i="10"/>
  <c r="P116" i="10"/>
  <c r="AA117" i="10"/>
  <c r="R109" i="10"/>
  <c r="T109" i="10" s="1"/>
  <c r="V110" i="10"/>
  <c r="R110" i="10" l="1"/>
  <c r="T110" i="10" s="1"/>
  <c r="V111" i="10"/>
  <c r="P117" i="10"/>
  <c r="AA118" i="10"/>
  <c r="N118" i="10"/>
  <c r="X119" i="10"/>
  <c r="N119" i="10" l="1"/>
  <c r="X120" i="10"/>
  <c r="P118" i="10"/>
  <c r="AA119" i="10"/>
  <c r="V112" i="10"/>
  <c r="R111" i="10"/>
  <c r="T111" i="10" s="1"/>
  <c r="AA120" i="10" l="1"/>
  <c r="P119" i="10"/>
  <c r="N120" i="10"/>
  <c r="X121" i="10"/>
  <c r="V113" i="10"/>
  <c r="R112" i="10"/>
  <c r="T112" i="10" s="1"/>
  <c r="R113" i="10" l="1"/>
  <c r="T113" i="10" s="1"/>
  <c r="V114" i="10"/>
  <c r="N121" i="10"/>
  <c r="X122" i="10"/>
  <c r="AA121" i="10"/>
  <c r="P120" i="10"/>
  <c r="N122" i="10" l="1"/>
  <c r="X123" i="10"/>
  <c r="R114" i="10"/>
  <c r="T114" i="10" s="1"/>
  <c r="V115" i="10"/>
  <c r="P121" i="10"/>
  <c r="AA122" i="10"/>
  <c r="P122" i="10" l="1"/>
  <c r="AA123" i="10"/>
  <c r="V116" i="10"/>
  <c r="R115" i="10"/>
  <c r="T115" i="10" s="1"/>
  <c r="N123" i="10"/>
  <c r="X124" i="10"/>
  <c r="N124" i="10" l="1"/>
  <c r="X125" i="10"/>
  <c r="V117" i="10"/>
  <c r="R116" i="10"/>
  <c r="T116" i="10" s="1"/>
  <c r="AA124" i="10"/>
  <c r="P123" i="10"/>
  <c r="AA125" i="10" l="1"/>
  <c r="P124" i="10"/>
  <c r="R117" i="10"/>
  <c r="T117" i="10" s="1"/>
  <c r="V118" i="10"/>
  <c r="X126" i="10"/>
  <c r="N125" i="10"/>
  <c r="N126" i="10" l="1"/>
  <c r="X127" i="10"/>
  <c r="R118" i="10"/>
  <c r="T118" i="10" s="1"/>
  <c r="V119" i="10"/>
  <c r="AA126" i="10"/>
  <c r="P125" i="10"/>
  <c r="P126" i="10" l="1"/>
  <c r="AA127" i="10"/>
  <c r="R119" i="10"/>
  <c r="T119" i="10" s="1"/>
  <c r="V120" i="10"/>
  <c r="N127" i="10"/>
  <c r="X128" i="10"/>
  <c r="N128" i="10" l="1"/>
  <c r="X129" i="10"/>
  <c r="V121" i="10"/>
  <c r="R120" i="10"/>
  <c r="T120" i="10" s="1"/>
  <c r="P127" i="10"/>
  <c r="AA128" i="10"/>
  <c r="N129" i="10" l="1"/>
  <c r="X130" i="10"/>
  <c r="AA129" i="10"/>
  <c r="P128" i="10"/>
  <c r="R121" i="10"/>
  <c r="T121" i="10" s="1"/>
  <c r="V122" i="10"/>
  <c r="R122" i="10" l="1"/>
  <c r="T122" i="10" s="1"/>
  <c r="V123" i="10"/>
  <c r="AA130" i="10"/>
  <c r="P129" i="10"/>
  <c r="N130" i="10"/>
  <c r="X131" i="10"/>
  <c r="V124" i="10" l="1"/>
  <c r="R123" i="10"/>
  <c r="T123" i="10" s="1"/>
  <c r="N131" i="10"/>
  <c r="X132" i="10"/>
  <c r="N132" i="10" s="1"/>
  <c r="P130" i="10"/>
  <c r="AA131" i="10"/>
  <c r="P131" i="10" l="1"/>
  <c r="P133" i="10" s="1"/>
  <c r="P134" i="10" s="1"/>
  <c r="P137" i="10" s="1"/>
  <c r="AA132" i="10"/>
  <c r="N133" i="10"/>
  <c r="N134" i="10" s="1"/>
  <c r="V125" i="10"/>
  <c r="R124" i="10"/>
  <c r="T124" i="10" s="1"/>
  <c r="R125" i="10" l="1"/>
  <c r="T125" i="10" s="1"/>
  <c r="V126" i="10"/>
  <c r="N137" i="10"/>
  <c r="T137" i="10" s="1"/>
  <c r="T134" i="10"/>
  <c r="R126" i="10" l="1"/>
  <c r="T126" i="10" s="1"/>
  <c r="V127" i="10"/>
  <c r="R127" i="10" l="1"/>
  <c r="T127" i="10" s="1"/>
  <c r="V128" i="10"/>
  <c r="R128" i="10" l="1"/>
  <c r="T128" i="10" s="1"/>
  <c r="V129" i="10"/>
  <c r="R129" i="10" l="1"/>
  <c r="T129" i="10" s="1"/>
  <c r="V130" i="10"/>
  <c r="R130" i="10" l="1"/>
  <c r="T130" i="10" s="1"/>
  <c r="V131" i="10"/>
  <c r="R131" i="10" l="1"/>
  <c r="T131" i="10" s="1"/>
  <c r="T133" i="10" s="1"/>
  <c r="V132" i="10"/>
  <c r="R132" i="10" s="1"/>
  <c r="R133" i="10" l="1"/>
  <c r="T132" i="10"/>
  <c r="Q27" i="8" l="1"/>
  <c r="I2" i="6"/>
  <c r="R27" i="8" l="1"/>
  <c r="P27" i="8"/>
  <c r="O27" i="8"/>
  <c r="N27" i="8"/>
  <c r="M27" i="8"/>
  <c r="G27" i="8"/>
  <c r="V26" i="8"/>
  <c r="V27" i="8" s="1"/>
  <c r="U26" i="8"/>
  <c r="U27" i="8" s="1"/>
  <c r="T26" i="8"/>
  <c r="T27" i="8" s="1"/>
  <c r="S26" i="8"/>
  <c r="S27" i="8" s="1"/>
  <c r="R26" i="8"/>
  <c r="Q26" i="8"/>
  <c r="P26" i="8"/>
  <c r="O26" i="8"/>
  <c r="N26" i="8"/>
  <c r="M26" i="8"/>
  <c r="L26" i="8"/>
  <c r="L27" i="8" s="1"/>
  <c r="K26" i="8"/>
  <c r="K27" i="8" s="1"/>
  <c r="J26" i="8"/>
  <c r="J27" i="8" s="1"/>
  <c r="I26" i="8"/>
  <c r="I27" i="8" s="1"/>
  <c r="H26" i="8"/>
  <c r="H27" i="8" s="1"/>
  <c r="X25" i="8"/>
  <c r="W25" i="8"/>
  <c r="W24" i="8"/>
  <c r="X24" i="8" s="1"/>
  <c r="W23" i="8"/>
  <c r="X23" i="8" s="1"/>
  <c r="W22" i="8"/>
  <c r="X22" i="8" s="1"/>
  <c r="W21" i="8"/>
  <c r="X21" i="8" s="1"/>
  <c r="W20" i="8"/>
  <c r="X20" i="8" s="1"/>
  <c r="X19" i="8"/>
  <c r="W19" i="8"/>
  <c r="W18" i="8"/>
  <c r="X18" i="8" s="1"/>
  <c r="W17" i="8"/>
  <c r="X17" i="8" s="1"/>
  <c r="W16" i="8"/>
  <c r="X16" i="8" s="1"/>
  <c r="W15" i="8"/>
  <c r="X15" i="8" s="1"/>
  <c r="W14" i="8"/>
  <c r="X14" i="8" s="1"/>
  <c r="X13" i="8"/>
  <c r="W13" i="8"/>
  <c r="W12" i="8"/>
  <c r="X12" i="8" s="1"/>
  <c r="W11" i="8"/>
  <c r="X11" i="8" s="1"/>
  <c r="W10" i="8"/>
  <c r="X10" i="8" s="1"/>
  <c r="W9" i="8"/>
  <c r="W26" i="8" s="1"/>
  <c r="W27" i="8" s="1"/>
  <c r="X9" i="8" l="1"/>
  <c r="X26" i="8" s="1"/>
  <c r="X31" i="8" s="1"/>
  <c r="AB359" i="7" l="1"/>
  <c r="AA359" i="7"/>
  <c r="Z359" i="7"/>
  <c r="Y359" i="7"/>
  <c r="X359" i="7"/>
  <c r="W359" i="7"/>
  <c r="V359" i="7"/>
  <c r="U359" i="7"/>
  <c r="T359" i="7"/>
  <c r="S359" i="7"/>
  <c r="R359" i="7"/>
  <c r="Q359" i="7"/>
  <c r="O359" i="7"/>
  <c r="N359" i="7"/>
  <c r="M359" i="7"/>
  <c r="L359" i="7"/>
  <c r="K359" i="7"/>
  <c r="J359" i="7"/>
  <c r="I359" i="7"/>
  <c r="G359" i="7"/>
  <c r="F359" i="7"/>
  <c r="E359" i="7"/>
  <c r="AD358" i="7"/>
  <c r="AC358" i="7"/>
  <c r="AD357" i="7"/>
  <c r="AC357" i="7"/>
  <c r="AD356" i="7"/>
  <c r="AC356" i="7"/>
  <c r="AD355" i="7"/>
  <c r="AC355" i="7"/>
  <c r="AD354" i="7"/>
  <c r="AC354" i="7"/>
  <c r="AD353" i="7"/>
  <c r="AC353" i="7"/>
  <c r="AD352" i="7"/>
  <c r="AC352" i="7"/>
  <c r="AD351" i="7"/>
  <c r="AC351" i="7"/>
  <c r="AD350" i="7"/>
  <c r="AC350" i="7"/>
  <c r="AD349" i="7"/>
  <c r="AC349" i="7"/>
  <c r="AD348" i="7"/>
  <c r="AC348" i="7"/>
  <c r="AD347" i="7"/>
  <c r="AC347" i="7"/>
  <c r="AD346" i="7"/>
  <c r="AC346" i="7"/>
  <c r="AD345" i="7"/>
  <c r="AC345" i="7"/>
  <c r="AD344" i="7"/>
  <c r="AC344" i="7"/>
  <c r="AD343" i="7"/>
  <c r="AC343" i="7"/>
  <c r="AD342" i="7"/>
  <c r="AC342" i="7"/>
  <c r="AD341" i="7"/>
  <c r="AC341" i="7"/>
  <c r="AD340" i="7"/>
  <c r="AC340" i="7"/>
  <c r="AD339" i="7"/>
  <c r="AC339" i="7"/>
  <c r="AD338" i="7"/>
  <c r="AC338" i="7"/>
  <c r="AD337" i="7"/>
  <c r="AC337" i="7"/>
  <c r="AD336" i="7"/>
  <c r="AC336" i="7"/>
  <c r="AD335" i="7"/>
  <c r="AC335" i="7"/>
  <c r="AD334" i="7"/>
  <c r="AC334" i="7"/>
  <c r="AD333" i="7"/>
  <c r="AC333" i="7"/>
  <c r="AD332" i="7"/>
  <c r="AC332" i="7"/>
  <c r="AD331" i="7"/>
  <c r="AC331" i="7"/>
  <c r="AD330" i="7"/>
  <c r="AC330" i="7"/>
  <c r="AD329" i="7"/>
  <c r="AC329" i="7"/>
  <c r="AD328" i="7"/>
  <c r="AC328" i="7"/>
  <c r="AD327" i="7"/>
  <c r="AC327" i="7"/>
  <c r="AD326" i="7"/>
  <c r="AC326" i="7"/>
  <c r="AD325" i="7"/>
  <c r="AC325" i="7"/>
  <c r="AD324" i="7"/>
  <c r="AC324" i="7"/>
  <c r="AD323" i="7"/>
  <c r="AC323" i="7"/>
  <c r="AD322" i="7"/>
  <c r="AC322" i="7"/>
  <c r="AD321" i="7"/>
  <c r="AC321" i="7"/>
  <c r="AD320" i="7"/>
  <c r="AC320" i="7"/>
  <c r="AD319" i="7"/>
  <c r="AC319" i="7"/>
  <c r="AD318" i="7"/>
  <c r="AC318" i="7"/>
  <c r="AD317" i="7"/>
  <c r="AC317" i="7"/>
  <c r="AD316" i="7"/>
  <c r="AC316" i="7"/>
  <c r="AD315" i="7"/>
  <c r="AC315" i="7"/>
  <c r="AD314" i="7"/>
  <c r="AC314" i="7"/>
  <c r="AD313" i="7"/>
  <c r="AC313" i="7"/>
  <c r="AD312" i="7"/>
  <c r="AC312" i="7"/>
  <c r="AD311" i="7"/>
  <c r="AC311" i="7"/>
  <c r="AD310" i="7"/>
  <c r="AC310" i="7"/>
  <c r="AD309" i="7"/>
  <c r="AC309" i="7"/>
  <c r="AD308" i="7"/>
  <c r="AC308" i="7"/>
  <c r="AD307" i="7"/>
  <c r="AC307" i="7"/>
  <c r="AD306" i="7"/>
  <c r="AC306" i="7"/>
  <c r="AD305" i="7"/>
  <c r="AC305" i="7"/>
  <c r="AD304" i="7"/>
  <c r="AC304" i="7"/>
  <c r="AD303" i="7"/>
  <c r="AC303" i="7"/>
  <c r="AD302" i="7"/>
  <c r="AC302" i="7"/>
  <c r="AC301" i="7"/>
  <c r="H301" i="7"/>
  <c r="AD301" i="7" s="1"/>
  <c r="AD300" i="7"/>
  <c r="AC300" i="7"/>
  <c r="AD299" i="7"/>
  <c r="AC299" i="7"/>
  <c r="AD298" i="7"/>
  <c r="AC298" i="7"/>
  <c r="AD297" i="7"/>
  <c r="AC297" i="7"/>
  <c r="AD296" i="7"/>
  <c r="AC296" i="7"/>
  <c r="AD295" i="7"/>
  <c r="AC295" i="7"/>
  <c r="AD294" i="7"/>
  <c r="AC294" i="7"/>
  <c r="AD293" i="7"/>
  <c r="AC293" i="7"/>
  <c r="AD292" i="7"/>
  <c r="AC292" i="7"/>
  <c r="AD291" i="7"/>
  <c r="AC291" i="7"/>
  <c r="AD290" i="7"/>
  <c r="AC290" i="7"/>
  <c r="AD289" i="7"/>
  <c r="AC289" i="7"/>
  <c r="AD288" i="7"/>
  <c r="AC288" i="7"/>
  <c r="AC287" i="7"/>
  <c r="H287" i="7"/>
  <c r="AD287" i="7" s="1"/>
  <c r="AD286" i="7"/>
  <c r="AC286" i="7"/>
  <c r="AD285" i="7"/>
  <c r="AC285" i="7"/>
  <c r="AD284" i="7"/>
  <c r="AC284" i="7"/>
  <c r="AD283" i="7"/>
  <c r="AC283" i="7"/>
  <c r="AD282" i="7"/>
  <c r="AC282" i="7"/>
  <c r="AD281" i="7"/>
  <c r="AC281" i="7"/>
  <c r="AD280" i="7"/>
  <c r="AC280" i="7"/>
  <c r="AD279" i="7"/>
  <c r="AC279" i="7"/>
  <c r="AD278" i="7"/>
  <c r="AC278" i="7"/>
  <c r="AD277" i="7"/>
  <c r="AC277" i="7"/>
  <c r="AD276" i="7"/>
  <c r="AC276" i="7"/>
  <c r="AD275" i="7"/>
  <c r="AC275" i="7"/>
  <c r="AD274" i="7"/>
  <c r="AC274" i="7"/>
  <c r="AD273" i="7"/>
  <c r="AC273" i="7"/>
  <c r="AD272" i="7"/>
  <c r="AC272" i="7"/>
  <c r="AD271" i="7"/>
  <c r="AC271" i="7"/>
  <c r="AD270" i="7"/>
  <c r="AC270" i="7"/>
  <c r="AD269" i="7"/>
  <c r="AC269" i="7"/>
  <c r="AD268" i="7"/>
  <c r="AC268" i="7"/>
  <c r="AD267" i="7"/>
  <c r="AC267" i="7"/>
  <c r="AD266" i="7"/>
  <c r="AC266" i="7"/>
  <c r="AD265" i="7"/>
  <c r="AC265" i="7"/>
  <c r="AD264" i="7"/>
  <c r="AC264" i="7"/>
  <c r="AD263" i="7"/>
  <c r="AC263" i="7"/>
  <c r="AD262" i="7"/>
  <c r="AC262" i="7"/>
  <c r="AD261" i="7"/>
  <c r="AC261" i="7"/>
  <c r="AD260" i="7"/>
  <c r="AC260" i="7"/>
  <c r="AD259" i="7"/>
  <c r="AC259" i="7"/>
  <c r="AD258" i="7"/>
  <c r="AC258" i="7"/>
  <c r="AD257" i="7"/>
  <c r="AC257" i="7"/>
  <c r="AD256" i="7"/>
  <c r="AC256" i="7"/>
  <c r="AD255" i="7"/>
  <c r="AC255" i="7"/>
  <c r="AD254" i="7"/>
  <c r="AC254" i="7"/>
  <c r="AD253" i="7"/>
  <c r="AC253" i="7"/>
  <c r="AD252" i="7"/>
  <c r="AC252" i="7"/>
  <c r="AD251" i="7"/>
  <c r="AC251" i="7"/>
  <c r="AD250" i="7"/>
  <c r="AC250" i="7"/>
  <c r="AD249" i="7"/>
  <c r="AC249" i="7"/>
  <c r="AD248" i="7"/>
  <c r="AC248" i="7"/>
  <c r="AD247" i="7"/>
  <c r="AC247" i="7"/>
  <c r="AD246" i="7"/>
  <c r="AC246" i="7"/>
  <c r="AD245" i="7"/>
  <c r="AC245" i="7"/>
  <c r="AD244" i="7"/>
  <c r="AC244" i="7"/>
  <c r="AD243" i="7"/>
  <c r="AC243" i="7"/>
  <c r="AD242" i="7"/>
  <c r="AC242" i="7"/>
  <c r="AD241" i="7"/>
  <c r="AC241" i="7"/>
  <c r="AD240" i="7"/>
  <c r="AC240" i="7"/>
  <c r="AD239" i="7"/>
  <c r="AC239" i="7"/>
  <c r="AD238" i="7"/>
  <c r="AC238" i="7"/>
  <c r="AD237" i="7"/>
  <c r="AC237" i="7"/>
  <c r="AD236" i="7"/>
  <c r="AC236" i="7"/>
  <c r="AD235" i="7"/>
  <c r="AC235" i="7"/>
  <c r="AD234" i="7"/>
  <c r="AC234" i="7"/>
  <c r="AD233" i="7"/>
  <c r="AC233" i="7"/>
  <c r="AD232" i="7"/>
  <c r="AC232" i="7"/>
  <c r="AD231" i="7"/>
  <c r="AC231" i="7"/>
  <c r="AD230" i="7"/>
  <c r="AC230" i="7"/>
  <c r="AD229" i="7"/>
  <c r="AC229" i="7"/>
  <c r="AD228" i="7"/>
  <c r="AC228" i="7"/>
  <c r="AD227" i="7"/>
  <c r="AC227" i="7"/>
  <c r="AD226" i="7"/>
  <c r="AC226" i="7"/>
  <c r="AD225" i="7"/>
  <c r="AC225" i="7"/>
  <c r="AD224" i="7"/>
  <c r="AC224" i="7"/>
  <c r="AD223" i="7"/>
  <c r="AC223" i="7"/>
  <c r="AD222" i="7"/>
  <c r="AC222" i="7"/>
  <c r="AD221" i="7"/>
  <c r="AC221" i="7"/>
  <c r="AD220" i="7"/>
  <c r="AC220" i="7"/>
  <c r="AD219" i="7"/>
  <c r="AC219" i="7"/>
  <c r="AD218" i="7"/>
  <c r="AC218" i="7"/>
  <c r="AD217" i="7"/>
  <c r="AC217" i="7"/>
  <c r="AD216" i="7"/>
  <c r="AC216" i="7"/>
  <c r="AC215" i="7"/>
  <c r="H215" i="7"/>
  <c r="AD215" i="7" s="1"/>
  <c r="AD214" i="7"/>
  <c r="AC214" i="7"/>
  <c r="AC213" i="7"/>
  <c r="H213" i="7"/>
  <c r="AD213" i="7" s="1"/>
  <c r="AD212" i="7"/>
  <c r="AC212" i="7"/>
  <c r="AC211" i="7"/>
  <c r="H211" i="7"/>
  <c r="AD211" i="7" s="1"/>
  <c r="AD210" i="7"/>
  <c r="AC210" i="7"/>
  <c r="AD209" i="7"/>
  <c r="AC209" i="7"/>
  <c r="AD208" i="7"/>
  <c r="AC208" i="7"/>
  <c r="AD207" i="7"/>
  <c r="AC207" i="7"/>
  <c r="AD206" i="7"/>
  <c r="AC206" i="7"/>
  <c r="AD205" i="7"/>
  <c r="AC205" i="7"/>
  <c r="AD204" i="7"/>
  <c r="AC204" i="7"/>
  <c r="AD203" i="7"/>
  <c r="AC203" i="7"/>
  <c r="AD202" i="7"/>
  <c r="AC202" i="7"/>
  <c r="AC201" i="7"/>
  <c r="H201" i="7"/>
  <c r="AD201" i="7" s="1"/>
  <c r="AD200" i="7"/>
  <c r="AC200" i="7"/>
  <c r="AD199" i="7"/>
  <c r="AC199" i="7"/>
  <c r="AD198" i="7"/>
  <c r="AC198" i="7"/>
  <c r="AD197" i="7"/>
  <c r="AC197" i="7"/>
  <c r="AD196" i="7"/>
  <c r="AC196" i="7"/>
  <c r="AD195" i="7"/>
  <c r="AC195" i="7"/>
  <c r="AD194" i="7"/>
  <c r="AC194" i="7"/>
  <c r="AD193" i="7"/>
  <c r="AC193" i="7"/>
  <c r="AD192" i="7"/>
  <c r="AC192" i="7"/>
  <c r="AD191" i="7"/>
  <c r="AC191" i="7"/>
  <c r="AD190" i="7"/>
  <c r="AC190" i="7"/>
  <c r="AD189" i="7"/>
  <c r="AC189" i="7"/>
  <c r="AD188" i="7"/>
  <c r="AC188" i="7"/>
  <c r="AD187" i="7"/>
  <c r="AC187" i="7"/>
  <c r="AD186" i="7"/>
  <c r="AC186" i="7"/>
  <c r="AC185" i="7"/>
  <c r="H185" i="7"/>
  <c r="AD185" i="7" s="1"/>
  <c r="AD184" i="7"/>
  <c r="AC184" i="7"/>
  <c r="AD183" i="7"/>
  <c r="AC183" i="7"/>
  <c r="AD182" i="7"/>
  <c r="AC182" i="7"/>
  <c r="AD181" i="7"/>
  <c r="AC181" i="7"/>
  <c r="AD180" i="7"/>
  <c r="AC180" i="7"/>
  <c r="AD179" i="7"/>
  <c r="AC179" i="7"/>
  <c r="AD178" i="7"/>
  <c r="AC178" i="7"/>
  <c r="AD177" i="7"/>
  <c r="AC177" i="7"/>
  <c r="AD176" i="7"/>
  <c r="AC176" i="7"/>
  <c r="AD175" i="7"/>
  <c r="AC175" i="7"/>
  <c r="AD174" i="7"/>
  <c r="AC174" i="7"/>
  <c r="AD173" i="7"/>
  <c r="AC173" i="7"/>
  <c r="AD172" i="7"/>
  <c r="AC172" i="7"/>
  <c r="AD171" i="7"/>
  <c r="AC171" i="7"/>
  <c r="AD170" i="7"/>
  <c r="AC170" i="7"/>
  <c r="AD169" i="7"/>
  <c r="AC169" i="7"/>
  <c r="AD168" i="7"/>
  <c r="AC168" i="7"/>
  <c r="AD167" i="7"/>
  <c r="AC167" i="7"/>
  <c r="AD166" i="7"/>
  <c r="AC166" i="7"/>
  <c r="AD165" i="7"/>
  <c r="AC165" i="7"/>
  <c r="AD164" i="7"/>
  <c r="AC164" i="7"/>
  <c r="AD163" i="7"/>
  <c r="AC163" i="7"/>
  <c r="AD162" i="7"/>
  <c r="AC162" i="7"/>
  <c r="AD161" i="7"/>
  <c r="AC161" i="7"/>
  <c r="AD160" i="7"/>
  <c r="AC160" i="7"/>
  <c r="AD159" i="7"/>
  <c r="AC159" i="7"/>
  <c r="AD158" i="7"/>
  <c r="AC158" i="7"/>
  <c r="AD157" i="7"/>
  <c r="AC157" i="7"/>
  <c r="AD156" i="7"/>
  <c r="AC156" i="7"/>
  <c r="AD155" i="7"/>
  <c r="AC155" i="7"/>
  <c r="AD154" i="7"/>
  <c r="AC154" i="7"/>
  <c r="AD153" i="7"/>
  <c r="AC153" i="7"/>
  <c r="AD152" i="7"/>
  <c r="AC152" i="7"/>
  <c r="AD151" i="7"/>
  <c r="AC151" i="7"/>
  <c r="AD150" i="7"/>
  <c r="AC150" i="7"/>
  <c r="AD149" i="7"/>
  <c r="AC149" i="7"/>
  <c r="AD148" i="7"/>
  <c r="AC148" i="7"/>
  <c r="AD147" i="7"/>
  <c r="AC147" i="7"/>
  <c r="AD146" i="7"/>
  <c r="AC146" i="7"/>
  <c r="AD145" i="7"/>
  <c r="AC145" i="7"/>
  <c r="AD144" i="7"/>
  <c r="AC144" i="7"/>
  <c r="AD143" i="7"/>
  <c r="AC143" i="7"/>
  <c r="AD142" i="7"/>
  <c r="AC142" i="7"/>
  <c r="AD141" i="7"/>
  <c r="AC141" i="7"/>
  <c r="AD140" i="7"/>
  <c r="AC140" i="7"/>
  <c r="AD139" i="7"/>
  <c r="AC139" i="7"/>
  <c r="AD138" i="7"/>
  <c r="AC138" i="7"/>
  <c r="AD137" i="7"/>
  <c r="AC137" i="7"/>
  <c r="AD136" i="7"/>
  <c r="AC136" i="7"/>
  <c r="AD135" i="7"/>
  <c r="AC135" i="7"/>
  <c r="AD134" i="7"/>
  <c r="AC134" i="7"/>
  <c r="AC133" i="7"/>
  <c r="H133" i="7"/>
  <c r="AD133" i="7" s="1"/>
  <c r="AD132" i="7"/>
  <c r="AC132" i="7"/>
  <c r="AC131" i="7"/>
  <c r="H131" i="7"/>
  <c r="AD131" i="7" s="1"/>
  <c r="AD130" i="7"/>
  <c r="AC130" i="7"/>
  <c r="AD129" i="7"/>
  <c r="AC129" i="7"/>
  <c r="AD128" i="7"/>
  <c r="AC128" i="7"/>
  <c r="AD127" i="7"/>
  <c r="AC127" i="7"/>
  <c r="AD126" i="7"/>
  <c r="AC126" i="7"/>
  <c r="AC125" i="7"/>
  <c r="H125" i="7"/>
  <c r="AD125" i="7" s="1"/>
  <c r="AD124" i="7"/>
  <c r="AC124" i="7"/>
  <c r="AD123" i="7"/>
  <c r="AC123" i="7"/>
  <c r="AD122" i="7"/>
  <c r="AC122" i="7"/>
  <c r="AD121" i="7"/>
  <c r="AC121" i="7"/>
  <c r="AD120" i="7"/>
  <c r="AC120" i="7"/>
  <c r="AD119" i="7"/>
  <c r="AC119" i="7"/>
  <c r="AD118" i="7"/>
  <c r="AC118" i="7"/>
  <c r="AD117" i="7"/>
  <c r="AC117" i="7"/>
  <c r="AD116" i="7"/>
  <c r="AC116" i="7"/>
  <c r="AC115" i="7"/>
  <c r="H115" i="7"/>
  <c r="AD115" i="7" s="1"/>
  <c r="AD114" i="7"/>
  <c r="AC114" i="7"/>
  <c r="AD113" i="7"/>
  <c r="AC113" i="7"/>
  <c r="AD112" i="7"/>
  <c r="AC112" i="7"/>
  <c r="AD111" i="7"/>
  <c r="AC111" i="7"/>
  <c r="AD110" i="7"/>
  <c r="AC110" i="7"/>
  <c r="AD109" i="7"/>
  <c r="AC109" i="7"/>
  <c r="AD108" i="7"/>
  <c r="AC108" i="7"/>
  <c r="AD107" i="7"/>
  <c r="AC107" i="7"/>
  <c r="AD106" i="7"/>
  <c r="AC106" i="7"/>
  <c r="AD105" i="7"/>
  <c r="AC105" i="7"/>
  <c r="AD104" i="7"/>
  <c r="AC104" i="7"/>
  <c r="AD103" i="7"/>
  <c r="AC103" i="7"/>
  <c r="AD102" i="7"/>
  <c r="AC102" i="7"/>
  <c r="AD101" i="7"/>
  <c r="AC101" i="7"/>
  <c r="AD100" i="7"/>
  <c r="AC100" i="7"/>
  <c r="AD99" i="7"/>
  <c r="AC99" i="7"/>
  <c r="AD98" i="7"/>
  <c r="AC98" i="7"/>
  <c r="AD97" i="7"/>
  <c r="AC97" i="7"/>
  <c r="AD96" i="7"/>
  <c r="AC96" i="7"/>
  <c r="AD95" i="7"/>
  <c r="AC95" i="7"/>
  <c r="AD94" i="7"/>
  <c r="AC94" i="7"/>
  <c r="AD93" i="7"/>
  <c r="AC93" i="7"/>
  <c r="AD92" i="7"/>
  <c r="AC92" i="7"/>
  <c r="AD91" i="7"/>
  <c r="AC91" i="7"/>
  <c r="AD90" i="7"/>
  <c r="AC90" i="7"/>
  <c r="AD89" i="7"/>
  <c r="AC89" i="7"/>
  <c r="AD88" i="7"/>
  <c r="AC88" i="7"/>
  <c r="AD87" i="7"/>
  <c r="AC87" i="7"/>
  <c r="AD86" i="7"/>
  <c r="AC86" i="7"/>
  <c r="AD85" i="7"/>
  <c r="AC85" i="7"/>
  <c r="AD84" i="7"/>
  <c r="AC84" i="7"/>
  <c r="AD83" i="7"/>
  <c r="AC83" i="7"/>
  <c r="AD82" i="7"/>
  <c r="AC82" i="7"/>
  <c r="AD81" i="7"/>
  <c r="AC81" i="7"/>
  <c r="AD80" i="7"/>
  <c r="AC80" i="7"/>
  <c r="AD79" i="7"/>
  <c r="AC79" i="7"/>
  <c r="AD78" i="7"/>
  <c r="AC78" i="7"/>
  <c r="AC77" i="7"/>
  <c r="H77" i="7"/>
  <c r="AD77" i="7" s="1"/>
  <c r="AD76" i="7"/>
  <c r="AC76" i="7"/>
  <c r="AD75" i="7"/>
  <c r="AC75" i="7"/>
  <c r="AD74" i="7"/>
  <c r="AC74" i="7"/>
  <c r="AD73" i="7"/>
  <c r="AC73" i="7"/>
  <c r="AD72" i="7"/>
  <c r="AC72" i="7"/>
  <c r="AD71" i="7"/>
  <c r="AC71" i="7"/>
  <c r="AD70" i="7"/>
  <c r="AC70" i="7"/>
  <c r="AD69" i="7"/>
  <c r="AC69" i="7"/>
  <c r="AD68" i="7"/>
  <c r="AC68" i="7"/>
  <c r="AD67" i="7"/>
  <c r="AC67" i="7"/>
  <c r="AD66" i="7"/>
  <c r="AC66" i="7"/>
  <c r="AD65" i="7"/>
  <c r="AC65" i="7"/>
  <c r="AD64" i="7"/>
  <c r="AC64" i="7"/>
  <c r="AD63" i="7"/>
  <c r="AC63" i="7"/>
  <c r="AD62" i="7"/>
  <c r="AC62" i="7"/>
  <c r="AD61" i="7"/>
  <c r="AC61" i="7"/>
  <c r="AD60" i="7"/>
  <c r="AC60" i="7"/>
  <c r="AC59" i="7"/>
  <c r="H59" i="7"/>
  <c r="AD59" i="7" s="1"/>
  <c r="AD58" i="7"/>
  <c r="AC58" i="7"/>
  <c r="AD57" i="7"/>
  <c r="AC57" i="7"/>
  <c r="H57" i="7"/>
  <c r="AD56" i="7"/>
  <c r="AC56" i="7"/>
  <c r="AC55" i="7"/>
  <c r="H55" i="7"/>
  <c r="AD55" i="7" s="1"/>
  <c r="AD54" i="7"/>
  <c r="AC54" i="7"/>
  <c r="AD53" i="7"/>
  <c r="AC53" i="7"/>
  <c r="AD52" i="7"/>
  <c r="AC52" i="7"/>
  <c r="AC51" i="7"/>
  <c r="H51" i="7"/>
  <c r="AD51" i="7" s="1"/>
  <c r="AD50" i="7"/>
  <c r="AC50" i="7"/>
  <c r="AC49" i="7"/>
  <c r="H49" i="7"/>
  <c r="AD49" i="7" s="1"/>
  <c r="AD48" i="7"/>
  <c r="AC48" i="7"/>
  <c r="AD47" i="7"/>
  <c r="AC47" i="7"/>
  <c r="AD46" i="7"/>
  <c r="AC46" i="7"/>
  <c r="AD45" i="7"/>
  <c r="AC45" i="7"/>
  <c r="AD44" i="7"/>
  <c r="AC44" i="7"/>
  <c r="AD43" i="7"/>
  <c r="AC43" i="7"/>
  <c r="AD42" i="7"/>
  <c r="AC42" i="7"/>
  <c r="AD41" i="7"/>
  <c r="AC41" i="7"/>
  <c r="AD40" i="7"/>
  <c r="AC40" i="7"/>
  <c r="AD39" i="7"/>
  <c r="AC39" i="7"/>
  <c r="AD38" i="7"/>
  <c r="AC38" i="7"/>
  <c r="AD37" i="7"/>
  <c r="AC37" i="7"/>
  <c r="AD36" i="7"/>
  <c r="AC36" i="7"/>
  <c r="AD35" i="7"/>
  <c r="AC35" i="7"/>
  <c r="AD34" i="7"/>
  <c r="AC34" i="7"/>
  <c r="AD33" i="7"/>
  <c r="AC33" i="7"/>
  <c r="AD32" i="7"/>
  <c r="AC32" i="7"/>
  <c r="AD31" i="7"/>
  <c r="AC31" i="7"/>
  <c r="AD30" i="7"/>
  <c r="AC30" i="7"/>
  <c r="AD29" i="7"/>
  <c r="AC29" i="7"/>
  <c r="AD28" i="7"/>
  <c r="AC28" i="7"/>
  <c r="AC27" i="7"/>
  <c r="H27" i="7"/>
  <c r="AD27" i="7" s="1"/>
  <c r="AD26" i="7"/>
  <c r="AC26" i="7"/>
  <c r="AC25" i="7"/>
  <c r="H25" i="7"/>
  <c r="AD25" i="7" s="1"/>
  <c r="AD24" i="7"/>
  <c r="AC24" i="7"/>
  <c r="AD23" i="7"/>
  <c r="AC23" i="7"/>
  <c r="AD22" i="7"/>
  <c r="AC22" i="7"/>
  <c r="AC21" i="7"/>
  <c r="H21" i="7"/>
  <c r="AD21" i="7" s="1"/>
  <c r="AD20" i="7"/>
  <c r="AC20" i="7"/>
  <c r="AC19" i="7"/>
  <c r="H19" i="7"/>
  <c r="AD19" i="7" s="1"/>
  <c r="AD18" i="7"/>
  <c r="AC18" i="7"/>
  <c r="AD17" i="7"/>
  <c r="AC17" i="7"/>
  <c r="AD16" i="7"/>
  <c r="AC16" i="7"/>
  <c r="AC15" i="7"/>
  <c r="H15" i="7"/>
  <c r="AD15" i="7" s="1"/>
  <c r="AD14" i="7"/>
  <c r="AC14" i="7"/>
  <c r="AC13" i="7"/>
  <c r="H13" i="7"/>
  <c r="AD13" i="7" s="1"/>
  <c r="AD12" i="7"/>
  <c r="AC12" i="7"/>
  <c r="AC11" i="7"/>
  <c r="H11" i="7"/>
  <c r="AD11" i="7" s="1"/>
  <c r="AD10" i="7"/>
  <c r="AC10" i="7"/>
  <c r="AD9" i="7"/>
  <c r="AC9" i="7"/>
  <c r="AD8" i="7"/>
  <c r="AC8" i="7"/>
  <c r="AC7" i="7"/>
  <c r="H7" i="7"/>
  <c r="AD7" i="7" s="1"/>
  <c r="AD6" i="7"/>
  <c r="AC6" i="7"/>
  <c r="AC5" i="7"/>
  <c r="AC359" i="7" s="1"/>
  <c r="H5" i="7"/>
  <c r="AD5" i="7" s="1"/>
  <c r="AD359" i="7" l="1"/>
  <c r="AD361" i="7" s="1"/>
  <c r="H359" i="7"/>
  <c r="M6" i="6" l="1"/>
  <c r="P7" i="6"/>
  <c r="M5" i="6"/>
  <c r="P4" i="6"/>
  <c r="M4" i="6"/>
  <c r="H8" i="6"/>
  <c r="M7" i="6"/>
  <c r="H7" i="6"/>
  <c r="P6" i="6"/>
  <c r="H6" i="6"/>
  <c r="P5" i="6"/>
  <c r="H5" i="6"/>
  <c r="H4" i="6"/>
  <c r="AS344" i="2" l="1"/>
  <c r="AR344" i="2" s="1"/>
  <c r="AQ344" i="2" s="1"/>
  <c r="R344" i="2"/>
  <c r="Q344" i="2"/>
  <c r="P344" i="2" s="1"/>
  <c r="AR343" i="2"/>
  <c r="AQ343" i="2" s="1"/>
  <c r="Q343" i="2"/>
  <c r="P343" i="2" s="1"/>
  <c r="AR342" i="2"/>
  <c r="AQ342" i="2" s="1"/>
  <c r="Q342" i="2"/>
  <c r="P342" i="2" s="1"/>
  <c r="AR341" i="2"/>
  <c r="AQ341" i="2" s="1"/>
  <c r="Q341" i="2"/>
  <c r="P341" i="2" s="1"/>
  <c r="AR340" i="2"/>
  <c r="AQ340" i="2" s="1"/>
  <c r="Q340" i="2"/>
  <c r="P340" i="2" s="1"/>
  <c r="AR339" i="2"/>
  <c r="AQ339" i="2" s="1"/>
  <c r="Q339" i="2"/>
  <c r="P339" i="2"/>
  <c r="AR338" i="2"/>
  <c r="AQ338" i="2" s="1"/>
  <c r="Q338" i="2"/>
  <c r="P338" i="2" s="1"/>
  <c r="AR337" i="2"/>
  <c r="AQ337" i="2" s="1"/>
  <c r="Q337" i="2"/>
  <c r="P337" i="2" s="1"/>
  <c r="AR336" i="2"/>
  <c r="AQ336" i="2" s="1"/>
  <c r="Q336" i="2"/>
  <c r="P336" i="2" s="1"/>
  <c r="AR335" i="2"/>
  <c r="AQ335" i="2" s="1"/>
  <c r="Q335" i="2"/>
  <c r="P335" i="2" s="1"/>
  <c r="AR334" i="2"/>
  <c r="AQ334" i="2" s="1"/>
  <c r="Q334" i="2"/>
  <c r="P334" i="2" s="1"/>
  <c r="AR333" i="2"/>
  <c r="AQ333" i="2" s="1"/>
  <c r="Q333" i="2"/>
  <c r="P333" i="2" s="1"/>
  <c r="AR332" i="2"/>
  <c r="AQ332" i="2"/>
  <c r="Q332" i="2"/>
  <c r="P332" i="2" s="1"/>
  <c r="AR331" i="2"/>
  <c r="AQ331" i="2" s="1"/>
  <c r="Q331" i="2"/>
  <c r="P331" i="2" s="1"/>
  <c r="AR330" i="2"/>
  <c r="AQ330" i="2" s="1"/>
  <c r="Q330" i="2"/>
  <c r="P330" i="2" s="1"/>
  <c r="AR329" i="2"/>
  <c r="AQ329" i="2" s="1"/>
  <c r="Q329" i="2"/>
  <c r="P329" i="2" s="1"/>
  <c r="AR328" i="2"/>
  <c r="AQ328" i="2" s="1"/>
  <c r="Q328" i="2"/>
  <c r="P328" i="2" s="1"/>
  <c r="AR327" i="2"/>
  <c r="AQ327" i="2" s="1"/>
  <c r="Q327" i="2"/>
  <c r="P327" i="2" s="1"/>
  <c r="AR326" i="2"/>
  <c r="AQ326" i="2" s="1"/>
  <c r="Q326" i="2"/>
  <c r="P326" i="2" s="1"/>
  <c r="AR325" i="2"/>
  <c r="AQ325" i="2" s="1"/>
  <c r="Q325" i="2"/>
  <c r="P325" i="2" s="1"/>
  <c r="AR324" i="2"/>
  <c r="AQ324" i="2"/>
  <c r="Q324" i="2"/>
  <c r="P324" i="2" s="1"/>
  <c r="AR323" i="2"/>
  <c r="AQ323" i="2" s="1"/>
  <c r="Q323" i="2"/>
  <c r="P323" i="2"/>
  <c r="AR322" i="2"/>
  <c r="AQ322" i="2" s="1"/>
  <c r="Q322" i="2"/>
  <c r="P322" i="2" s="1"/>
  <c r="AR321" i="2"/>
  <c r="AQ321" i="2" s="1"/>
  <c r="Q321" i="2"/>
  <c r="P321" i="2" s="1"/>
  <c r="AR320" i="2"/>
  <c r="AQ320" i="2"/>
  <c r="Q320" i="2"/>
  <c r="P320" i="2" s="1"/>
  <c r="AR319" i="2"/>
  <c r="AQ319" i="2" s="1"/>
  <c r="Q319" i="2"/>
  <c r="P319" i="2"/>
  <c r="AR318" i="2"/>
  <c r="AQ318" i="2" s="1"/>
  <c r="Q318" i="2"/>
  <c r="P318" i="2" s="1"/>
  <c r="AR317" i="2"/>
  <c r="AQ317" i="2" s="1"/>
  <c r="Q317" i="2"/>
  <c r="P317" i="2" s="1"/>
  <c r="AR316" i="2"/>
  <c r="AQ316" i="2" s="1"/>
  <c r="Q316" i="2"/>
  <c r="P316" i="2" s="1"/>
  <c r="AR315" i="2"/>
  <c r="AQ315" i="2" s="1"/>
  <c r="Q315" i="2"/>
  <c r="P315" i="2"/>
  <c r="AR314" i="2"/>
  <c r="AQ314" i="2" s="1"/>
  <c r="Q314" i="2"/>
  <c r="P314" i="2" s="1"/>
  <c r="AR313" i="2"/>
  <c r="AQ313" i="2" s="1"/>
  <c r="Q313" i="2"/>
  <c r="P313" i="2" s="1"/>
  <c r="AR312" i="2"/>
  <c r="AQ312" i="2" s="1"/>
  <c r="Q312" i="2"/>
  <c r="P312" i="2" s="1"/>
  <c r="AR311" i="2"/>
  <c r="AQ311" i="2" s="1"/>
  <c r="Q311" i="2"/>
  <c r="P311" i="2"/>
  <c r="AR310" i="2"/>
  <c r="AQ310" i="2" s="1"/>
  <c r="Q310" i="2"/>
  <c r="P310" i="2" s="1"/>
  <c r="AR309" i="2"/>
  <c r="AQ309" i="2" s="1"/>
  <c r="Q309" i="2"/>
  <c r="P309" i="2" s="1"/>
  <c r="AR308" i="2"/>
  <c r="AQ308" i="2"/>
  <c r="Q308" i="2"/>
  <c r="P308" i="2" s="1"/>
  <c r="AR307" i="2"/>
  <c r="AQ307" i="2" s="1"/>
  <c r="Q307" i="2"/>
  <c r="P307" i="2" s="1"/>
  <c r="AR306" i="2"/>
  <c r="AQ306" i="2" s="1"/>
  <c r="Q306" i="2"/>
  <c r="P306" i="2" s="1"/>
  <c r="AR305" i="2"/>
  <c r="AQ305" i="2" s="1"/>
  <c r="Q305" i="2"/>
  <c r="P305" i="2" s="1"/>
  <c r="AR304" i="2"/>
  <c r="AQ304" i="2"/>
  <c r="Q304" i="2"/>
  <c r="P304" i="2" s="1"/>
  <c r="AR303" i="2"/>
  <c r="AQ303" i="2" s="1"/>
  <c r="Q303" i="2"/>
  <c r="P303" i="2" s="1"/>
  <c r="AR302" i="2"/>
  <c r="AQ302" i="2" s="1"/>
  <c r="Q302" i="2"/>
  <c r="P302" i="2" s="1"/>
  <c r="AR301" i="2"/>
  <c r="AQ301" i="2" s="1"/>
  <c r="Q301" i="2"/>
  <c r="P301" i="2" s="1"/>
  <c r="AR300" i="2"/>
  <c r="AQ300" i="2"/>
  <c r="Q300" i="2"/>
  <c r="P300" i="2" s="1"/>
  <c r="AR299" i="2"/>
  <c r="AQ299" i="2" s="1"/>
  <c r="Q299" i="2"/>
  <c r="P299" i="2"/>
  <c r="AR298" i="2"/>
  <c r="AQ298" i="2" s="1"/>
  <c r="Q298" i="2"/>
  <c r="P298" i="2" s="1"/>
  <c r="AR297" i="2"/>
  <c r="AQ297" i="2" s="1"/>
  <c r="Q297" i="2"/>
  <c r="P297" i="2" s="1"/>
  <c r="AR296" i="2"/>
  <c r="AQ296" i="2"/>
  <c r="Q296" i="2"/>
  <c r="P296" i="2" s="1"/>
  <c r="AR295" i="2"/>
  <c r="AQ295" i="2" s="1"/>
  <c r="Q295" i="2"/>
  <c r="P295" i="2"/>
  <c r="AR294" i="2"/>
  <c r="AQ294" i="2" s="1"/>
  <c r="Q294" i="2"/>
  <c r="P294" i="2" s="1"/>
  <c r="AR293" i="2"/>
  <c r="AQ293" i="2" s="1"/>
  <c r="Q293" i="2"/>
  <c r="P293" i="2" s="1"/>
  <c r="AR292" i="2"/>
  <c r="AQ292" i="2" s="1"/>
  <c r="Q292" i="2"/>
  <c r="P292" i="2" s="1"/>
  <c r="AR291" i="2"/>
  <c r="AQ291" i="2" s="1"/>
  <c r="Q291" i="2"/>
  <c r="P291" i="2"/>
  <c r="AR290" i="2"/>
  <c r="AQ290" i="2" s="1"/>
  <c r="Q290" i="2"/>
  <c r="P290" i="2" s="1"/>
  <c r="AR289" i="2"/>
  <c r="AQ289" i="2" s="1"/>
  <c r="Q289" i="2"/>
  <c r="P289" i="2" s="1"/>
  <c r="AR288" i="2"/>
  <c r="AQ288" i="2" s="1"/>
  <c r="Q288" i="2"/>
  <c r="P288" i="2" s="1"/>
  <c r="AR287" i="2"/>
  <c r="AQ287" i="2" s="1"/>
  <c r="Q287" i="2"/>
  <c r="P287" i="2"/>
  <c r="AR286" i="2"/>
  <c r="AQ286" i="2" s="1"/>
  <c r="Q286" i="2"/>
  <c r="P286" i="2" s="1"/>
  <c r="AR285" i="2"/>
  <c r="AQ285" i="2" s="1"/>
  <c r="Q285" i="2"/>
  <c r="P285" i="2" s="1"/>
  <c r="AR284" i="2"/>
  <c r="AQ284" i="2"/>
  <c r="Q284" i="2"/>
  <c r="P284" i="2" s="1"/>
  <c r="AR283" i="2"/>
  <c r="AQ283" i="2" s="1"/>
  <c r="Q283" i="2"/>
  <c r="P283" i="2" s="1"/>
  <c r="AR282" i="2"/>
  <c r="AQ282" i="2" s="1"/>
  <c r="Q282" i="2"/>
  <c r="P282" i="2" s="1"/>
  <c r="AR281" i="2"/>
  <c r="AQ281" i="2" s="1"/>
  <c r="Q281" i="2"/>
  <c r="P281" i="2" s="1"/>
  <c r="AR280" i="2"/>
  <c r="AQ280" i="2"/>
  <c r="Q280" i="2"/>
  <c r="P280" i="2" s="1"/>
  <c r="AR279" i="2"/>
  <c r="AQ279" i="2" s="1"/>
  <c r="Q279" i="2"/>
  <c r="P279" i="2" s="1"/>
  <c r="AR278" i="2"/>
  <c r="AQ278" i="2" s="1"/>
  <c r="Q278" i="2"/>
  <c r="P278" i="2" s="1"/>
  <c r="AR277" i="2"/>
  <c r="AQ277" i="2" s="1"/>
  <c r="Q277" i="2"/>
  <c r="P277" i="2" s="1"/>
  <c r="AR276" i="2"/>
  <c r="AQ276" i="2"/>
  <c r="Q276" i="2"/>
  <c r="P276" i="2" s="1"/>
  <c r="AR275" i="2"/>
  <c r="AQ275" i="2" s="1"/>
  <c r="Q275" i="2"/>
  <c r="P275" i="2"/>
  <c r="AR274" i="2"/>
  <c r="AQ274" i="2" s="1"/>
  <c r="Q274" i="2"/>
  <c r="P274" i="2" s="1"/>
  <c r="AR273" i="2"/>
  <c r="AQ273" i="2" s="1"/>
  <c r="Q273" i="2"/>
  <c r="P273" i="2" s="1"/>
  <c r="AR272" i="2"/>
  <c r="AQ272" i="2"/>
  <c r="Q272" i="2"/>
  <c r="P272" i="2" s="1"/>
  <c r="AR271" i="2"/>
  <c r="AQ271" i="2" s="1"/>
  <c r="Q271" i="2"/>
  <c r="P271" i="2"/>
  <c r="AR270" i="2"/>
  <c r="AQ270" i="2" s="1"/>
  <c r="Q270" i="2"/>
  <c r="P270" i="2" s="1"/>
  <c r="AR269" i="2"/>
  <c r="AQ269" i="2" s="1"/>
  <c r="Q269" i="2"/>
  <c r="P269" i="2" s="1"/>
  <c r="AR268" i="2"/>
  <c r="AQ268" i="2" s="1"/>
  <c r="Q268" i="2"/>
  <c r="P268" i="2" s="1"/>
  <c r="AR267" i="2"/>
  <c r="AQ267" i="2" s="1"/>
  <c r="Q267" i="2"/>
  <c r="P267" i="2"/>
  <c r="AR266" i="2"/>
  <c r="AQ266" i="2" s="1"/>
  <c r="Q266" i="2"/>
  <c r="P266" i="2" s="1"/>
  <c r="AR265" i="2"/>
  <c r="AQ265" i="2" s="1"/>
  <c r="Q265" i="2"/>
  <c r="P265" i="2" s="1"/>
  <c r="AR264" i="2"/>
  <c r="AQ264" i="2" s="1"/>
  <c r="Q264" i="2"/>
  <c r="P264" i="2" s="1"/>
  <c r="AR263" i="2"/>
  <c r="AQ263" i="2" s="1"/>
  <c r="Q263" i="2"/>
  <c r="P263" i="2" s="1"/>
  <c r="AR262" i="2"/>
  <c r="AQ262" i="2" s="1"/>
  <c r="Q262" i="2"/>
  <c r="P262" i="2" s="1"/>
  <c r="AR261" i="2"/>
  <c r="AQ261" i="2" s="1"/>
  <c r="Q261" i="2"/>
  <c r="P261" i="2" s="1"/>
  <c r="AR260" i="2"/>
  <c r="AQ260" i="2"/>
  <c r="Q260" i="2"/>
  <c r="P260" i="2" s="1"/>
  <c r="AR259" i="2"/>
  <c r="AQ259" i="2" s="1"/>
  <c r="Q259" i="2"/>
  <c r="P259" i="2" s="1"/>
  <c r="AR258" i="2"/>
  <c r="AQ258" i="2" s="1"/>
  <c r="Q258" i="2"/>
  <c r="P258" i="2" s="1"/>
  <c r="AR257" i="2"/>
  <c r="AQ257" i="2" s="1"/>
  <c r="Q257" i="2"/>
  <c r="P257" i="2" s="1"/>
  <c r="AR256" i="2"/>
  <c r="AQ256" i="2"/>
  <c r="Q256" i="2"/>
  <c r="P256" i="2" s="1"/>
  <c r="AR255" i="2"/>
  <c r="AQ255" i="2" s="1"/>
  <c r="Q255" i="2"/>
  <c r="P255" i="2" s="1"/>
  <c r="AR254" i="2"/>
  <c r="AQ254" i="2" s="1"/>
  <c r="Q254" i="2"/>
  <c r="P254" i="2" s="1"/>
  <c r="AR253" i="2"/>
  <c r="AQ253" i="2" s="1"/>
  <c r="Q253" i="2"/>
  <c r="P253" i="2" s="1"/>
  <c r="AR252" i="2"/>
  <c r="AQ252" i="2"/>
  <c r="Q252" i="2"/>
  <c r="P252" i="2" s="1"/>
  <c r="AR251" i="2"/>
  <c r="AQ251" i="2" s="1"/>
  <c r="Q251" i="2"/>
  <c r="P251" i="2"/>
  <c r="AR250" i="2"/>
  <c r="AQ250" i="2" s="1"/>
  <c r="Q250" i="2"/>
  <c r="P250" i="2" s="1"/>
  <c r="AR249" i="2"/>
  <c r="AQ249" i="2" s="1"/>
  <c r="Q249" i="2"/>
  <c r="P249" i="2" s="1"/>
  <c r="AR248" i="2"/>
  <c r="AQ248" i="2" s="1"/>
  <c r="Q248" i="2"/>
  <c r="P248" i="2" s="1"/>
  <c r="AR247" i="2"/>
  <c r="AQ247" i="2" s="1"/>
  <c r="Q247" i="2"/>
  <c r="P247" i="2"/>
  <c r="AR246" i="2"/>
  <c r="AQ246" i="2" s="1"/>
  <c r="Q246" i="2"/>
  <c r="P246" i="2" s="1"/>
  <c r="AR245" i="2"/>
  <c r="AQ245" i="2" s="1"/>
  <c r="Q245" i="2"/>
  <c r="P245" i="2" s="1"/>
  <c r="AR244" i="2"/>
  <c r="AQ244" i="2" s="1"/>
  <c r="Q244" i="2"/>
  <c r="P244" i="2" s="1"/>
  <c r="AR243" i="2"/>
  <c r="AQ243" i="2" s="1"/>
  <c r="Q243" i="2"/>
  <c r="P243" i="2"/>
  <c r="AR242" i="2"/>
  <c r="AQ242" i="2" s="1"/>
  <c r="Q242" i="2"/>
  <c r="P242" i="2" s="1"/>
  <c r="AR241" i="2"/>
  <c r="AQ241" i="2" s="1"/>
  <c r="Q241" i="2"/>
  <c r="P241" i="2" s="1"/>
  <c r="AR240" i="2"/>
  <c r="AQ240" i="2" s="1"/>
  <c r="Q240" i="2"/>
  <c r="P240" i="2" s="1"/>
  <c r="AR239" i="2"/>
  <c r="AQ239" i="2" s="1"/>
  <c r="Q239" i="2"/>
  <c r="P239" i="2" s="1"/>
  <c r="AR238" i="2"/>
  <c r="AQ238" i="2" s="1"/>
  <c r="Q238" i="2"/>
  <c r="P238" i="2" s="1"/>
  <c r="AR237" i="2"/>
  <c r="AQ237" i="2" s="1"/>
  <c r="Q237" i="2"/>
  <c r="P237" i="2" s="1"/>
  <c r="AR236" i="2"/>
  <c r="AQ236" i="2"/>
  <c r="Q236" i="2"/>
  <c r="P236" i="2" s="1"/>
  <c r="AR235" i="2"/>
  <c r="AQ235" i="2" s="1"/>
  <c r="Q235" i="2"/>
  <c r="P235" i="2" s="1"/>
  <c r="AR234" i="2"/>
  <c r="AQ234" i="2" s="1"/>
  <c r="Q234" i="2"/>
  <c r="P234" i="2" s="1"/>
  <c r="AR233" i="2"/>
  <c r="AQ233" i="2" s="1"/>
  <c r="Q233" i="2"/>
  <c r="P233" i="2" s="1"/>
  <c r="AR232" i="2"/>
  <c r="AQ232" i="2"/>
  <c r="Q232" i="2"/>
  <c r="P232" i="2" s="1"/>
  <c r="AR231" i="2"/>
  <c r="AQ231" i="2" s="1"/>
  <c r="Q231" i="2"/>
  <c r="P231" i="2" s="1"/>
  <c r="AR230" i="2"/>
  <c r="AQ230" i="2" s="1"/>
  <c r="Q230" i="2"/>
  <c r="P230" i="2" s="1"/>
  <c r="AR229" i="2"/>
  <c r="AQ229" i="2" s="1"/>
  <c r="Q229" i="2"/>
  <c r="P229" i="2" s="1"/>
  <c r="AR228" i="2"/>
  <c r="AQ228" i="2"/>
  <c r="Q228" i="2"/>
  <c r="P228" i="2" s="1"/>
  <c r="AR227" i="2"/>
  <c r="AQ227" i="2" s="1"/>
  <c r="Q227" i="2"/>
  <c r="P227" i="2"/>
  <c r="AR226" i="2"/>
  <c r="AQ226" i="2" s="1"/>
  <c r="Q226" i="2"/>
  <c r="P226" i="2" s="1"/>
  <c r="AR225" i="2"/>
  <c r="AQ225" i="2" s="1"/>
  <c r="Q225" i="2"/>
  <c r="P225" i="2" s="1"/>
  <c r="AR224" i="2"/>
  <c r="AQ224" i="2"/>
  <c r="Q224" i="2"/>
  <c r="P224" i="2" s="1"/>
  <c r="AR223" i="2"/>
  <c r="AQ223" i="2" s="1"/>
  <c r="Q223" i="2"/>
  <c r="P223" i="2"/>
  <c r="AR222" i="2"/>
  <c r="AQ222" i="2" s="1"/>
  <c r="Q222" i="2"/>
  <c r="P222" i="2" s="1"/>
  <c r="AR221" i="2"/>
  <c r="AQ221" i="2" s="1"/>
  <c r="Q221" i="2"/>
  <c r="P221" i="2" s="1"/>
  <c r="AR220" i="2"/>
  <c r="AQ220" i="2" s="1"/>
  <c r="Q220" i="2"/>
  <c r="P220" i="2" s="1"/>
  <c r="AR219" i="2"/>
  <c r="AQ219" i="2" s="1"/>
  <c r="Q219" i="2"/>
  <c r="P219" i="2"/>
  <c r="AR218" i="2"/>
  <c r="AQ218" i="2" s="1"/>
  <c r="Q218" i="2"/>
  <c r="P218" i="2" s="1"/>
  <c r="AR217" i="2"/>
  <c r="AQ217" i="2" s="1"/>
  <c r="Q217" i="2"/>
  <c r="P217" i="2" s="1"/>
  <c r="AR216" i="2"/>
  <c r="AQ216" i="2" s="1"/>
  <c r="Q216" i="2"/>
  <c r="P216" i="2" s="1"/>
  <c r="AR215" i="2"/>
  <c r="AQ215" i="2" s="1"/>
  <c r="Q215" i="2"/>
  <c r="P215" i="2"/>
  <c r="AR214" i="2"/>
  <c r="AQ214" i="2" s="1"/>
  <c r="Q214" i="2"/>
  <c r="P214" i="2" s="1"/>
  <c r="AR213" i="2"/>
  <c r="AQ213" i="2" s="1"/>
  <c r="Q213" i="2"/>
  <c r="P213" i="2" s="1"/>
  <c r="AR212" i="2"/>
  <c r="AQ212" i="2"/>
  <c r="Q212" i="2"/>
  <c r="P212" i="2" s="1"/>
  <c r="AR211" i="2"/>
  <c r="AQ211" i="2" s="1"/>
  <c r="Q211" i="2"/>
  <c r="P211" i="2" s="1"/>
  <c r="AR210" i="2"/>
  <c r="AQ210" i="2" s="1"/>
  <c r="Q210" i="2"/>
  <c r="P210" i="2" s="1"/>
  <c r="AR209" i="2"/>
  <c r="AQ209" i="2" s="1"/>
  <c r="Q209" i="2"/>
  <c r="P209" i="2" s="1"/>
  <c r="AR208" i="2"/>
  <c r="AQ208" i="2"/>
  <c r="Q208" i="2"/>
  <c r="P208" i="2" s="1"/>
  <c r="AR207" i="2"/>
  <c r="AQ207" i="2" s="1"/>
  <c r="Q207" i="2"/>
  <c r="P207" i="2" s="1"/>
  <c r="AR206" i="2"/>
  <c r="AQ206" i="2" s="1"/>
  <c r="Q206" i="2"/>
  <c r="P206" i="2" s="1"/>
  <c r="AR205" i="2"/>
  <c r="AQ205" i="2" s="1"/>
  <c r="Q205" i="2"/>
  <c r="P205" i="2" s="1"/>
  <c r="AR204" i="2"/>
  <c r="AQ204" i="2"/>
  <c r="Q204" i="2"/>
  <c r="P204" i="2" s="1"/>
  <c r="AR203" i="2"/>
  <c r="AQ203" i="2" s="1"/>
  <c r="Q203" i="2"/>
  <c r="P203" i="2"/>
  <c r="AR202" i="2"/>
  <c r="AQ202" i="2" s="1"/>
  <c r="Q202" i="2"/>
  <c r="P202" i="2" s="1"/>
  <c r="AR201" i="2"/>
  <c r="AQ201" i="2" s="1"/>
  <c r="Q201" i="2"/>
  <c r="P201" i="2" s="1"/>
  <c r="AR200" i="2"/>
  <c r="AQ200" i="2"/>
  <c r="Q200" i="2"/>
  <c r="P200" i="2" s="1"/>
  <c r="AR199" i="2"/>
  <c r="AQ199" i="2" s="1"/>
  <c r="Q199" i="2"/>
  <c r="P199" i="2"/>
  <c r="AR198" i="2"/>
  <c r="AQ198" i="2" s="1"/>
  <c r="Q198" i="2"/>
  <c r="P198" i="2" s="1"/>
  <c r="AR197" i="2"/>
  <c r="AQ197" i="2" s="1"/>
  <c r="Q197" i="2"/>
  <c r="P197" i="2" s="1"/>
  <c r="AR196" i="2"/>
  <c r="AQ196" i="2" s="1"/>
  <c r="Q196" i="2"/>
  <c r="P196" i="2" s="1"/>
  <c r="AR195" i="2"/>
  <c r="AQ195" i="2" s="1"/>
  <c r="Q195" i="2"/>
  <c r="P195" i="2"/>
  <c r="AR194" i="2"/>
  <c r="AQ194" i="2" s="1"/>
  <c r="Q194" i="2"/>
  <c r="P194" i="2" s="1"/>
  <c r="AR193" i="2"/>
  <c r="AQ193" i="2" s="1"/>
  <c r="Q193" i="2"/>
  <c r="P193" i="2" s="1"/>
  <c r="AR192" i="2"/>
  <c r="AQ192" i="2" s="1"/>
  <c r="Q192" i="2"/>
  <c r="P192" i="2" s="1"/>
  <c r="AR191" i="2"/>
  <c r="AQ191" i="2" s="1"/>
  <c r="Q191" i="2"/>
  <c r="P191" i="2"/>
  <c r="AR190" i="2"/>
  <c r="AQ190" i="2" s="1"/>
  <c r="Q190" i="2"/>
  <c r="P190" i="2" s="1"/>
  <c r="AR189" i="2"/>
  <c r="AQ189" i="2" s="1"/>
  <c r="Q189" i="2"/>
  <c r="P189" i="2" s="1"/>
  <c r="AR188" i="2"/>
  <c r="AQ188" i="2"/>
  <c r="Q188" i="2"/>
  <c r="P188" i="2" s="1"/>
  <c r="AR187" i="2"/>
  <c r="AQ187" i="2" s="1"/>
  <c r="Q187" i="2"/>
  <c r="P187" i="2" s="1"/>
  <c r="AR186" i="2"/>
  <c r="AQ186" i="2" s="1"/>
  <c r="Q186" i="2"/>
  <c r="P186" i="2" s="1"/>
  <c r="AR185" i="2"/>
  <c r="AQ185" i="2" s="1"/>
  <c r="Q185" i="2"/>
  <c r="P185" i="2" s="1"/>
  <c r="AR184" i="2"/>
  <c r="AQ184" i="2"/>
  <c r="Q184" i="2"/>
  <c r="P184" i="2" s="1"/>
  <c r="AR183" i="2"/>
  <c r="AQ183" i="2" s="1"/>
  <c r="Q183" i="2"/>
  <c r="P183" i="2" s="1"/>
  <c r="AR182" i="2"/>
  <c r="AQ182" i="2" s="1"/>
  <c r="Q182" i="2"/>
  <c r="P182" i="2" s="1"/>
  <c r="AR181" i="2"/>
  <c r="AQ181" i="2" s="1"/>
  <c r="Q181" i="2"/>
  <c r="P181" i="2" s="1"/>
  <c r="AR180" i="2"/>
  <c r="AQ180" i="2"/>
  <c r="Q180" i="2"/>
  <c r="P180" i="2" s="1"/>
  <c r="AR179" i="2"/>
  <c r="AQ179" i="2" s="1"/>
  <c r="Q179" i="2"/>
  <c r="P179" i="2"/>
  <c r="AR178" i="2"/>
  <c r="AQ178" i="2" s="1"/>
  <c r="Q178" i="2"/>
  <c r="P178" i="2" s="1"/>
  <c r="AR177" i="2"/>
  <c r="AQ177" i="2" s="1"/>
  <c r="Q177" i="2"/>
  <c r="P177" i="2" s="1"/>
  <c r="AR176" i="2"/>
  <c r="AQ176" i="2"/>
  <c r="Q176" i="2"/>
  <c r="P176" i="2" s="1"/>
  <c r="AR175" i="2"/>
  <c r="AQ175" i="2" s="1"/>
  <c r="Q175" i="2"/>
  <c r="P175" i="2"/>
  <c r="AR174" i="2"/>
  <c r="AQ174" i="2" s="1"/>
  <c r="Q174" i="2"/>
  <c r="P174" i="2"/>
  <c r="AR173" i="2"/>
  <c r="AQ173" i="2" s="1"/>
  <c r="Q173" i="2"/>
  <c r="P173" i="2" s="1"/>
  <c r="AR172" i="2"/>
  <c r="AQ172" i="2" s="1"/>
  <c r="Q172" i="2"/>
  <c r="P172" i="2"/>
  <c r="AR171" i="2"/>
  <c r="AQ171" i="2" s="1"/>
  <c r="Q171" i="2"/>
  <c r="P171" i="2"/>
  <c r="AR170" i="2"/>
  <c r="AQ170" i="2" s="1"/>
  <c r="Q170" i="2"/>
  <c r="P170" i="2"/>
  <c r="AR169" i="2"/>
  <c r="AQ169" i="2" s="1"/>
  <c r="Q169" i="2"/>
  <c r="P169" i="2" s="1"/>
  <c r="AR168" i="2"/>
  <c r="AQ168" i="2" s="1"/>
  <c r="Q168" i="2"/>
  <c r="P168" i="2"/>
  <c r="AR167" i="2"/>
  <c r="AQ167" i="2" s="1"/>
  <c r="Q167" i="2"/>
  <c r="P167" i="2"/>
  <c r="AR166" i="2"/>
  <c r="AQ166" i="2" s="1"/>
  <c r="Q166" i="2"/>
  <c r="P166" i="2"/>
  <c r="AR165" i="2"/>
  <c r="AQ165" i="2" s="1"/>
  <c r="Q165" i="2"/>
  <c r="P165" i="2" s="1"/>
  <c r="AR164" i="2"/>
  <c r="AQ164" i="2" s="1"/>
  <c r="Q164" i="2"/>
  <c r="P164" i="2"/>
  <c r="AR163" i="2"/>
  <c r="AQ163" i="2" s="1"/>
  <c r="Q163" i="2"/>
  <c r="P163" i="2"/>
  <c r="AR162" i="2"/>
  <c r="AQ162" i="2" s="1"/>
  <c r="Q162" i="2"/>
  <c r="P162" i="2"/>
  <c r="AR161" i="2"/>
  <c r="AQ161" i="2" s="1"/>
  <c r="Q161" i="2"/>
  <c r="P161" i="2" s="1"/>
  <c r="AR160" i="2"/>
  <c r="AQ160" i="2" s="1"/>
  <c r="Q160" i="2"/>
  <c r="P160" i="2"/>
  <c r="AR159" i="2"/>
  <c r="AQ159" i="2" s="1"/>
  <c r="Q159" i="2"/>
  <c r="P159" i="2"/>
  <c r="AR158" i="2"/>
  <c r="AQ158" i="2" s="1"/>
  <c r="Q158" i="2"/>
  <c r="P158" i="2"/>
  <c r="AR157" i="2"/>
  <c r="AQ157" i="2" s="1"/>
  <c r="Q157" i="2"/>
  <c r="P157" i="2" s="1"/>
  <c r="AR156" i="2"/>
  <c r="AQ156" i="2" s="1"/>
  <c r="Q156" i="2"/>
  <c r="P156" i="2"/>
  <c r="AR155" i="2"/>
  <c r="AQ155" i="2" s="1"/>
  <c r="Q155" i="2"/>
  <c r="P155" i="2"/>
  <c r="AR154" i="2"/>
  <c r="AQ154" i="2" s="1"/>
  <c r="Q154" i="2"/>
  <c r="P154" i="2"/>
  <c r="AR153" i="2"/>
  <c r="AQ153" i="2" s="1"/>
  <c r="Q153" i="2"/>
  <c r="P153" i="2" s="1"/>
  <c r="AR152" i="2"/>
  <c r="AQ152" i="2" s="1"/>
  <c r="Q152" i="2"/>
  <c r="P152" i="2"/>
  <c r="AR151" i="2"/>
  <c r="AQ151" i="2" s="1"/>
  <c r="Q151" i="2"/>
  <c r="P151" i="2"/>
  <c r="AR150" i="2"/>
  <c r="AQ150" i="2" s="1"/>
  <c r="Q150" i="2"/>
  <c r="P150" i="2"/>
  <c r="AR149" i="2"/>
  <c r="AQ149" i="2" s="1"/>
  <c r="Q149" i="2"/>
  <c r="P149" i="2" s="1"/>
  <c r="AR148" i="2"/>
  <c r="AQ148" i="2" s="1"/>
  <c r="Q148" i="2"/>
  <c r="P148" i="2"/>
  <c r="AR147" i="2"/>
  <c r="AQ147" i="2" s="1"/>
  <c r="Q147" i="2"/>
  <c r="P147" i="2"/>
  <c r="AR146" i="2"/>
  <c r="AQ146" i="2" s="1"/>
  <c r="Q146" i="2"/>
  <c r="P146" i="2"/>
  <c r="AR145" i="2"/>
  <c r="AQ145" i="2" s="1"/>
  <c r="Q145" i="2"/>
  <c r="P145" i="2" s="1"/>
  <c r="AR144" i="2"/>
  <c r="AQ144" i="2" s="1"/>
  <c r="Q144" i="2"/>
  <c r="P144" i="2"/>
  <c r="AR143" i="2"/>
  <c r="AQ143" i="2" s="1"/>
  <c r="Q143" i="2"/>
  <c r="P143" i="2"/>
  <c r="AR142" i="2"/>
  <c r="AQ142" i="2" s="1"/>
  <c r="Q142" i="2"/>
  <c r="P142" i="2"/>
  <c r="AR141" i="2"/>
  <c r="AQ141" i="2" s="1"/>
  <c r="Q141" i="2"/>
  <c r="P141" i="2" s="1"/>
  <c r="AR140" i="2"/>
  <c r="AQ140" i="2" s="1"/>
  <c r="Q140" i="2"/>
  <c r="P140" i="2"/>
  <c r="AR139" i="2"/>
  <c r="AQ139" i="2" s="1"/>
  <c r="Q139" i="2"/>
  <c r="P139" i="2"/>
  <c r="AR138" i="2"/>
  <c r="AQ138" i="2" s="1"/>
  <c r="Q138" i="2"/>
  <c r="P138" i="2"/>
  <c r="AR137" i="2"/>
  <c r="AQ137" i="2" s="1"/>
  <c r="Q137" i="2"/>
  <c r="P137" i="2" s="1"/>
  <c r="AR136" i="2"/>
  <c r="AQ136" i="2" s="1"/>
  <c r="Q136" i="2"/>
  <c r="P136" i="2"/>
  <c r="AR135" i="2"/>
  <c r="AQ135" i="2" s="1"/>
  <c r="Q135" i="2"/>
  <c r="P135" i="2"/>
  <c r="AR134" i="2"/>
  <c r="AQ134" i="2" s="1"/>
  <c r="Q134" i="2"/>
  <c r="P134" i="2"/>
  <c r="AR133" i="2"/>
  <c r="AQ133" i="2" s="1"/>
  <c r="Q133" i="2"/>
  <c r="P133" i="2" s="1"/>
  <c r="AR132" i="2"/>
  <c r="AQ132" i="2" s="1"/>
  <c r="Q132" i="2"/>
  <c r="P132" i="2"/>
  <c r="AR131" i="2"/>
  <c r="AQ131" i="2" s="1"/>
  <c r="Q131" i="2"/>
  <c r="P131" i="2"/>
  <c r="AR130" i="2"/>
  <c r="AQ130" i="2" s="1"/>
  <c r="Q130" i="2"/>
  <c r="P130" i="2"/>
  <c r="AR129" i="2"/>
  <c r="AQ129" i="2" s="1"/>
  <c r="Q129" i="2"/>
  <c r="P129" i="2" s="1"/>
  <c r="AR128" i="2"/>
  <c r="AQ128" i="2" s="1"/>
  <c r="Q128" i="2"/>
  <c r="P128" i="2"/>
  <c r="AR127" i="2"/>
  <c r="AQ127" i="2" s="1"/>
  <c r="Q127" i="2"/>
  <c r="P127" i="2"/>
  <c r="AR126" i="2"/>
  <c r="AQ126" i="2" s="1"/>
  <c r="Q126" i="2"/>
  <c r="P126" i="2"/>
  <c r="AR125" i="2"/>
  <c r="AQ125" i="2" s="1"/>
  <c r="Q125" i="2"/>
  <c r="P125" i="2" s="1"/>
  <c r="AR124" i="2"/>
  <c r="AQ124" i="2" s="1"/>
  <c r="Q124" i="2"/>
  <c r="P124" i="2"/>
  <c r="AR123" i="2"/>
  <c r="AQ123" i="2" s="1"/>
  <c r="Q123" i="2"/>
  <c r="P123" i="2"/>
  <c r="AR122" i="2"/>
  <c r="AQ122" i="2" s="1"/>
  <c r="Q122" i="2"/>
  <c r="P122" i="2"/>
  <c r="AR121" i="2"/>
  <c r="AQ121" i="2" s="1"/>
  <c r="Q121" i="2"/>
  <c r="P121" i="2" s="1"/>
  <c r="AR120" i="2"/>
  <c r="AQ120" i="2" s="1"/>
  <c r="Q120" i="2"/>
  <c r="P120" i="2"/>
  <c r="AR119" i="2"/>
  <c r="AQ119" i="2" s="1"/>
  <c r="Q119" i="2"/>
  <c r="P119" i="2"/>
  <c r="AR118" i="2"/>
  <c r="AQ118" i="2" s="1"/>
  <c r="Q118" i="2"/>
  <c r="P118" i="2"/>
  <c r="AR117" i="2"/>
  <c r="AQ117" i="2" s="1"/>
  <c r="Q117" i="2"/>
  <c r="P117" i="2" s="1"/>
  <c r="AR116" i="2"/>
  <c r="AQ116" i="2" s="1"/>
  <c r="Q116" i="2"/>
  <c r="P116" i="2"/>
  <c r="AR115" i="2"/>
  <c r="AQ115" i="2" s="1"/>
  <c r="Q115" i="2"/>
  <c r="P115" i="2"/>
  <c r="AR114" i="2"/>
  <c r="AQ114" i="2" s="1"/>
  <c r="Q114" i="2"/>
  <c r="P114" i="2"/>
  <c r="AR113" i="2"/>
  <c r="AQ113" i="2" s="1"/>
  <c r="Q113" i="2"/>
  <c r="P113" i="2" s="1"/>
  <c r="AR112" i="2"/>
  <c r="AQ112" i="2" s="1"/>
  <c r="Q112" i="2"/>
  <c r="P112" i="2"/>
  <c r="AR111" i="2"/>
  <c r="AQ111" i="2" s="1"/>
  <c r="Q111" i="2"/>
  <c r="P111" i="2"/>
  <c r="AR110" i="2"/>
  <c r="AQ110" i="2" s="1"/>
  <c r="Q110" i="2"/>
  <c r="P110" i="2"/>
  <c r="AR109" i="2"/>
  <c r="AQ109" i="2"/>
  <c r="Q109" i="2"/>
  <c r="P109" i="2"/>
  <c r="AR108" i="2"/>
  <c r="AQ108" i="2" s="1"/>
  <c r="Q108" i="2"/>
  <c r="P108" i="2"/>
  <c r="AR107" i="2"/>
  <c r="AQ107" i="2"/>
  <c r="Q107" i="2"/>
  <c r="P107" i="2"/>
  <c r="AR106" i="2"/>
  <c r="AQ106" i="2" s="1"/>
  <c r="Q106" i="2"/>
  <c r="P106" i="2"/>
  <c r="AR105" i="2"/>
  <c r="AQ105" i="2" s="1"/>
  <c r="Q105" i="2"/>
  <c r="P105" i="2" s="1"/>
  <c r="AR104" i="2"/>
  <c r="AQ104" i="2" s="1"/>
  <c r="Q104" i="2"/>
  <c r="P104" i="2" s="1"/>
  <c r="AR103" i="2"/>
  <c r="AQ103" i="2"/>
  <c r="Q103" i="2"/>
  <c r="P103" i="2"/>
  <c r="AR102" i="2"/>
  <c r="AQ102" i="2" s="1"/>
  <c r="Q102" i="2"/>
  <c r="P102" i="2" s="1"/>
  <c r="AR101" i="2"/>
  <c r="AQ101" i="2" s="1"/>
  <c r="Q101" i="2"/>
  <c r="P101" i="2"/>
  <c r="AR100" i="2"/>
  <c r="AQ100" i="2" s="1"/>
  <c r="Q100" i="2"/>
  <c r="P100" i="2"/>
  <c r="AR99" i="2"/>
  <c r="AQ99" i="2"/>
  <c r="Q99" i="2"/>
  <c r="P99" i="2" s="1"/>
  <c r="AR98" i="2"/>
  <c r="AQ98" i="2" s="1"/>
  <c r="Q98" i="2"/>
  <c r="P98" i="2"/>
  <c r="AR97" i="2"/>
  <c r="AQ97" i="2" s="1"/>
  <c r="Q97" i="2"/>
  <c r="P97" i="2"/>
  <c r="AR96" i="2"/>
  <c r="AQ96" i="2" s="1"/>
  <c r="Q96" i="2"/>
  <c r="P96" i="2"/>
  <c r="AR95" i="2"/>
  <c r="AQ95" i="2" s="1"/>
  <c r="Q95" i="2"/>
  <c r="P95" i="2" s="1"/>
  <c r="AR94" i="2"/>
  <c r="AQ94" i="2" s="1"/>
  <c r="Q94" i="2"/>
  <c r="P94" i="2"/>
  <c r="AR93" i="2"/>
  <c r="AQ93" i="2"/>
  <c r="Q93" i="2"/>
  <c r="P93" i="2" s="1"/>
  <c r="AR92" i="2"/>
  <c r="AQ92" i="2" s="1"/>
  <c r="Q92" i="2"/>
  <c r="P92" i="2"/>
  <c r="AR91" i="2"/>
  <c r="AQ91" i="2" s="1"/>
  <c r="Q91" i="2"/>
  <c r="P91" i="2" s="1"/>
  <c r="AR90" i="2"/>
  <c r="AQ90" i="2" s="1"/>
  <c r="Q90" i="2"/>
  <c r="P90" i="2"/>
  <c r="AR89" i="2"/>
  <c r="AQ89" i="2"/>
  <c r="Q89" i="2"/>
  <c r="P89" i="2"/>
  <c r="AR88" i="2"/>
  <c r="AQ88" i="2" s="1"/>
  <c r="Q88" i="2"/>
  <c r="P88" i="2" s="1"/>
  <c r="AR87" i="2"/>
  <c r="AQ87" i="2" s="1"/>
  <c r="Q87" i="2"/>
  <c r="P87" i="2"/>
  <c r="AR86" i="2"/>
  <c r="AQ86" i="2"/>
  <c r="Q86" i="2"/>
  <c r="P86" i="2"/>
  <c r="AR85" i="2"/>
  <c r="AQ85" i="2" s="1"/>
  <c r="Q85" i="2"/>
  <c r="P85" i="2" s="1"/>
  <c r="AR84" i="2"/>
  <c r="AQ84" i="2"/>
  <c r="Q84" i="2"/>
  <c r="P84" i="2"/>
  <c r="AR83" i="2"/>
  <c r="AQ83" i="2"/>
  <c r="Q83" i="2"/>
  <c r="P83" i="2"/>
  <c r="AR82" i="2"/>
  <c r="AQ82" i="2" s="1"/>
  <c r="Q82" i="2"/>
  <c r="P82" i="2" s="1"/>
  <c r="AR81" i="2"/>
  <c r="AQ81" i="2"/>
  <c r="Q81" i="2"/>
  <c r="P81" i="2"/>
  <c r="AR80" i="2"/>
  <c r="AQ80" i="2"/>
  <c r="Q80" i="2"/>
  <c r="P80" i="2"/>
  <c r="AR79" i="2"/>
  <c r="AQ79" i="2" s="1"/>
  <c r="Q79" i="2"/>
  <c r="P79" i="2" s="1"/>
  <c r="AR78" i="2"/>
  <c r="AQ78" i="2"/>
  <c r="Q78" i="2"/>
  <c r="P78" i="2"/>
  <c r="AR77" i="2"/>
  <c r="AQ77" i="2"/>
  <c r="Q77" i="2"/>
  <c r="P77" i="2"/>
  <c r="AR76" i="2"/>
  <c r="AQ76" i="2" s="1"/>
  <c r="Q76" i="2"/>
  <c r="P76" i="2" s="1"/>
  <c r="AR75" i="2"/>
  <c r="AQ75" i="2"/>
  <c r="Q75" i="2"/>
  <c r="P75" i="2"/>
  <c r="AR74" i="2"/>
  <c r="AQ74" i="2"/>
  <c r="Q74" i="2"/>
  <c r="P74" i="2"/>
  <c r="AR73" i="2"/>
  <c r="AQ73" i="2" s="1"/>
  <c r="Q73" i="2"/>
  <c r="P73" i="2" s="1"/>
  <c r="AR72" i="2"/>
  <c r="AQ72" i="2"/>
  <c r="Q72" i="2"/>
  <c r="P72" i="2"/>
  <c r="AR71" i="2"/>
  <c r="AQ71" i="2"/>
  <c r="Q71" i="2"/>
  <c r="P71" i="2"/>
  <c r="AR70" i="2"/>
  <c r="AQ70" i="2" s="1"/>
  <c r="Q70" i="2"/>
  <c r="P70" i="2" s="1"/>
  <c r="AR69" i="2"/>
  <c r="AQ69" i="2"/>
  <c r="Q69" i="2"/>
  <c r="P69" i="2"/>
  <c r="AR68" i="2"/>
  <c r="AQ68" i="2"/>
  <c r="Q68" i="2"/>
  <c r="P68" i="2"/>
  <c r="AR67" i="2"/>
  <c r="AQ67" i="2" s="1"/>
  <c r="Q67" i="2"/>
  <c r="P67" i="2" s="1"/>
  <c r="AR66" i="2"/>
  <c r="AQ66" i="2"/>
  <c r="Q66" i="2"/>
  <c r="P66" i="2"/>
  <c r="AR65" i="2"/>
  <c r="AQ65" i="2"/>
  <c r="Q65" i="2"/>
  <c r="P65" i="2"/>
  <c r="AR64" i="2"/>
  <c r="AQ64" i="2" s="1"/>
  <c r="Q64" i="2"/>
  <c r="P64" i="2" s="1"/>
  <c r="AR63" i="2"/>
  <c r="AQ63" i="2"/>
  <c r="Q63" i="2"/>
  <c r="P63" i="2"/>
  <c r="AR62" i="2"/>
  <c r="AQ62" i="2"/>
  <c r="Q62" i="2"/>
  <c r="P62" i="2"/>
  <c r="AR61" i="2"/>
  <c r="AQ61" i="2" s="1"/>
  <c r="Q61" i="2"/>
  <c r="P61" i="2" s="1"/>
  <c r="AR60" i="2"/>
  <c r="AQ60" i="2"/>
  <c r="Q60" i="2"/>
  <c r="P60" i="2"/>
  <c r="AR59" i="2"/>
  <c r="AQ59" i="2"/>
  <c r="Q59" i="2"/>
  <c r="P59" i="2"/>
  <c r="AR58" i="2"/>
  <c r="AQ58" i="2" s="1"/>
  <c r="Q58" i="2"/>
  <c r="P58" i="2" s="1"/>
  <c r="AR57" i="2"/>
  <c r="AQ57" i="2"/>
  <c r="Q57" i="2"/>
  <c r="P57" i="2"/>
  <c r="AR56" i="2"/>
  <c r="AQ56" i="2"/>
  <c r="Q56" i="2"/>
  <c r="P56" i="2"/>
  <c r="AR55" i="2"/>
  <c r="AQ55" i="2" s="1"/>
  <c r="Q55" i="2"/>
  <c r="P55" i="2" s="1"/>
  <c r="AR54" i="2"/>
  <c r="AQ54" i="2" s="1"/>
  <c r="Q54" i="2"/>
  <c r="P54" i="2"/>
  <c r="AR53" i="2"/>
  <c r="AQ53" i="2"/>
  <c r="Q53" i="2"/>
  <c r="P53" i="2"/>
  <c r="AR52" i="2"/>
  <c r="AQ52" i="2" s="1"/>
  <c r="Q52" i="2"/>
  <c r="P52" i="2" s="1"/>
  <c r="AR51" i="2"/>
  <c r="AQ51" i="2" s="1"/>
  <c r="Q51" i="2"/>
  <c r="P51" i="2"/>
  <c r="AR50" i="2"/>
  <c r="AQ50" i="2"/>
  <c r="Q50" i="2"/>
  <c r="P50" i="2"/>
  <c r="AR49" i="2"/>
  <c r="AQ49" i="2" s="1"/>
  <c r="Q49" i="2"/>
  <c r="P49" i="2" s="1"/>
  <c r="AR48" i="2"/>
  <c r="AQ48" i="2" s="1"/>
  <c r="Q48" i="2"/>
  <c r="P48" i="2"/>
  <c r="AR47" i="2"/>
  <c r="AQ47" i="2"/>
  <c r="Q47" i="2"/>
  <c r="P47" i="2"/>
  <c r="AR46" i="2"/>
  <c r="AQ46" i="2" s="1"/>
  <c r="Q46" i="2"/>
  <c r="P46" i="2" s="1"/>
  <c r="AR45" i="2"/>
  <c r="AQ45" i="2" s="1"/>
  <c r="Q45" i="2"/>
  <c r="P45" i="2"/>
  <c r="AR44" i="2"/>
  <c r="AQ44" i="2"/>
  <c r="Q44" i="2"/>
  <c r="P44" i="2"/>
  <c r="AR43" i="2"/>
  <c r="AQ43" i="2" s="1"/>
  <c r="Q43" i="2"/>
  <c r="P43" i="2" s="1"/>
  <c r="AR42" i="2"/>
  <c r="AQ42" i="2"/>
  <c r="Q42" i="2"/>
  <c r="P42" i="2"/>
  <c r="AR41" i="2"/>
  <c r="AQ41" i="2"/>
  <c r="Q41" i="2"/>
  <c r="P41" i="2"/>
  <c r="AR40" i="2"/>
  <c r="AQ40" i="2" s="1"/>
  <c r="Q40" i="2"/>
  <c r="P40" i="2" s="1"/>
  <c r="AR39" i="2"/>
  <c r="AQ39" i="2"/>
  <c r="Q39" i="2"/>
  <c r="P39" i="2"/>
  <c r="AR38" i="2"/>
  <c r="AQ38" i="2"/>
  <c r="Q38" i="2"/>
  <c r="P38" i="2"/>
  <c r="AR37" i="2"/>
  <c r="AQ37" i="2" s="1"/>
  <c r="Q37" i="2"/>
  <c r="P37" i="2" s="1"/>
  <c r="AR36" i="2"/>
  <c r="AQ36" i="2"/>
  <c r="Q36" i="2"/>
  <c r="P36" i="2"/>
  <c r="AR35" i="2"/>
  <c r="AQ35" i="2"/>
  <c r="Q35" i="2"/>
  <c r="P35" i="2"/>
  <c r="AR34" i="2"/>
  <c r="AQ34" i="2" s="1"/>
  <c r="Q34" i="2"/>
  <c r="P34" i="2" s="1"/>
  <c r="AR33" i="2"/>
  <c r="AQ33" i="2" s="1"/>
  <c r="Q33" i="2"/>
  <c r="P33" i="2"/>
  <c r="AR32" i="2"/>
  <c r="AQ32" i="2"/>
  <c r="Q32" i="2"/>
  <c r="P32" i="2"/>
  <c r="AR31" i="2"/>
  <c r="AQ31" i="2" s="1"/>
  <c r="Q31" i="2"/>
  <c r="P31" i="2" s="1"/>
  <c r="AR30" i="2"/>
  <c r="AQ30" i="2"/>
  <c r="Q30" i="2"/>
  <c r="P30" i="2"/>
  <c r="AR29" i="2"/>
  <c r="AQ29" i="2"/>
  <c r="Q29" i="2"/>
  <c r="P29" i="2"/>
  <c r="AR28" i="2"/>
  <c r="AQ28" i="2" s="1"/>
  <c r="Q28" i="2"/>
  <c r="P28" i="2" s="1"/>
  <c r="AR27" i="2"/>
  <c r="AQ27" i="2"/>
  <c r="Q27" i="2"/>
  <c r="P27" i="2"/>
  <c r="AR26" i="2"/>
  <c r="AQ26" i="2"/>
  <c r="Q26" i="2"/>
  <c r="P26" i="2"/>
  <c r="AR25" i="2"/>
  <c r="AQ25" i="2" s="1"/>
  <c r="Q25" i="2"/>
  <c r="P25" i="2" s="1"/>
  <c r="AR24" i="2"/>
  <c r="AQ24" i="2"/>
  <c r="Q24" i="2"/>
  <c r="P24" i="2"/>
  <c r="AR23" i="2"/>
  <c r="AQ23" i="2"/>
  <c r="Q23" i="2"/>
  <c r="P23" i="2"/>
  <c r="AR22" i="2"/>
  <c r="AQ22" i="2" s="1"/>
  <c r="Q22" i="2"/>
  <c r="P22" i="2" s="1"/>
  <c r="AR21" i="2"/>
  <c r="AQ21" i="2"/>
  <c r="Q21" i="2"/>
  <c r="P21" i="2"/>
  <c r="AR20" i="2"/>
  <c r="AQ20" i="2"/>
  <c r="Q20" i="2"/>
  <c r="P20" i="2"/>
  <c r="AR19" i="2"/>
  <c r="AQ19" i="2" s="1"/>
  <c r="Q19" i="2"/>
  <c r="P19" i="2" s="1"/>
  <c r="AR18" i="2"/>
  <c r="AQ18" i="2"/>
  <c r="Q18" i="2"/>
  <c r="P18" i="2"/>
  <c r="AR17" i="2"/>
  <c r="AQ17" i="2"/>
  <c r="Q17" i="2"/>
  <c r="P17" i="2"/>
  <c r="AR16" i="2"/>
  <c r="AQ16" i="2" s="1"/>
  <c r="Q16" i="2"/>
  <c r="P16" i="2" s="1"/>
  <c r="AR15" i="2"/>
  <c r="AQ15" i="2"/>
  <c r="Q15" i="2"/>
  <c r="P15" i="2"/>
  <c r="AR14" i="2"/>
  <c r="AQ14" i="2"/>
  <c r="Q14" i="2"/>
  <c r="P14" i="2"/>
  <c r="AR13" i="2"/>
  <c r="AQ13" i="2" s="1"/>
  <c r="Q13" i="2"/>
  <c r="P13" i="2" s="1"/>
  <c r="AR12" i="2"/>
  <c r="AQ12" i="2"/>
  <c r="Q12" i="2"/>
  <c r="P12" i="2"/>
  <c r="AR11" i="2"/>
  <c r="AQ11" i="2"/>
  <c r="Q11" i="2"/>
  <c r="P11" i="2"/>
  <c r="AR10" i="2"/>
  <c r="AQ10" i="2" s="1"/>
  <c r="Q10" i="2"/>
  <c r="P10" i="2" s="1"/>
  <c r="AR9" i="2"/>
  <c r="AQ9" i="2"/>
  <c r="Q9" i="2"/>
  <c r="P9" i="2"/>
  <c r="AR8" i="2"/>
  <c r="AQ8" i="2"/>
  <c r="Q8" i="2"/>
  <c r="P8" i="2"/>
  <c r="AR7" i="2"/>
  <c r="AQ7" i="2" s="1"/>
  <c r="Q7" i="2"/>
  <c r="P7" i="2" s="1"/>
  <c r="AR6" i="2"/>
  <c r="AQ6" i="2"/>
  <c r="Q6" i="2"/>
  <c r="P6" i="2"/>
  <c r="AR5" i="2"/>
  <c r="AQ5" i="2"/>
  <c r="Q5" i="2"/>
  <c r="P5" i="2"/>
  <c r="AR4" i="2"/>
  <c r="AQ4" i="2" s="1"/>
  <c r="Q4" i="2"/>
  <c r="P4" i="2" s="1"/>
  <c r="AS343" i="1" l="1"/>
  <c r="X343" i="1"/>
  <c r="W343" i="1"/>
  <c r="R343" i="1"/>
  <c r="O343" i="1"/>
  <c r="T346" i="1" s="1"/>
  <c r="N343" i="1"/>
  <c r="M343" i="1"/>
  <c r="V342" i="1"/>
  <c r="Q342" i="1"/>
  <c r="AR342" i="1" s="1"/>
  <c r="P342" i="1"/>
  <c r="AQ342" i="1" s="1"/>
  <c r="F342" i="1"/>
  <c r="V341" i="1"/>
  <c r="Q341" i="1"/>
  <c r="P341" i="1" s="1"/>
  <c r="AQ341" i="1" s="1"/>
  <c r="F341" i="1"/>
  <c r="V340" i="1"/>
  <c r="Q340" i="1"/>
  <c r="P340" i="1" s="1"/>
  <c r="AQ340" i="1" s="1"/>
  <c r="F340" i="1"/>
  <c r="V339" i="1"/>
  <c r="Q339" i="1"/>
  <c r="AR339" i="1" s="1"/>
  <c r="P339" i="1"/>
  <c r="AQ339" i="1" s="1"/>
  <c r="F339" i="1"/>
  <c r="AR338" i="1"/>
  <c r="V338" i="1"/>
  <c r="Q338" i="1"/>
  <c r="P338" i="1"/>
  <c r="AQ338" i="1" s="1"/>
  <c r="F338" i="1"/>
  <c r="AR337" i="1"/>
  <c r="AQ337" i="1"/>
  <c r="V337" i="1"/>
  <c r="Q337" i="1"/>
  <c r="P337" i="1" s="1"/>
  <c r="F337" i="1"/>
  <c r="V336" i="1"/>
  <c r="Q336" i="1"/>
  <c r="AR336" i="1" s="1"/>
  <c r="P336" i="1"/>
  <c r="AQ336" i="1" s="1"/>
  <c r="F336" i="1"/>
  <c r="V335" i="1"/>
  <c r="Q335" i="1"/>
  <c r="AR335" i="1" s="1"/>
  <c r="P335" i="1"/>
  <c r="AQ335" i="1" s="1"/>
  <c r="F335" i="1"/>
  <c r="AR334" i="1"/>
  <c r="V334" i="1"/>
  <c r="Q334" i="1"/>
  <c r="P334" i="1"/>
  <c r="AQ334" i="1" s="1"/>
  <c r="F334" i="1"/>
  <c r="V333" i="1"/>
  <c r="Q333" i="1"/>
  <c r="F333" i="1"/>
  <c r="V332" i="1"/>
  <c r="Q332" i="1"/>
  <c r="AR332" i="1" s="1"/>
  <c r="P332" i="1"/>
  <c r="AQ332" i="1" s="1"/>
  <c r="F332" i="1"/>
  <c r="V331" i="1"/>
  <c r="Q331" i="1"/>
  <c r="F331" i="1"/>
  <c r="AR330" i="1"/>
  <c r="V330" i="1"/>
  <c r="Q330" i="1"/>
  <c r="P330" i="1"/>
  <c r="F330" i="1"/>
  <c r="V329" i="1"/>
  <c r="Q329" i="1"/>
  <c r="P329" i="1" s="1"/>
  <c r="AQ329" i="1" s="1"/>
  <c r="F329" i="1"/>
  <c r="V328" i="1"/>
  <c r="Q328" i="1"/>
  <c r="P328" i="1" s="1"/>
  <c r="AQ328" i="1" s="1"/>
  <c r="F328" i="1"/>
  <c r="V327" i="1"/>
  <c r="Q327" i="1"/>
  <c r="AR327" i="1" s="1"/>
  <c r="F327" i="1"/>
  <c r="V326" i="1"/>
  <c r="Q326" i="1"/>
  <c r="AR326" i="1" s="1"/>
  <c r="F326" i="1"/>
  <c r="V325" i="1"/>
  <c r="Q325" i="1"/>
  <c r="P325" i="1" s="1"/>
  <c r="F325" i="1"/>
  <c r="V324" i="1"/>
  <c r="Q324" i="1"/>
  <c r="AR324" i="1" s="1"/>
  <c r="F324" i="1"/>
  <c r="V323" i="1"/>
  <c r="Q323" i="1"/>
  <c r="AR323" i="1" s="1"/>
  <c r="P323" i="1"/>
  <c r="F323" i="1"/>
  <c r="V322" i="1"/>
  <c r="Q322" i="1"/>
  <c r="AR322" i="1" s="1"/>
  <c r="P322" i="1"/>
  <c r="AQ322" i="1" s="1"/>
  <c r="F322" i="1"/>
  <c r="V321" i="1"/>
  <c r="AQ321" i="1" s="1"/>
  <c r="Q321" i="1"/>
  <c r="P321" i="1" s="1"/>
  <c r="F321" i="1"/>
  <c r="V320" i="1"/>
  <c r="AQ320" i="1" s="1"/>
  <c r="Q320" i="1"/>
  <c r="AR320" i="1" s="1"/>
  <c r="P320" i="1"/>
  <c r="F320" i="1"/>
  <c r="V319" i="1"/>
  <c r="Q319" i="1"/>
  <c r="AR319" i="1" s="1"/>
  <c r="F319" i="1"/>
  <c r="V318" i="1"/>
  <c r="Q318" i="1"/>
  <c r="AR318" i="1" s="1"/>
  <c r="P318" i="1"/>
  <c r="AQ318" i="1" s="1"/>
  <c r="F318" i="1"/>
  <c r="AR317" i="1"/>
  <c r="V317" i="1"/>
  <c r="Q317" i="1"/>
  <c r="P317" i="1" s="1"/>
  <c r="AQ317" i="1" s="1"/>
  <c r="F317" i="1"/>
  <c r="V316" i="1"/>
  <c r="Q316" i="1"/>
  <c r="F316" i="1"/>
  <c r="V315" i="1"/>
  <c r="Q315" i="1"/>
  <c r="AR315" i="1" s="1"/>
  <c r="P315" i="1"/>
  <c r="AQ315" i="1" s="1"/>
  <c r="F315" i="1"/>
  <c r="AR314" i="1"/>
  <c r="V314" i="1"/>
  <c r="Q314" i="1"/>
  <c r="P314" i="1"/>
  <c r="AQ314" i="1" s="1"/>
  <c r="F314" i="1"/>
  <c r="V313" i="1"/>
  <c r="Q313" i="1"/>
  <c r="F313" i="1"/>
  <c r="V312" i="1"/>
  <c r="Q312" i="1"/>
  <c r="AR312" i="1" s="1"/>
  <c r="F312" i="1"/>
  <c r="V311" i="1"/>
  <c r="Q311" i="1"/>
  <c r="AR311" i="1" s="1"/>
  <c r="F311" i="1"/>
  <c r="V310" i="1"/>
  <c r="Q310" i="1"/>
  <c r="AR310" i="1" s="1"/>
  <c r="P310" i="1"/>
  <c r="AQ310" i="1" s="1"/>
  <c r="F310" i="1"/>
  <c r="V309" i="1"/>
  <c r="Q309" i="1"/>
  <c r="P309" i="1" s="1"/>
  <c r="F309" i="1"/>
  <c r="AR308" i="1"/>
  <c r="AQ308" i="1"/>
  <c r="V308" i="1"/>
  <c r="Q308" i="1"/>
  <c r="P308" i="1"/>
  <c r="F308" i="1"/>
  <c r="V307" i="1"/>
  <c r="Q307" i="1"/>
  <c r="AR307" i="1" s="1"/>
  <c r="F307" i="1"/>
  <c r="V306" i="1"/>
  <c r="Q306" i="1"/>
  <c r="AR306" i="1" s="1"/>
  <c r="P306" i="1"/>
  <c r="AQ306" i="1" s="1"/>
  <c r="F306" i="1"/>
  <c r="V305" i="1"/>
  <c r="Q305" i="1"/>
  <c r="P305" i="1" s="1"/>
  <c r="AQ305" i="1" s="1"/>
  <c r="F305" i="1"/>
  <c r="V304" i="1"/>
  <c r="Q304" i="1"/>
  <c r="AR304" i="1" s="1"/>
  <c r="P304" i="1"/>
  <c r="AQ304" i="1" s="1"/>
  <c r="F304" i="1"/>
  <c r="V303" i="1"/>
  <c r="Q303" i="1"/>
  <c r="AR303" i="1" s="1"/>
  <c r="F303" i="1"/>
  <c r="V302" i="1"/>
  <c r="Q302" i="1"/>
  <c r="P302" i="1" s="1"/>
  <c r="AQ302" i="1" s="1"/>
  <c r="F302" i="1"/>
  <c r="V301" i="1"/>
  <c r="Q301" i="1"/>
  <c r="P301" i="1" s="1"/>
  <c r="AQ301" i="1" s="1"/>
  <c r="F301" i="1"/>
  <c r="V300" i="1"/>
  <c r="Q300" i="1"/>
  <c r="F300" i="1"/>
  <c r="V299" i="1"/>
  <c r="Q299" i="1"/>
  <c r="F299" i="1"/>
  <c r="AR298" i="1"/>
  <c r="V298" i="1"/>
  <c r="Q298" i="1"/>
  <c r="P298" i="1"/>
  <c r="AQ298" i="1" s="1"/>
  <c r="F298" i="1"/>
  <c r="V297" i="1"/>
  <c r="Q297" i="1"/>
  <c r="F297" i="1"/>
  <c r="V296" i="1"/>
  <c r="Q296" i="1"/>
  <c r="P296" i="1" s="1"/>
  <c r="F296" i="1"/>
  <c r="V295" i="1"/>
  <c r="Q295" i="1"/>
  <c r="AR295" i="1" s="1"/>
  <c r="F295" i="1"/>
  <c r="V294" i="1"/>
  <c r="Q294" i="1"/>
  <c r="AR294" i="1" s="1"/>
  <c r="P294" i="1"/>
  <c r="AQ294" i="1" s="1"/>
  <c r="F294" i="1"/>
  <c r="V293" i="1"/>
  <c r="Q293" i="1"/>
  <c r="P293" i="1" s="1"/>
  <c r="F293" i="1"/>
  <c r="V292" i="1"/>
  <c r="Q292" i="1"/>
  <c r="AR292" i="1" s="1"/>
  <c r="F292" i="1"/>
  <c r="V291" i="1"/>
  <c r="Q291" i="1"/>
  <c r="AR291" i="1" s="1"/>
  <c r="P291" i="1"/>
  <c r="F291" i="1"/>
  <c r="V290" i="1"/>
  <c r="Q290" i="1"/>
  <c r="AR290" i="1" s="1"/>
  <c r="P290" i="1"/>
  <c r="AQ290" i="1" s="1"/>
  <c r="F290" i="1"/>
  <c r="V289" i="1"/>
  <c r="Q289" i="1"/>
  <c r="P289" i="1" s="1"/>
  <c r="AQ289" i="1" s="1"/>
  <c r="F289" i="1"/>
  <c r="AR288" i="1"/>
  <c r="V288" i="1"/>
  <c r="Q288" i="1"/>
  <c r="P288" i="1"/>
  <c r="AQ288" i="1" s="1"/>
  <c r="F288" i="1"/>
  <c r="V287" i="1"/>
  <c r="Q287" i="1"/>
  <c r="AR287" i="1" s="1"/>
  <c r="F287" i="1"/>
  <c r="V286" i="1"/>
  <c r="Q286" i="1"/>
  <c r="AR286" i="1" s="1"/>
  <c r="P286" i="1"/>
  <c r="AQ286" i="1" s="1"/>
  <c r="F286" i="1"/>
  <c r="V285" i="1"/>
  <c r="Q285" i="1"/>
  <c r="P285" i="1" s="1"/>
  <c r="AQ285" i="1" s="1"/>
  <c r="F285" i="1"/>
  <c r="V284" i="1"/>
  <c r="Q284" i="1"/>
  <c r="F284" i="1"/>
  <c r="V283" i="1"/>
  <c r="Q283" i="1"/>
  <c r="F283" i="1"/>
  <c r="V282" i="1"/>
  <c r="Q282" i="1"/>
  <c r="AR282" i="1" s="1"/>
  <c r="P282" i="1"/>
  <c r="AQ282" i="1" s="1"/>
  <c r="F282" i="1"/>
  <c r="V281" i="1"/>
  <c r="Q281" i="1"/>
  <c r="F281" i="1"/>
  <c r="V280" i="1"/>
  <c r="Q280" i="1"/>
  <c r="AR280" i="1" s="1"/>
  <c r="F280" i="1"/>
  <c r="V279" i="1"/>
  <c r="Q279" i="1"/>
  <c r="AR279" i="1" s="1"/>
  <c r="F279" i="1"/>
  <c r="V278" i="1"/>
  <c r="Q278" i="1"/>
  <c r="P278" i="1" s="1"/>
  <c r="AQ278" i="1" s="1"/>
  <c r="F278" i="1"/>
  <c r="V277" i="1"/>
  <c r="Q277" i="1"/>
  <c r="P277" i="1" s="1"/>
  <c r="F277" i="1"/>
  <c r="AR276" i="1"/>
  <c r="V276" i="1"/>
  <c r="Q276" i="1"/>
  <c r="P276" i="1"/>
  <c r="AQ276" i="1" s="1"/>
  <c r="F276" i="1"/>
  <c r="V275" i="1"/>
  <c r="Q275" i="1"/>
  <c r="AR275" i="1" s="1"/>
  <c r="F275" i="1"/>
  <c r="V274" i="1"/>
  <c r="Q274" i="1"/>
  <c r="AR274" i="1" s="1"/>
  <c r="F274" i="1"/>
  <c r="V273" i="1"/>
  <c r="Q273" i="1"/>
  <c r="P273" i="1" s="1"/>
  <c r="AQ273" i="1" s="1"/>
  <c r="F273" i="1"/>
  <c r="V272" i="1"/>
  <c r="Q272" i="1"/>
  <c r="P272" i="1" s="1"/>
  <c r="AQ272" i="1" s="1"/>
  <c r="F272" i="1"/>
  <c r="V271" i="1"/>
  <c r="Q271" i="1"/>
  <c r="AR271" i="1" s="1"/>
  <c r="P271" i="1"/>
  <c r="F271" i="1"/>
  <c r="AR270" i="1"/>
  <c r="V270" i="1"/>
  <c r="Q270" i="1"/>
  <c r="P270" i="1" s="1"/>
  <c r="AQ270" i="1" s="1"/>
  <c r="F270" i="1"/>
  <c r="V269" i="1"/>
  <c r="Q269" i="1"/>
  <c r="P269" i="1" s="1"/>
  <c r="AQ269" i="1" s="1"/>
  <c r="F269" i="1"/>
  <c r="V268" i="1"/>
  <c r="Q268" i="1"/>
  <c r="F268" i="1"/>
  <c r="V267" i="1"/>
  <c r="Q267" i="1"/>
  <c r="F267" i="1"/>
  <c r="V266" i="1"/>
  <c r="Q266" i="1"/>
  <c r="AR266" i="1" s="1"/>
  <c r="P266" i="1"/>
  <c r="AQ266" i="1" s="1"/>
  <c r="F266" i="1"/>
  <c r="V265" i="1"/>
  <c r="Q265" i="1"/>
  <c r="F265" i="1"/>
  <c r="V264" i="1"/>
  <c r="Q264" i="1"/>
  <c r="P264" i="1" s="1"/>
  <c r="AQ264" i="1" s="1"/>
  <c r="F264" i="1"/>
  <c r="V263" i="1"/>
  <c r="Q263" i="1"/>
  <c r="AR263" i="1" s="1"/>
  <c r="F263" i="1"/>
  <c r="V262" i="1"/>
  <c r="Q262" i="1"/>
  <c r="AR262" i="1" s="1"/>
  <c r="F262" i="1"/>
  <c r="V261" i="1"/>
  <c r="Q261" i="1"/>
  <c r="P261" i="1" s="1"/>
  <c r="F261" i="1"/>
  <c r="V260" i="1"/>
  <c r="Q260" i="1"/>
  <c r="AR260" i="1" s="1"/>
  <c r="F260" i="1"/>
  <c r="V259" i="1"/>
  <c r="Q259" i="1"/>
  <c r="AR259" i="1" s="1"/>
  <c r="P259" i="1"/>
  <c r="F259" i="1"/>
  <c r="V258" i="1"/>
  <c r="Q258" i="1"/>
  <c r="AR258" i="1" s="1"/>
  <c r="P258" i="1"/>
  <c r="AQ258" i="1" s="1"/>
  <c r="F258" i="1"/>
  <c r="V257" i="1"/>
  <c r="Q257" i="1"/>
  <c r="P257" i="1" s="1"/>
  <c r="AQ257" i="1" s="1"/>
  <c r="F257" i="1"/>
  <c r="AR256" i="1"/>
  <c r="V256" i="1"/>
  <c r="Q256" i="1"/>
  <c r="P256" i="1"/>
  <c r="AQ256" i="1" s="1"/>
  <c r="F256" i="1"/>
  <c r="V255" i="1"/>
  <c r="Q255" i="1"/>
  <c r="AR255" i="1" s="1"/>
  <c r="F255" i="1"/>
  <c r="V254" i="1"/>
  <c r="Q254" i="1"/>
  <c r="AR254" i="1" s="1"/>
  <c r="F254" i="1"/>
  <c r="V253" i="1"/>
  <c r="Q253" i="1"/>
  <c r="P253" i="1" s="1"/>
  <c r="AQ253" i="1" s="1"/>
  <c r="F253" i="1"/>
  <c r="V252" i="1"/>
  <c r="Q252" i="1"/>
  <c r="F252" i="1"/>
  <c r="V251" i="1"/>
  <c r="Q251" i="1"/>
  <c r="F251" i="1"/>
  <c r="V250" i="1"/>
  <c r="Q250" i="1"/>
  <c r="AR250" i="1" s="1"/>
  <c r="P250" i="1"/>
  <c r="AQ250" i="1" s="1"/>
  <c r="F250" i="1"/>
  <c r="V249" i="1"/>
  <c r="Q249" i="1"/>
  <c r="F249" i="1"/>
  <c r="V248" i="1"/>
  <c r="Q248" i="1"/>
  <c r="AR248" i="1" s="1"/>
  <c r="F248" i="1"/>
  <c r="V247" i="1"/>
  <c r="Q247" i="1"/>
  <c r="AR247" i="1" s="1"/>
  <c r="F247" i="1"/>
  <c r="AR246" i="1"/>
  <c r="V246" i="1"/>
  <c r="Q246" i="1"/>
  <c r="P246" i="1" s="1"/>
  <c r="AQ246" i="1" s="1"/>
  <c r="F246" i="1"/>
  <c r="V245" i="1"/>
  <c r="Q245" i="1"/>
  <c r="P245" i="1" s="1"/>
  <c r="AQ245" i="1" s="1"/>
  <c r="F245" i="1"/>
  <c r="V244" i="1"/>
  <c r="Q244" i="1"/>
  <c r="AR244" i="1" s="1"/>
  <c r="P244" i="1"/>
  <c r="AQ244" i="1" s="1"/>
  <c r="F244" i="1"/>
  <c r="V243" i="1"/>
  <c r="Q243" i="1"/>
  <c r="AR243" i="1" s="1"/>
  <c r="P243" i="1"/>
  <c r="AQ243" i="1" s="1"/>
  <c r="F243" i="1"/>
  <c r="AR242" i="1"/>
  <c r="V242" i="1"/>
  <c r="Q242" i="1"/>
  <c r="P242" i="1"/>
  <c r="F242" i="1"/>
  <c r="AR241" i="1"/>
  <c r="V241" i="1"/>
  <c r="AQ241" i="1" s="1"/>
  <c r="Q241" i="1"/>
  <c r="P241" i="1" s="1"/>
  <c r="F241" i="1"/>
  <c r="V240" i="1"/>
  <c r="Q240" i="1"/>
  <c r="AR240" i="1" s="1"/>
  <c r="P240" i="1"/>
  <c r="AQ240" i="1" s="1"/>
  <c r="F240" i="1"/>
  <c r="V239" i="1"/>
  <c r="Q239" i="1"/>
  <c r="AR239" i="1" s="1"/>
  <c r="P239" i="1"/>
  <c r="AQ239" i="1" s="1"/>
  <c r="F239" i="1"/>
  <c r="AR238" i="1"/>
  <c r="AQ238" i="1"/>
  <c r="V238" i="1"/>
  <c r="Q238" i="1"/>
  <c r="P238" i="1"/>
  <c r="F238" i="1"/>
  <c r="AR237" i="1"/>
  <c r="V237" i="1"/>
  <c r="Q237" i="1"/>
  <c r="P237" i="1" s="1"/>
  <c r="F237" i="1"/>
  <c r="V236" i="1"/>
  <c r="Q236" i="1"/>
  <c r="F236" i="1"/>
  <c r="V235" i="1"/>
  <c r="Q235" i="1"/>
  <c r="F235" i="1"/>
  <c r="V234" i="1"/>
  <c r="Q234" i="1"/>
  <c r="AR234" i="1" s="1"/>
  <c r="P234" i="1"/>
  <c r="AQ234" i="1" s="1"/>
  <c r="F234" i="1"/>
  <c r="V233" i="1"/>
  <c r="Q233" i="1"/>
  <c r="F233" i="1"/>
  <c r="V232" i="1"/>
  <c r="Q232" i="1"/>
  <c r="P232" i="1" s="1"/>
  <c r="AQ232" i="1" s="1"/>
  <c r="F232" i="1"/>
  <c r="V231" i="1"/>
  <c r="Q231" i="1"/>
  <c r="AR231" i="1" s="1"/>
  <c r="F231" i="1"/>
  <c r="AR230" i="1"/>
  <c r="V230" i="1"/>
  <c r="Q230" i="1"/>
  <c r="P230" i="1"/>
  <c r="F230" i="1"/>
  <c r="V229" i="1"/>
  <c r="Q229" i="1"/>
  <c r="P229" i="1" s="1"/>
  <c r="F229" i="1"/>
  <c r="V228" i="1"/>
  <c r="Q228" i="1"/>
  <c r="AR228" i="1" s="1"/>
  <c r="P228" i="1"/>
  <c r="AQ228" i="1" s="1"/>
  <c r="F228" i="1"/>
  <c r="V227" i="1"/>
  <c r="Q227" i="1"/>
  <c r="AR227" i="1" s="1"/>
  <c r="F227" i="1"/>
  <c r="V226" i="1"/>
  <c r="Q226" i="1"/>
  <c r="AR226" i="1" s="1"/>
  <c r="P226" i="1"/>
  <c r="AQ226" i="1" s="1"/>
  <c r="F226" i="1"/>
  <c r="V225" i="1"/>
  <c r="Q225" i="1"/>
  <c r="P225" i="1" s="1"/>
  <c r="AQ225" i="1" s="1"/>
  <c r="F225" i="1"/>
  <c r="V224" i="1"/>
  <c r="Q224" i="1"/>
  <c r="AR224" i="1" s="1"/>
  <c r="P224" i="1"/>
  <c r="AQ224" i="1" s="1"/>
  <c r="F224" i="1"/>
  <c r="V223" i="1"/>
  <c r="Q223" i="1"/>
  <c r="AR223" i="1" s="1"/>
  <c r="P223" i="1"/>
  <c r="F223" i="1"/>
  <c r="V222" i="1"/>
  <c r="AQ222" i="1" s="1"/>
  <c r="Q222" i="1"/>
  <c r="AR222" i="1" s="1"/>
  <c r="P222" i="1"/>
  <c r="F222" i="1"/>
  <c r="AR221" i="1"/>
  <c r="V221" i="1"/>
  <c r="AQ221" i="1" s="1"/>
  <c r="Q221" i="1"/>
  <c r="P221" i="1" s="1"/>
  <c r="F221" i="1"/>
  <c r="V220" i="1"/>
  <c r="Q220" i="1"/>
  <c r="F220" i="1"/>
  <c r="V219" i="1"/>
  <c r="Q219" i="1"/>
  <c r="F219" i="1"/>
  <c r="V218" i="1"/>
  <c r="Q218" i="1"/>
  <c r="P218" i="1" s="1"/>
  <c r="AQ218" i="1" s="1"/>
  <c r="F218" i="1"/>
  <c r="V217" i="1"/>
  <c r="Q217" i="1"/>
  <c r="F217" i="1"/>
  <c r="V216" i="1"/>
  <c r="Q216" i="1"/>
  <c r="AR216" i="1" s="1"/>
  <c r="F216" i="1"/>
  <c r="V215" i="1"/>
  <c r="Q215" i="1"/>
  <c r="AR215" i="1" s="1"/>
  <c r="F215" i="1"/>
  <c r="AR214" i="1"/>
  <c r="V214" i="1"/>
  <c r="Q214" i="1"/>
  <c r="P214" i="1" s="1"/>
  <c r="AQ214" i="1" s="1"/>
  <c r="F214" i="1"/>
  <c r="V213" i="1"/>
  <c r="Q213" i="1"/>
  <c r="P213" i="1" s="1"/>
  <c r="AQ213" i="1" s="1"/>
  <c r="F213" i="1"/>
  <c r="V212" i="1"/>
  <c r="Q212" i="1"/>
  <c r="AR212" i="1" s="1"/>
  <c r="P212" i="1"/>
  <c r="AQ212" i="1" s="1"/>
  <c r="F212" i="1"/>
  <c r="V211" i="1"/>
  <c r="Q211" i="1"/>
  <c r="AR211" i="1" s="1"/>
  <c r="P211" i="1"/>
  <c r="AQ211" i="1" s="1"/>
  <c r="F211" i="1"/>
  <c r="AR210" i="1"/>
  <c r="V210" i="1"/>
  <c r="Q210" i="1"/>
  <c r="P210" i="1"/>
  <c r="AQ210" i="1" s="1"/>
  <c r="F210" i="1"/>
  <c r="AR209" i="1"/>
  <c r="AQ209" i="1"/>
  <c r="V209" i="1"/>
  <c r="Q209" i="1"/>
  <c r="P209" i="1" s="1"/>
  <c r="F209" i="1"/>
  <c r="V208" i="1"/>
  <c r="Q208" i="1"/>
  <c r="AR208" i="1" s="1"/>
  <c r="P208" i="1"/>
  <c r="AQ208" i="1" s="1"/>
  <c r="F208" i="1"/>
  <c r="V207" i="1"/>
  <c r="Q207" i="1"/>
  <c r="AR207" i="1" s="1"/>
  <c r="P207" i="1"/>
  <c r="AQ207" i="1" s="1"/>
  <c r="F207" i="1"/>
  <c r="AR206" i="1"/>
  <c r="V206" i="1"/>
  <c r="Q206" i="1"/>
  <c r="P206" i="1"/>
  <c r="AQ206" i="1" s="1"/>
  <c r="F206" i="1"/>
  <c r="V205" i="1"/>
  <c r="Q205" i="1"/>
  <c r="P205" i="1" s="1"/>
  <c r="F205" i="1"/>
  <c r="V204" i="1"/>
  <c r="Q204" i="1"/>
  <c r="F204" i="1"/>
  <c r="V203" i="1"/>
  <c r="Q203" i="1"/>
  <c r="F203" i="1"/>
  <c r="V202" i="1"/>
  <c r="Q202" i="1"/>
  <c r="AR202" i="1" s="1"/>
  <c r="P202" i="1"/>
  <c r="AQ202" i="1" s="1"/>
  <c r="F202" i="1"/>
  <c r="V201" i="1"/>
  <c r="Q201" i="1"/>
  <c r="F201" i="1"/>
  <c r="V200" i="1"/>
  <c r="Q200" i="1"/>
  <c r="P200" i="1" s="1"/>
  <c r="AQ200" i="1" s="1"/>
  <c r="F200" i="1"/>
  <c r="V199" i="1"/>
  <c r="Q199" i="1"/>
  <c r="AR199" i="1" s="1"/>
  <c r="F199" i="1"/>
  <c r="AR198" i="1"/>
  <c r="V198" i="1"/>
  <c r="Q198" i="1"/>
  <c r="P198" i="1"/>
  <c r="F198" i="1"/>
  <c r="V197" i="1"/>
  <c r="Q197" i="1"/>
  <c r="P197" i="1" s="1"/>
  <c r="F197" i="1"/>
  <c r="V196" i="1"/>
  <c r="Q196" i="1"/>
  <c r="AR196" i="1" s="1"/>
  <c r="P196" i="1"/>
  <c r="AQ196" i="1" s="1"/>
  <c r="F196" i="1"/>
  <c r="V195" i="1"/>
  <c r="Q195" i="1"/>
  <c r="AR195" i="1" s="1"/>
  <c r="F195" i="1"/>
  <c r="V194" i="1"/>
  <c r="Q194" i="1"/>
  <c r="P194" i="1" s="1"/>
  <c r="AQ194" i="1" s="1"/>
  <c r="F194" i="1"/>
  <c r="V193" i="1"/>
  <c r="Q193" i="1"/>
  <c r="P193" i="1" s="1"/>
  <c r="AQ193" i="1" s="1"/>
  <c r="F193" i="1"/>
  <c r="V192" i="1"/>
  <c r="Q192" i="1"/>
  <c r="AR192" i="1" s="1"/>
  <c r="P192" i="1"/>
  <c r="AQ192" i="1" s="1"/>
  <c r="F192" i="1"/>
  <c r="V191" i="1"/>
  <c r="Q191" i="1"/>
  <c r="AR191" i="1" s="1"/>
  <c r="F191" i="1"/>
  <c r="V190" i="1"/>
  <c r="AQ190" i="1" s="1"/>
  <c r="Q190" i="1"/>
  <c r="AR190" i="1" s="1"/>
  <c r="P190" i="1"/>
  <c r="F190" i="1"/>
  <c r="AR189" i="1"/>
  <c r="V189" i="1"/>
  <c r="AQ189" i="1" s="1"/>
  <c r="Q189" i="1"/>
  <c r="P189" i="1" s="1"/>
  <c r="F189" i="1"/>
  <c r="V188" i="1"/>
  <c r="Q188" i="1"/>
  <c r="F188" i="1"/>
  <c r="V187" i="1"/>
  <c r="Q187" i="1"/>
  <c r="F187" i="1"/>
  <c r="V186" i="1"/>
  <c r="Q186" i="1"/>
  <c r="P186" i="1" s="1"/>
  <c r="AQ186" i="1" s="1"/>
  <c r="F186" i="1"/>
  <c r="V185" i="1"/>
  <c r="Q185" i="1"/>
  <c r="F185" i="1"/>
  <c r="V184" i="1"/>
  <c r="Q184" i="1"/>
  <c r="AR184" i="1" s="1"/>
  <c r="F184" i="1"/>
  <c r="V183" i="1"/>
  <c r="Q183" i="1"/>
  <c r="AR183" i="1" s="1"/>
  <c r="F183" i="1"/>
  <c r="AR182" i="1"/>
  <c r="V182" i="1"/>
  <c r="Q182" i="1"/>
  <c r="P182" i="1"/>
  <c r="AQ182" i="1" s="1"/>
  <c r="F182" i="1"/>
  <c r="V181" i="1"/>
  <c r="Q181" i="1"/>
  <c r="P181" i="1" s="1"/>
  <c r="F181" i="1"/>
  <c r="V180" i="1"/>
  <c r="Q180" i="1"/>
  <c r="P180" i="1" s="1"/>
  <c r="AQ180" i="1" s="1"/>
  <c r="F180" i="1"/>
  <c r="V179" i="1"/>
  <c r="Q179" i="1"/>
  <c r="AR179" i="1" s="1"/>
  <c r="F179" i="1"/>
  <c r="V178" i="1"/>
  <c r="Q178" i="1"/>
  <c r="AR178" i="1" s="1"/>
  <c r="F178" i="1"/>
  <c r="V177" i="1"/>
  <c r="Q177" i="1"/>
  <c r="P177" i="1" s="1"/>
  <c r="AQ177" i="1" s="1"/>
  <c r="F177" i="1"/>
  <c r="V176" i="1"/>
  <c r="Q176" i="1"/>
  <c r="AR176" i="1" s="1"/>
  <c r="F176" i="1"/>
  <c r="V175" i="1"/>
  <c r="Q175" i="1"/>
  <c r="AR175" i="1" s="1"/>
  <c r="F175" i="1"/>
  <c r="V174" i="1"/>
  <c r="Q174" i="1"/>
  <c r="F174" i="1"/>
  <c r="V173" i="1"/>
  <c r="Q173" i="1"/>
  <c r="AR173" i="1" s="1"/>
  <c r="F173" i="1"/>
  <c r="V172" i="1"/>
  <c r="Q172" i="1"/>
  <c r="F172" i="1"/>
  <c r="V171" i="1"/>
  <c r="Q171" i="1"/>
  <c r="AR171" i="1" s="1"/>
  <c r="P171" i="1"/>
  <c r="AQ171" i="1" s="1"/>
  <c r="F171" i="1"/>
  <c r="V170" i="1"/>
  <c r="Q170" i="1"/>
  <c r="F170" i="1"/>
  <c r="V169" i="1"/>
  <c r="Q169" i="1"/>
  <c r="P169" i="1" s="1"/>
  <c r="AQ169" i="1" s="1"/>
  <c r="F169" i="1"/>
  <c r="V168" i="1"/>
  <c r="Q168" i="1"/>
  <c r="F168" i="1"/>
  <c r="V167" i="1"/>
  <c r="Q167" i="1"/>
  <c r="P167" i="1" s="1"/>
  <c r="AQ167" i="1" s="1"/>
  <c r="F167" i="1"/>
  <c r="V166" i="1"/>
  <c r="Q166" i="1"/>
  <c r="F166" i="1"/>
  <c r="AR165" i="1"/>
  <c r="V165" i="1"/>
  <c r="Q165" i="1"/>
  <c r="P165" i="1"/>
  <c r="AQ165" i="1" s="1"/>
  <c r="F165" i="1"/>
  <c r="V164" i="1"/>
  <c r="Q164" i="1"/>
  <c r="F164" i="1"/>
  <c r="V163" i="1"/>
  <c r="Q163" i="1"/>
  <c r="AR163" i="1" s="1"/>
  <c r="P163" i="1"/>
  <c r="AQ163" i="1" s="1"/>
  <c r="F163" i="1"/>
  <c r="V162" i="1"/>
  <c r="Q162" i="1"/>
  <c r="F162" i="1"/>
  <c r="V161" i="1"/>
  <c r="Q161" i="1"/>
  <c r="AR161" i="1" s="1"/>
  <c r="F161" i="1"/>
  <c r="V160" i="1"/>
  <c r="Q160" i="1"/>
  <c r="F160" i="1"/>
  <c r="V159" i="1"/>
  <c r="Q159" i="1"/>
  <c r="AR159" i="1" s="1"/>
  <c r="F159" i="1"/>
  <c r="V158" i="1"/>
  <c r="Q158" i="1"/>
  <c r="F158" i="1"/>
  <c r="AR157" i="1"/>
  <c r="V157" i="1"/>
  <c r="Q157" i="1"/>
  <c r="P157" i="1" s="1"/>
  <c r="F157" i="1"/>
  <c r="V156" i="1"/>
  <c r="Q156" i="1"/>
  <c r="F156" i="1"/>
  <c r="V155" i="1"/>
  <c r="Q155" i="1"/>
  <c r="AR155" i="1" s="1"/>
  <c r="P155" i="1"/>
  <c r="AQ155" i="1" s="1"/>
  <c r="F155" i="1"/>
  <c r="V154" i="1"/>
  <c r="Q154" i="1"/>
  <c r="F154" i="1"/>
  <c r="V153" i="1"/>
  <c r="Q153" i="1"/>
  <c r="AR153" i="1" s="1"/>
  <c r="F153" i="1"/>
  <c r="V152" i="1"/>
  <c r="Q152" i="1"/>
  <c r="F152" i="1"/>
  <c r="V151" i="1"/>
  <c r="Q151" i="1"/>
  <c r="P151" i="1" s="1"/>
  <c r="AQ151" i="1" s="1"/>
  <c r="F151" i="1"/>
  <c r="V150" i="1"/>
  <c r="Q150" i="1"/>
  <c r="F150" i="1"/>
  <c r="V149" i="1"/>
  <c r="Q149" i="1"/>
  <c r="AR149" i="1" s="1"/>
  <c r="F149" i="1"/>
  <c r="V148" i="1"/>
  <c r="Q148" i="1"/>
  <c r="F148" i="1"/>
  <c r="AR147" i="1"/>
  <c r="V147" i="1"/>
  <c r="Q147" i="1"/>
  <c r="P147" i="1"/>
  <c r="AQ147" i="1" s="1"/>
  <c r="F147" i="1"/>
  <c r="V146" i="1"/>
  <c r="Q146" i="1"/>
  <c r="F146" i="1"/>
  <c r="V145" i="1"/>
  <c r="Q145" i="1"/>
  <c r="P145" i="1" s="1"/>
  <c r="AQ145" i="1" s="1"/>
  <c r="F145" i="1"/>
  <c r="V144" i="1"/>
  <c r="Q144" i="1"/>
  <c r="F144" i="1"/>
  <c r="AR143" i="1"/>
  <c r="V143" i="1"/>
  <c r="Q143" i="1"/>
  <c r="P143" i="1"/>
  <c r="AQ143" i="1" s="1"/>
  <c r="F143" i="1"/>
  <c r="V142" i="1"/>
  <c r="Q142" i="1"/>
  <c r="F142" i="1"/>
  <c r="V141" i="1"/>
  <c r="Q141" i="1"/>
  <c r="AR141" i="1" s="1"/>
  <c r="P141" i="1"/>
  <c r="AQ141" i="1" s="1"/>
  <c r="F141" i="1"/>
  <c r="V140" i="1"/>
  <c r="Q140" i="1"/>
  <c r="F140" i="1"/>
  <c r="V139" i="1"/>
  <c r="Q139" i="1"/>
  <c r="AR139" i="1" s="1"/>
  <c r="P139" i="1"/>
  <c r="AQ139" i="1" s="1"/>
  <c r="F139" i="1"/>
  <c r="V138" i="1"/>
  <c r="Q138" i="1"/>
  <c r="F138" i="1"/>
  <c r="V137" i="1"/>
  <c r="Q137" i="1"/>
  <c r="P137" i="1" s="1"/>
  <c r="AQ137" i="1" s="1"/>
  <c r="F137" i="1"/>
  <c r="V136" i="1"/>
  <c r="Q136" i="1"/>
  <c r="F136" i="1"/>
  <c r="AR135" i="1"/>
  <c r="AQ135" i="1"/>
  <c r="V135" i="1"/>
  <c r="Q135" i="1"/>
  <c r="P135" i="1"/>
  <c r="F135" i="1"/>
  <c r="V134" i="1"/>
  <c r="Q134" i="1"/>
  <c r="F134" i="1"/>
  <c r="V133" i="1"/>
  <c r="Q133" i="1"/>
  <c r="AR133" i="1" s="1"/>
  <c r="P133" i="1"/>
  <c r="AQ133" i="1" s="1"/>
  <c r="F133" i="1"/>
  <c r="V132" i="1"/>
  <c r="Q132" i="1"/>
  <c r="F132" i="1"/>
  <c r="V131" i="1"/>
  <c r="Q131" i="1"/>
  <c r="AR131" i="1" s="1"/>
  <c r="F131" i="1"/>
  <c r="V130" i="1"/>
  <c r="Q130" i="1"/>
  <c r="F130" i="1"/>
  <c r="V129" i="1"/>
  <c r="Q129" i="1"/>
  <c r="AR129" i="1" s="1"/>
  <c r="F129" i="1"/>
  <c r="V128" i="1"/>
  <c r="Q128" i="1"/>
  <c r="F128" i="1"/>
  <c r="AR127" i="1"/>
  <c r="V127" i="1"/>
  <c r="Q127" i="1"/>
  <c r="P127" i="1"/>
  <c r="AQ127" i="1" s="1"/>
  <c r="F127" i="1"/>
  <c r="V126" i="1"/>
  <c r="Q126" i="1"/>
  <c r="F126" i="1"/>
  <c r="V125" i="1"/>
  <c r="Q125" i="1"/>
  <c r="P125" i="1" s="1"/>
  <c r="AQ125" i="1" s="1"/>
  <c r="F125" i="1"/>
  <c r="V124" i="1"/>
  <c r="Q124" i="1"/>
  <c r="F124" i="1"/>
  <c r="V123" i="1"/>
  <c r="Q123" i="1"/>
  <c r="P123" i="1" s="1"/>
  <c r="AQ123" i="1" s="1"/>
  <c r="F123" i="1"/>
  <c r="V122" i="1"/>
  <c r="Q122" i="1"/>
  <c r="F122" i="1"/>
  <c r="V121" i="1"/>
  <c r="Q121" i="1"/>
  <c r="AR121" i="1" s="1"/>
  <c r="F121" i="1"/>
  <c r="V120" i="1"/>
  <c r="Q120" i="1"/>
  <c r="F120" i="1"/>
  <c r="AR119" i="1"/>
  <c r="V119" i="1"/>
  <c r="Q119" i="1"/>
  <c r="P119" i="1"/>
  <c r="F119" i="1"/>
  <c r="V118" i="1"/>
  <c r="Q118" i="1"/>
  <c r="F118" i="1"/>
  <c r="V117" i="1"/>
  <c r="Q117" i="1"/>
  <c r="AR117" i="1" s="1"/>
  <c r="F117" i="1"/>
  <c r="V116" i="1"/>
  <c r="Q116" i="1"/>
  <c r="F116" i="1"/>
  <c r="V115" i="1"/>
  <c r="Q115" i="1"/>
  <c r="AR115" i="1" s="1"/>
  <c r="P115" i="1"/>
  <c r="AQ115" i="1" s="1"/>
  <c r="F115" i="1"/>
  <c r="V114" i="1"/>
  <c r="Q114" i="1"/>
  <c r="F114" i="1"/>
  <c r="AR113" i="1"/>
  <c r="AQ113" i="1"/>
  <c r="V113" i="1"/>
  <c r="Q113" i="1"/>
  <c r="P113" i="1"/>
  <c r="F113" i="1"/>
  <c r="V112" i="1"/>
  <c r="Q112" i="1"/>
  <c r="F112" i="1"/>
  <c r="V111" i="1"/>
  <c r="Q111" i="1"/>
  <c r="AR111" i="1" s="1"/>
  <c r="P111" i="1"/>
  <c r="AQ111" i="1" s="1"/>
  <c r="F111" i="1"/>
  <c r="V110" i="1"/>
  <c r="Q110" i="1"/>
  <c r="F110" i="1"/>
  <c r="V109" i="1"/>
  <c r="Q109" i="1"/>
  <c r="AR109" i="1" s="1"/>
  <c r="P109" i="1"/>
  <c r="AQ109" i="1" s="1"/>
  <c r="F109" i="1"/>
  <c r="V108" i="1"/>
  <c r="Q108" i="1"/>
  <c r="F108" i="1"/>
  <c r="AR107" i="1"/>
  <c r="V107" i="1"/>
  <c r="Q107" i="1"/>
  <c r="P107" i="1" s="1"/>
  <c r="AQ107" i="1" s="1"/>
  <c r="F107" i="1"/>
  <c r="V106" i="1"/>
  <c r="Q106" i="1"/>
  <c r="F106" i="1"/>
  <c r="V105" i="1"/>
  <c r="Q105" i="1"/>
  <c r="P105" i="1" s="1"/>
  <c r="AQ105" i="1" s="1"/>
  <c r="F105" i="1"/>
  <c r="V104" i="1"/>
  <c r="Q104" i="1"/>
  <c r="F104" i="1"/>
  <c r="V103" i="1"/>
  <c r="Q103" i="1"/>
  <c r="AR103" i="1" s="1"/>
  <c r="P103" i="1"/>
  <c r="AQ103" i="1" s="1"/>
  <c r="F103" i="1"/>
  <c r="V102" i="1"/>
  <c r="Q102" i="1"/>
  <c r="F102" i="1"/>
  <c r="V101" i="1"/>
  <c r="Q101" i="1"/>
  <c r="P101" i="1" s="1"/>
  <c r="AQ101" i="1" s="1"/>
  <c r="F101" i="1"/>
  <c r="V100" i="1"/>
  <c r="Q100" i="1"/>
  <c r="F100" i="1"/>
  <c r="V99" i="1"/>
  <c r="Q99" i="1"/>
  <c r="AR99" i="1" s="1"/>
  <c r="P99" i="1"/>
  <c r="F99" i="1"/>
  <c r="V98" i="1"/>
  <c r="Q98" i="1"/>
  <c r="AR98" i="1" s="1"/>
  <c r="F98" i="1"/>
  <c r="V97" i="1"/>
  <c r="Q97" i="1"/>
  <c r="P97" i="1" s="1"/>
  <c r="AQ97" i="1" s="1"/>
  <c r="F97" i="1"/>
  <c r="V96" i="1"/>
  <c r="Q96" i="1"/>
  <c r="P96" i="1" s="1"/>
  <c r="F96" i="1"/>
  <c r="V95" i="1"/>
  <c r="Q95" i="1"/>
  <c r="AR95" i="1" s="1"/>
  <c r="P95" i="1"/>
  <c r="AQ95" i="1" s="1"/>
  <c r="F95" i="1"/>
  <c r="V94" i="1"/>
  <c r="Q94" i="1"/>
  <c r="AR94" i="1" s="1"/>
  <c r="F94" i="1"/>
  <c r="V93" i="1"/>
  <c r="Q93" i="1"/>
  <c r="AR93" i="1" s="1"/>
  <c r="F93" i="1"/>
  <c r="V92" i="1"/>
  <c r="Q92" i="1"/>
  <c r="P92" i="1" s="1"/>
  <c r="AQ92" i="1" s="1"/>
  <c r="F92" i="1"/>
  <c r="AR91" i="1"/>
  <c r="V91" i="1"/>
  <c r="Q91" i="1"/>
  <c r="P91" i="1" s="1"/>
  <c r="F91" i="1"/>
  <c r="V90" i="1"/>
  <c r="Q90" i="1"/>
  <c r="AR90" i="1" s="1"/>
  <c r="F90" i="1"/>
  <c r="V89" i="1"/>
  <c r="Q89" i="1"/>
  <c r="AR89" i="1" s="1"/>
  <c r="F89" i="1"/>
  <c r="V88" i="1"/>
  <c r="Q88" i="1"/>
  <c r="P88" i="1" s="1"/>
  <c r="AQ88" i="1" s="1"/>
  <c r="F88" i="1"/>
  <c r="V87" i="1"/>
  <c r="Q87" i="1"/>
  <c r="AR87" i="1" s="1"/>
  <c r="P87" i="1"/>
  <c r="AQ87" i="1" s="1"/>
  <c r="F87" i="1"/>
  <c r="V86" i="1"/>
  <c r="Q86" i="1"/>
  <c r="AR86" i="1" s="1"/>
  <c r="F86" i="1"/>
  <c r="V85" i="1"/>
  <c r="Q85" i="1"/>
  <c r="P85" i="1" s="1"/>
  <c r="AQ85" i="1" s="1"/>
  <c r="F85" i="1"/>
  <c r="V84" i="1"/>
  <c r="Q84" i="1"/>
  <c r="P84" i="1" s="1"/>
  <c r="AQ84" i="1" s="1"/>
  <c r="F84" i="1"/>
  <c r="V83" i="1"/>
  <c r="Q83" i="1"/>
  <c r="AR83" i="1" s="1"/>
  <c r="P83" i="1"/>
  <c r="AQ83" i="1" s="1"/>
  <c r="F83" i="1"/>
  <c r="V82" i="1"/>
  <c r="Q82" i="1"/>
  <c r="AR82" i="1" s="1"/>
  <c r="F82" i="1"/>
  <c r="V81" i="1"/>
  <c r="Q81" i="1"/>
  <c r="P81" i="1" s="1"/>
  <c r="AQ81" i="1" s="1"/>
  <c r="F81" i="1"/>
  <c r="V80" i="1"/>
  <c r="Q80" i="1"/>
  <c r="P80" i="1" s="1"/>
  <c r="F80" i="1"/>
  <c r="V79" i="1"/>
  <c r="Q79" i="1"/>
  <c r="P79" i="1" s="1"/>
  <c r="AQ79" i="1" s="1"/>
  <c r="F79" i="1"/>
  <c r="V78" i="1"/>
  <c r="Q78" i="1"/>
  <c r="AR78" i="1" s="1"/>
  <c r="F78" i="1"/>
  <c r="V77" i="1"/>
  <c r="Q77" i="1"/>
  <c r="AR77" i="1" s="1"/>
  <c r="F77" i="1"/>
  <c r="V76" i="1"/>
  <c r="Q76" i="1"/>
  <c r="AR76" i="1" s="1"/>
  <c r="F76" i="1"/>
  <c r="AR75" i="1"/>
  <c r="V75" i="1"/>
  <c r="Q75" i="1"/>
  <c r="P75" i="1"/>
  <c r="AQ75" i="1" s="1"/>
  <c r="F75" i="1"/>
  <c r="V74" i="1"/>
  <c r="Q74" i="1"/>
  <c r="P74" i="1" s="1"/>
  <c r="F74" i="1"/>
  <c r="V73" i="1"/>
  <c r="Q73" i="1"/>
  <c r="AR73" i="1" s="1"/>
  <c r="F73" i="1"/>
  <c r="V72" i="1"/>
  <c r="Q72" i="1"/>
  <c r="AR72" i="1" s="1"/>
  <c r="F72" i="1"/>
  <c r="V71" i="1"/>
  <c r="Q71" i="1"/>
  <c r="AR71" i="1" s="1"/>
  <c r="F71" i="1"/>
  <c r="V70" i="1"/>
  <c r="Q70" i="1"/>
  <c r="P70" i="1" s="1"/>
  <c r="AQ70" i="1" s="1"/>
  <c r="F70" i="1"/>
  <c r="V69" i="1"/>
  <c r="Q69" i="1"/>
  <c r="AR69" i="1" s="1"/>
  <c r="F69" i="1"/>
  <c r="V68" i="1"/>
  <c r="Q68" i="1"/>
  <c r="AR68" i="1" s="1"/>
  <c r="F68" i="1"/>
  <c r="AR67" i="1"/>
  <c r="V67" i="1"/>
  <c r="Q67" i="1"/>
  <c r="P67" i="1"/>
  <c r="AQ67" i="1" s="1"/>
  <c r="F67" i="1"/>
  <c r="V66" i="1"/>
  <c r="Q66" i="1"/>
  <c r="P66" i="1" s="1"/>
  <c r="F66" i="1"/>
  <c r="V65" i="1"/>
  <c r="Q65" i="1"/>
  <c r="AR65" i="1" s="1"/>
  <c r="F65" i="1"/>
  <c r="V64" i="1"/>
  <c r="Q64" i="1"/>
  <c r="AR64" i="1" s="1"/>
  <c r="F64" i="1"/>
  <c r="V63" i="1"/>
  <c r="Q63" i="1"/>
  <c r="P63" i="1" s="1"/>
  <c r="AQ63" i="1" s="1"/>
  <c r="F63" i="1"/>
  <c r="V62" i="1"/>
  <c r="Q62" i="1"/>
  <c r="P62" i="1" s="1"/>
  <c r="AQ62" i="1" s="1"/>
  <c r="F62" i="1"/>
  <c r="V61" i="1"/>
  <c r="Q61" i="1"/>
  <c r="AR61" i="1" s="1"/>
  <c r="F61" i="1"/>
  <c r="V60" i="1"/>
  <c r="Q60" i="1"/>
  <c r="AR60" i="1" s="1"/>
  <c r="F60" i="1"/>
  <c r="AR59" i="1"/>
  <c r="V59" i="1"/>
  <c r="Q59" i="1"/>
  <c r="P59" i="1"/>
  <c r="AQ59" i="1" s="1"/>
  <c r="F59" i="1"/>
  <c r="V58" i="1"/>
  <c r="Q58" i="1"/>
  <c r="P58" i="1" s="1"/>
  <c r="F58" i="1"/>
  <c r="V57" i="1"/>
  <c r="Q57" i="1"/>
  <c r="AR57" i="1" s="1"/>
  <c r="F57" i="1"/>
  <c r="V56" i="1"/>
  <c r="Q56" i="1"/>
  <c r="AR56" i="1" s="1"/>
  <c r="F56" i="1"/>
  <c r="V55" i="1"/>
  <c r="Q55" i="1"/>
  <c r="AR55" i="1" s="1"/>
  <c r="F55" i="1"/>
  <c r="V54" i="1"/>
  <c r="Q54" i="1"/>
  <c r="P54" i="1" s="1"/>
  <c r="AQ54" i="1" s="1"/>
  <c r="F54" i="1"/>
  <c r="V53" i="1"/>
  <c r="Q53" i="1"/>
  <c r="AR53" i="1" s="1"/>
  <c r="F53" i="1"/>
  <c r="V52" i="1"/>
  <c r="Q52" i="1"/>
  <c r="AR52" i="1" s="1"/>
  <c r="F52" i="1"/>
  <c r="AR51" i="1"/>
  <c r="V51" i="1"/>
  <c r="Q51" i="1"/>
  <c r="P51" i="1"/>
  <c r="AQ51" i="1" s="1"/>
  <c r="F51" i="1"/>
  <c r="V50" i="1"/>
  <c r="Q50" i="1"/>
  <c r="P50" i="1" s="1"/>
  <c r="F50" i="1"/>
  <c r="V49" i="1"/>
  <c r="Q49" i="1"/>
  <c r="AR49" i="1" s="1"/>
  <c r="F49" i="1"/>
  <c r="V48" i="1"/>
  <c r="Q48" i="1"/>
  <c r="AR48" i="1" s="1"/>
  <c r="F48" i="1"/>
  <c r="V47" i="1"/>
  <c r="Q47" i="1"/>
  <c r="P47" i="1" s="1"/>
  <c r="AQ47" i="1" s="1"/>
  <c r="F47" i="1"/>
  <c r="V46" i="1"/>
  <c r="Q46" i="1"/>
  <c r="P46" i="1" s="1"/>
  <c r="AQ46" i="1" s="1"/>
  <c r="F46" i="1"/>
  <c r="V45" i="1"/>
  <c r="Q45" i="1"/>
  <c r="AR45" i="1" s="1"/>
  <c r="F45" i="1"/>
  <c r="V44" i="1"/>
  <c r="Q44" i="1"/>
  <c r="AR44" i="1" s="1"/>
  <c r="F44" i="1"/>
  <c r="AR43" i="1"/>
  <c r="V43" i="1"/>
  <c r="Q43" i="1"/>
  <c r="P43" i="1"/>
  <c r="AQ43" i="1" s="1"/>
  <c r="F43" i="1"/>
  <c r="V42" i="1"/>
  <c r="Q42" i="1"/>
  <c r="P42" i="1" s="1"/>
  <c r="F42" i="1"/>
  <c r="V41" i="1"/>
  <c r="Q41" i="1"/>
  <c r="AR41" i="1" s="1"/>
  <c r="F41" i="1"/>
  <c r="V40" i="1"/>
  <c r="Q40" i="1"/>
  <c r="AR40" i="1" s="1"/>
  <c r="F40" i="1"/>
  <c r="V39" i="1"/>
  <c r="Q39" i="1"/>
  <c r="AR39" i="1" s="1"/>
  <c r="F39" i="1"/>
  <c r="V38" i="1"/>
  <c r="Q38" i="1"/>
  <c r="P38" i="1" s="1"/>
  <c r="AQ38" i="1" s="1"/>
  <c r="F38" i="1"/>
  <c r="V37" i="1"/>
  <c r="Q37" i="1"/>
  <c r="AR37" i="1" s="1"/>
  <c r="F37" i="1"/>
  <c r="V36" i="1"/>
  <c r="Q36" i="1"/>
  <c r="AR36" i="1" s="1"/>
  <c r="F36" i="1"/>
  <c r="AR35" i="1"/>
  <c r="V35" i="1"/>
  <c r="Q35" i="1"/>
  <c r="P35" i="1"/>
  <c r="AQ35" i="1" s="1"/>
  <c r="F35" i="1"/>
  <c r="V34" i="1"/>
  <c r="Q34" i="1"/>
  <c r="P34" i="1" s="1"/>
  <c r="F34" i="1"/>
  <c r="V33" i="1"/>
  <c r="Q33" i="1"/>
  <c r="AR33" i="1" s="1"/>
  <c r="F33" i="1"/>
  <c r="V32" i="1"/>
  <c r="Q32" i="1"/>
  <c r="AR32" i="1" s="1"/>
  <c r="F32" i="1"/>
  <c r="V31" i="1"/>
  <c r="Q31" i="1"/>
  <c r="P31" i="1" s="1"/>
  <c r="AQ31" i="1" s="1"/>
  <c r="F31" i="1"/>
  <c r="V30" i="1"/>
  <c r="Q30" i="1"/>
  <c r="P30" i="1" s="1"/>
  <c r="AQ30" i="1" s="1"/>
  <c r="F30" i="1"/>
  <c r="V29" i="1"/>
  <c r="Q29" i="1"/>
  <c r="AR29" i="1" s="1"/>
  <c r="F29" i="1"/>
  <c r="V28" i="1"/>
  <c r="Q28" i="1"/>
  <c r="AR28" i="1" s="1"/>
  <c r="F28" i="1"/>
  <c r="AR27" i="1"/>
  <c r="V27" i="1"/>
  <c r="Q27" i="1"/>
  <c r="P27" i="1"/>
  <c r="AQ27" i="1" s="1"/>
  <c r="F27" i="1"/>
  <c r="V26" i="1"/>
  <c r="Q26" i="1"/>
  <c r="P26" i="1" s="1"/>
  <c r="F26" i="1"/>
  <c r="V25" i="1"/>
  <c r="Q25" i="1"/>
  <c r="AR25" i="1" s="1"/>
  <c r="F25" i="1"/>
  <c r="V24" i="1"/>
  <c r="Q24" i="1"/>
  <c r="AR24" i="1" s="1"/>
  <c r="F24" i="1"/>
  <c r="V23" i="1"/>
  <c r="Q23" i="1"/>
  <c r="AR23" i="1" s="1"/>
  <c r="F23" i="1"/>
  <c r="V22" i="1"/>
  <c r="Q22" i="1"/>
  <c r="P22" i="1" s="1"/>
  <c r="AQ22" i="1" s="1"/>
  <c r="F22" i="1"/>
  <c r="V21" i="1"/>
  <c r="Q21" i="1"/>
  <c r="AR21" i="1" s="1"/>
  <c r="F21" i="1"/>
  <c r="V20" i="1"/>
  <c r="Q20" i="1"/>
  <c r="AR20" i="1" s="1"/>
  <c r="F20" i="1"/>
  <c r="AR19" i="1"/>
  <c r="V19" i="1"/>
  <c r="Q19" i="1"/>
  <c r="P19" i="1"/>
  <c r="AQ19" i="1" s="1"/>
  <c r="F19" i="1"/>
  <c r="V18" i="1"/>
  <c r="Q18" i="1"/>
  <c r="P18" i="1" s="1"/>
  <c r="F18" i="1"/>
  <c r="V17" i="1"/>
  <c r="Q17" i="1"/>
  <c r="AR17" i="1" s="1"/>
  <c r="F17" i="1"/>
  <c r="V16" i="1"/>
  <c r="Q16" i="1"/>
  <c r="AR16" i="1" s="1"/>
  <c r="F16" i="1"/>
  <c r="V15" i="1"/>
  <c r="Q15" i="1"/>
  <c r="P15" i="1" s="1"/>
  <c r="AQ15" i="1" s="1"/>
  <c r="F15" i="1"/>
  <c r="V14" i="1"/>
  <c r="Q14" i="1"/>
  <c r="P14" i="1" s="1"/>
  <c r="AQ14" i="1" s="1"/>
  <c r="F14" i="1"/>
  <c r="V13" i="1"/>
  <c r="Q13" i="1"/>
  <c r="AR13" i="1" s="1"/>
  <c r="F13" i="1"/>
  <c r="V12" i="1"/>
  <c r="Q12" i="1"/>
  <c r="AR12" i="1" s="1"/>
  <c r="F12" i="1"/>
  <c r="AR11" i="1"/>
  <c r="V11" i="1"/>
  <c r="Q11" i="1"/>
  <c r="P11" i="1"/>
  <c r="AQ11" i="1" s="1"/>
  <c r="F11" i="1"/>
  <c r="V10" i="1"/>
  <c r="Q10" i="1"/>
  <c r="P10" i="1" s="1"/>
  <c r="F10" i="1"/>
  <c r="V9" i="1"/>
  <c r="Q9" i="1"/>
  <c r="AR9" i="1" s="1"/>
  <c r="F9" i="1"/>
  <c r="V8" i="1"/>
  <c r="Q8" i="1"/>
  <c r="AR8" i="1" s="1"/>
  <c r="F8" i="1"/>
  <c r="V7" i="1"/>
  <c r="Q7" i="1"/>
  <c r="AR7" i="1" s="1"/>
  <c r="F7" i="1"/>
  <c r="V6" i="1"/>
  <c r="Q6" i="1"/>
  <c r="P6" i="1" s="1"/>
  <c r="AQ6" i="1" s="1"/>
  <c r="F6" i="1"/>
  <c r="V5" i="1"/>
  <c r="Q5" i="1"/>
  <c r="AR5" i="1" s="1"/>
  <c r="F5" i="1"/>
  <c r="V4" i="1"/>
  <c r="Q4" i="1"/>
  <c r="P4" i="1"/>
  <c r="AQ4" i="1" s="1"/>
  <c r="F4" i="1"/>
  <c r="AQ197" i="1" l="1"/>
  <c r="AR278" i="1"/>
  <c r="AR15" i="1"/>
  <c r="AR31" i="1"/>
  <c r="AR47" i="1"/>
  <c r="AR63" i="1"/>
  <c r="AR85" i="1"/>
  <c r="AR88" i="1"/>
  <c r="AR123" i="1"/>
  <c r="AR145" i="1"/>
  <c r="AR167" i="1"/>
  <c r="AR177" i="1"/>
  <c r="AR186" i="1"/>
  <c r="AR218" i="1"/>
  <c r="AR253" i="1"/>
  <c r="AQ261" i="1"/>
  <c r="AR273" i="1"/>
  <c r="AQ296" i="1"/>
  <c r="AR302" i="1"/>
  <c r="AQ325" i="1"/>
  <c r="AR79" i="1"/>
  <c r="AR101" i="1"/>
  <c r="AR194" i="1"/>
  <c r="AQ229" i="1"/>
  <c r="P7" i="1"/>
  <c r="AQ7" i="1" s="1"/>
  <c r="AQ80" i="1"/>
  <c r="AQ99" i="1"/>
  <c r="AR180" i="1"/>
  <c r="AQ198" i="1"/>
  <c r="AQ230" i="1"/>
  <c r="AQ242" i="1"/>
  <c r="AQ271" i="1"/>
  <c r="AR285" i="1"/>
  <c r="AQ293" i="1"/>
  <c r="AR305" i="1"/>
  <c r="AR151" i="1"/>
  <c r="AQ10" i="1"/>
  <c r="P23" i="1"/>
  <c r="AQ23" i="1" s="1"/>
  <c r="AQ26" i="1"/>
  <c r="P39" i="1"/>
  <c r="AQ39" i="1" s="1"/>
  <c r="AQ42" i="1"/>
  <c r="P55" i="1"/>
  <c r="AQ55" i="1" s="1"/>
  <c r="AQ58" i="1"/>
  <c r="P71" i="1"/>
  <c r="AQ71" i="1" s="1"/>
  <c r="AQ74" i="1"/>
  <c r="AQ96" i="1"/>
  <c r="P131" i="1"/>
  <c r="AQ131" i="1" s="1"/>
  <c r="P159" i="1"/>
  <c r="AQ159" i="1" s="1"/>
  <c r="P175" i="1"/>
  <c r="AQ175" i="1" s="1"/>
  <c r="P178" i="1"/>
  <c r="AQ178" i="1" s="1"/>
  <c r="AQ205" i="1"/>
  <c r="P227" i="1"/>
  <c r="AQ237" i="1"/>
  <c r="P254" i="1"/>
  <c r="AQ254" i="1" s="1"/>
  <c r="P262" i="1"/>
  <c r="AQ262" i="1" s="1"/>
  <c r="P274" i="1"/>
  <c r="AQ274" i="1" s="1"/>
  <c r="P303" i="1"/>
  <c r="AQ303" i="1" s="1"/>
  <c r="P326" i="1"/>
  <c r="AQ326" i="1" s="1"/>
  <c r="AR269" i="1"/>
  <c r="AR329" i="1"/>
  <c r="AR340" i="1"/>
  <c r="AQ119" i="1"/>
  <c r="AR193" i="1"/>
  <c r="P8" i="1"/>
  <c r="AQ8" i="1" s="1"/>
  <c r="P82" i="1"/>
  <c r="AQ82" i="1" s="1"/>
  <c r="AR125" i="1"/>
  <c r="AQ157" i="1"/>
  <c r="P173" i="1"/>
  <c r="AQ173" i="1" s="1"/>
  <c r="P179" i="1"/>
  <c r="AQ179" i="1" s="1"/>
  <c r="AQ223" i="1"/>
  <c r="AR225" i="1"/>
  <c r="P260" i="1"/>
  <c r="AQ260" i="1" s="1"/>
  <c r="AR272" i="1"/>
  <c r="P275" i="1"/>
  <c r="AQ275" i="1" s="1"/>
  <c r="P292" i="1"/>
  <c r="AQ292" i="1" s="1"/>
  <c r="P324" i="1"/>
  <c r="AQ324" i="1" s="1"/>
  <c r="AQ330" i="1"/>
  <c r="AQ18" i="1"/>
  <c r="AQ34" i="1"/>
  <c r="AQ50" i="1"/>
  <c r="AQ66" i="1"/>
  <c r="AQ91" i="1"/>
  <c r="P98" i="1"/>
  <c r="AQ98" i="1" s="1"/>
  <c r="P255" i="1"/>
  <c r="AQ255" i="1" s="1"/>
  <c r="AR257" i="1"/>
  <c r="AR289" i="1"/>
  <c r="P307" i="1"/>
  <c r="AQ307" i="1" s="1"/>
  <c r="AR100" i="1"/>
  <c r="P100" i="1"/>
  <c r="AQ100" i="1" s="1"/>
  <c r="P110" i="1"/>
  <c r="AQ110" i="1" s="1"/>
  <c r="AR110" i="1"/>
  <c r="P117" i="1"/>
  <c r="AQ117" i="1" s="1"/>
  <c r="AR120" i="1"/>
  <c r="P120" i="1"/>
  <c r="AQ120" i="1" s="1"/>
  <c r="P142" i="1"/>
  <c r="AQ142" i="1" s="1"/>
  <c r="AR142" i="1"/>
  <c r="P149" i="1"/>
  <c r="AQ149" i="1" s="1"/>
  <c r="AR152" i="1"/>
  <c r="P152" i="1"/>
  <c r="AQ152" i="1" s="1"/>
  <c r="P174" i="1"/>
  <c r="AQ174" i="1" s="1"/>
  <c r="AR174" i="1"/>
  <c r="P176" i="1"/>
  <c r="AQ176" i="1" s="1"/>
  <c r="AR187" i="1"/>
  <c r="P187" i="1"/>
  <c r="AQ187" i="1" s="1"/>
  <c r="AR235" i="1"/>
  <c r="P235" i="1"/>
  <c r="AQ235" i="1" s="1"/>
  <c r="P5" i="1"/>
  <c r="AQ5" i="1" s="1"/>
  <c r="P9" i="1"/>
  <c r="AQ9" i="1" s="1"/>
  <c r="P13" i="1"/>
  <c r="AQ13" i="1" s="1"/>
  <c r="P17" i="1"/>
  <c r="AQ17" i="1" s="1"/>
  <c r="P21" i="1"/>
  <c r="AQ21" i="1" s="1"/>
  <c r="P25" i="1"/>
  <c r="AQ25" i="1" s="1"/>
  <c r="P29" i="1"/>
  <c r="AQ29" i="1" s="1"/>
  <c r="P33" i="1"/>
  <c r="AQ33" i="1" s="1"/>
  <c r="P37" i="1"/>
  <c r="AQ37" i="1" s="1"/>
  <c r="P41" i="1"/>
  <c r="AQ41" i="1" s="1"/>
  <c r="P45" i="1"/>
  <c r="AQ45" i="1" s="1"/>
  <c r="P49" i="1"/>
  <c r="AQ49" i="1" s="1"/>
  <c r="P53" i="1"/>
  <c r="AQ53" i="1" s="1"/>
  <c r="P57" i="1"/>
  <c r="AQ57" i="1" s="1"/>
  <c r="P61" i="1"/>
  <c r="AQ61" i="1" s="1"/>
  <c r="P65" i="1"/>
  <c r="AQ65" i="1" s="1"/>
  <c r="P69" i="1"/>
  <c r="AQ69" i="1" s="1"/>
  <c r="P73" i="1"/>
  <c r="AQ73" i="1" s="1"/>
  <c r="P77" i="1"/>
  <c r="AQ77" i="1" s="1"/>
  <c r="P90" i="1"/>
  <c r="AQ90" i="1" s="1"/>
  <c r="P93" i="1"/>
  <c r="AQ93" i="1" s="1"/>
  <c r="P122" i="1"/>
  <c r="AQ122" i="1" s="1"/>
  <c r="AR122" i="1"/>
  <c r="P129" i="1"/>
  <c r="AQ129" i="1" s="1"/>
  <c r="AR132" i="1"/>
  <c r="P132" i="1"/>
  <c r="AQ132" i="1" s="1"/>
  <c r="P154" i="1"/>
  <c r="AQ154" i="1" s="1"/>
  <c r="AR154" i="1"/>
  <c r="P161" i="1"/>
  <c r="AQ161" i="1" s="1"/>
  <c r="AR164" i="1"/>
  <c r="P164" i="1"/>
  <c r="AQ164" i="1" s="1"/>
  <c r="AQ181" i="1"/>
  <c r="P191" i="1"/>
  <c r="AQ191" i="1" s="1"/>
  <c r="AR204" i="1"/>
  <c r="P204" i="1"/>
  <c r="AQ204" i="1" s="1"/>
  <c r="P217" i="1"/>
  <c r="AQ217" i="1" s="1"/>
  <c r="AR217" i="1"/>
  <c r="P265" i="1"/>
  <c r="AQ265" i="1" s="1"/>
  <c r="AR265" i="1"/>
  <c r="P284" i="1"/>
  <c r="AQ284" i="1" s="1"/>
  <c r="AR284" i="1"/>
  <c r="AQ309" i="1"/>
  <c r="P319" i="1"/>
  <c r="AQ319" i="1" s="1"/>
  <c r="AR219" i="1"/>
  <c r="P219" i="1"/>
  <c r="AQ219" i="1" s="1"/>
  <c r="AR6" i="1"/>
  <c r="AR10" i="1"/>
  <c r="P12" i="1"/>
  <c r="AQ12" i="1" s="1"/>
  <c r="AR14" i="1"/>
  <c r="P16" i="1"/>
  <c r="AQ16" i="1" s="1"/>
  <c r="AR18" i="1"/>
  <c r="P20" i="1"/>
  <c r="AQ20" i="1" s="1"/>
  <c r="AR22" i="1"/>
  <c r="P24" i="1"/>
  <c r="AQ24" i="1" s="1"/>
  <c r="AR26" i="1"/>
  <c r="P28" i="1"/>
  <c r="AQ28" i="1" s="1"/>
  <c r="AR30" i="1"/>
  <c r="P32" i="1"/>
  <c r="AQ32" i="1" s="1"/>
  <c r="AR34" i="1"/>
  <c r="P36" i="1"/>
  <c r="AQ36" i="1" s="1"/>
  <c r="AR38" i="1"/>
  <c r="P40" i="1"/>
  <c r="AQ40" i="1" s="1"/>
  <c r="AR42" i="1"/>
  <c r="P44" i="1"/>
  <c r="AQ44" i="1" s="1"/>
  <c r="AR46" i="1"/>
  <c r="P48" i="1"/>
  <c r="AQ48" i="1" s="1"/>
  <c r="AR50" i="1"/>
  <c r="P52" i="1"/>
  <c r="AQ52" i="1" s="1"/>
  <c r="AR54" i="1"/>
  <c r="P56" i="1"/>
  <c r="AQ56" i="1" s="1"/>
  <c r="AR58" i="1"/>
  <c r="P60" i="1"/>
  <c r="AQ60" i="1" s="1"/>
  <c r="AR62" i="1"/>
  <c r="P64" i="1"/>
  <c r="AQ64" i="1" s="1"/>
  <c r="AR66" i="1"/>
  <c r="P68" i="1"/>
  <c r="AQ68" i="1" s="1"/>
  <c r="AR70" i="1"/>
  <c r="P72" i="1"/>
  <c r="AQ72" i="1" s="1"/>
  <c r="AR74" i="1"/>
  <c r="P76" i="1"/>
  <c r="AQ76" i="1" s="1"/>
  <c r="AR81" i="1"/>
  <c r="AR84" i="1"/>
  <c r="P86" i="1"/>
  <c r="AQ86" i="1" s="1"/>
  <c r="P89" i="1"/>
  <c r="AQ89" i="1" s="1"/>
  <c r="AR97" i="1"/>
  <c r="AR105" i="1"/>
  <c r="P114" i="1"/>
  <c r="AQ114" i="1" s="1"/>
  <c r="AR114" i="1"/>
  <c r="P121" i="1"/>
  <c r="AQ121" i="1" s="1"/>
  <c r="AR124" i="1"/>
  <c r="P124" i="1"/>
  <c r="AQ124" i="1" s="1"/>
  <c r="AR137" i="1"/>
  <c r="P146" i="1"/>
  <c r="AQ146" i="1" s="1"/>
  <c r="AR146" i="1"/>
  <c r="P153" i="1"/>
  <c r="AQ153" i="1" s="1"/>
  <c r="AR156" i="1"/>
  <c r="P156" i="1"/>
  <c r="AQ156" i="1" s="1"/>
  <c r="AR169" i="1"/>
  <c r="P188" i="1"/>
  <c r="AQ188" i="1" s="1"/>
  <c r="AR188" i="1"/>
  <c r="AR236" i="1"/>
  <c r="P236" i="1"/>
  <c r="AQ236" i="1" s="1"/>
  <c r="P249" i="1"/>
  <c r="AQ249" i="1" s="1"/>
  <c r="AR249" i="1"/>
  <c r="P297" i="1"/>
  <c r="AQ297" i="1" s="1"/>
  <c r="AR297" i="1"/>
  <c r="Q343" i="1"/>
  <c r="AR104" i="1"/>
  <c r="P104" i="1"/>
  <c r="AQ104" i="1" s="1"/>
  <c r="P126" i="1"/>
  <c r="AQ126" i="1" s="1"/>
  <c r="AR126" i="1"/>
  <c r="AR136" i="1"/>
  <c r="P136" i="1"/>
  <c r="AQ136" i="1" s="1"/>
  <c r="P158" i="1"/>
  <c r="AQ158" i="1" s="1"/>
  <c r="AR158" i="1"/>
  <c r="AR168" i="1"/>
  <c r="P168" i="1"/>
  <c r="AQ168" i="1" s="1"/>
  <c r="AR251" i="1"/>
  <c r="P251" i="1"/>
  <c r="AQ251" i="1" s="1"/>
  <c r="AR299" i="1"/>
  <c r="P299" i="1"/>
  <c r="AQ299" i="1" s="1"/>
  <c r="AR301" i="1"/>
  <c r="P316" i="1"/>
  <c r="AQ316" i="1" s="1"/>
  <c r="AR316" i="1"/>
  <c r="V343" i="1"/>
  <c r="AR80" i="1"/>
  <c r="AR96" i="1"/>
  <c r="P106" i="1"/>
  <c r="AQ106" i="1" s="1"/>
  <c r="AR106" i="1"/>
  <c r="AR116" i="1"/>
  <c r="P116" i="1"/>
  <c r="AQ116" i="1" s="1"/>
  <c r="P138" i="1"/>
  <c r="AQ138" i="1" s="1"/>
  <c r="AR138" i="1"/>
  <c r="AR148" i="1"/>
  <c r="P148" i="1"/>
  <c r="AQ148" i="1" s="1"/>
  <c r="P170" i="1"/>
  <c r="AQ170" i="1" s="1"/>
  <c r="AR170" i="1"/>
  <c r="P201" i="1"/>
  <c r="AQ201" i="1" s="1"/>
  <c r="AR201" i="1"/>
  <c r="P220" i="1"/>
  <c r="AQ220" i="1" s="1"/>
  <c r="AR220" i="1"/>
  <c r="AR268" i="1"/>
  <c r="P268" i="1"/>
  <c r="AQ268" i="1" s="1"/>
  <c r="P281" i="1"/>
  <c r="AQ281" i="1" s="1"/>
  <c r="AR281" i="1"/>
  <c r="AR331" i="1"/>
  <c r="P331" i="1"/>
  <c r="AQ331" i="1" s="1"/>
  <c r="P333" i="1"/>
  <c r="AQ333" i="1" s="1"/>
  <c r="AR333" i="1"/>
  <c r="P102" i="1"/>
  <c r="AQ102" i="1" s="1"/>
  <c r="AR102" i="1"/>
  <c r="P166" i="1"/>
  <c r="AQ166" i="1" s="1"/>
  <c r="AR166" i="1"/>
  <c r="P118" i="1"/>
  <c r="AQ118" i="1" s="1"/>
  <c r="AR118" i="1"/>
  <c r="AR128" i="1"/>
  <c r="P128" i="1"/>
  <c r="AQ128" i="1" s="1"/>
  <c r="P150" i="1"/>
  <c r="AQ150" i="1" s="1"/>
  <c r="AR150" i="1"/>
  <c r="AR160" i="1"/>
  <c r="P160" i="1"/>
  <c r="AQ160" i="1" s="1"/>
  <c r="AR203" i="1"/>
  <c r="P203" i="1"/>
  <c r="AQ203" i="1" s="1"/>
  <c r="AR205" i="1"/>
  <c r="AR283" i="1"/>
  <c r="P283" i="1"/>
  <c r="AQ283" i="1" s="1"/>
  <c r="AR112" i="1"/>
  <c r="P112" i="1"/>
  <c r="AQ112" i="1" s="1"/>
  <c r="P134" i="1"/>
  <c r="AQ134" i="1" s="1"/>
  <c r="AR134" i="1"/>
  <c r="AR144" i="1"/>
  <c r="P144" i="1"/>
  <c r="AQ144" i="1" s="1"/>
  <c r="AR267" i="1"/>
  <c r="P267" i="1"/>
  <c r="AQ267" i="1" s="1"/>
  <c r="AR4" i="1"/>
  <c r="P78" i="1"/>
  <c r="AQ78" i="1" s="1"/>
  <c r="AR92" i="1"/>
  <c r="P94" i="1"/>
  <c r="AQ94" i="1" s="1"/>
  <c r="AR108" i="1"/>
  <c r="P108" i="1"/>
  <c r="AQ108" i="1" s="1"/>
  <c r="P130" i="1"/>
  <c r="AQ130" i="1" s="1"/>
  <c r="AR130" i="1"/>
  <c r="AR140" i="1"/>
  <c r="P140" i="1"/>
  <c r="AQ140" i="1" s="1"/>
  <c r="P162" i="1"/>
  <c r="AQ162" i="1" s="1"/>
  <c r="AR162" i="1"/>
  <c r="AR172" i="1"/>
  <c r="P172" i="1"/>
  <c r="AQ172" i="1" s="1"/>
  <c r="P185" i="1"/>
  <c r="AQ185" i="1" s="1"/>
  <c r="AR185" i="1"/>
  <c r="P233" i="1"/>
  <c r="AQ233" i="1" s="1"/>
  <c r="AR233" i="1"/>
  <c r="P252" i="1"/>
  <c r="AQ252" i="1" s="1"/>
  <c r="AR252" i="1"/>
  <c r="AQ277" i="1"/>
  <c r="P287" i="1"/>
  <c r="AQ287" i="1" s="1"/>
  <c r="AR300" i="1"/>
  <c r="P300" i="1"/>
  <c r="AQ300" i="1" s="1"/>
  <c r="P313" i="1"/>
  <c r="AQ313" i="1" s="1"/>
  <c r="AR313" i="1"/>
  <c r="P184" i="1"/>
  <c r="AQ184" i="1" s="1"/>
  <c r="AR197" i="1"/>
  <c r="P199" i="1"/>
  <c r="AQ199" i="1" s="1"/>
  <c r="AR200" i="1"/>
  <c r="P216" i="1"/>
  <c r="AQ216" i="1" s="1"/>
  <c r="AR229" i="1"/>
  <c r="P231" i="1"/>
  <c r="AQ231" i="1" s="1"/>
  <c r="AR232" i="1"/>
  <c r="P248" i="1"/>
  <c r="AQ248" i="1" s="1"/>
  <c r="AR261" i="1"/>
  <c r="P263" i="1"/>
  <c r="AQ263" i="1" s="1"/>
  <c r="AR264" i="1"/>
  <c r="P280" i="1"/>
  <c r="AQ280" i="1" s="1"/>
  <c r="AR293" i="1"/>
  <c r="P295" i="1"/>
  <c r="AQ295" i="1" s="1"/>
  <c r="AR296" i="1"/>
  <c r="P312" i="1"/>
  <c r="AQ312" i="1" s="1"/>
  <c r="AR325" i="1"/>
  <c r="P327" i="1"/>
  <c r="AQ327" i="1" s="1"/>
  <c r="AR328" i="1"/>
  <c r="P195" i="1"/>
  <c r="AQ195" i="1" s="1"/>
  <c r="AQ227" i="1"/>
  <c r="AQ259" i="1"/>
  <c r="AQ291" i="1"/>
  <c r="AR321" i="1"/>
  <c r="AQ323" i="1"/>
  <c r="AR181" i="1"/>
  <c r="P183" i="1"/>
  <c r="AQ183" i="1" s="1"/>
  <c r="AR213" i="1"/>
  <c r="P215" i="1"/>
  <c r="AQ215" i="1" s="1"/>
  <c r="AR245" i="1"/>
  <c r="P247" i="1"/>
  <c r="AQ247" i="1" s="1"/>
  <c r="AR277" i="1"/>
  <c r="P279" i="1"/>
  <c r="AQ279" i="1" s="1"/>
  <c r="AR309" i="1"/>
  <c r="P311" i="1"/>
  <c r="AQ311" i="1" s="1"/>
  <c r="AR341" i="1"/>
  <c r="AQ343" i="1" l="1"/>
  <c r="P343" i="1"/>
  <c r="S346" i="1" s="1"/>
  <c r="AR343" i="1"/>
  <c r="M8" i="6"/>
  <c r="P8" i="6"/>
</calcChain>
</file>

<file path=xl/sharedStrings.xml><?xml version="1.0" encoding="utf-8"?>
<sst xmlns="http://schemas.openxmlformats.org/spreadsheetml/2006/main" count="2929" uniqueCount="680">
  <si>
    <t xml:space="preserve">PROGRAMA SOCIAL "BECA EDUCACIÓN MEDIA" </t>
  </si>
  <si>
    <t>NO.</t>
  </si>
  <si>
    <t xml:space="preserve">DEPARTAMENTO </t>
  </si>
  <si>
    <t xml:space="preserve">MUNICIPIO </t>
  </si>
  <si>
    <t xml:space="preserve">UNIDAD DE MEDIDA </t>
  </si>
  <si>
    <t xml:space="preserve">PLANIFICACIÓN </t>
  </si>
  <si>
    <t xml:space="preserve">EJECUCIÓN 30 ENERO </t>
  </si>
  <si>
    <t xml:space="preserve">EJECUCIÓN 28 FEBRERO </t>
  </si>
  <si>
    <t>EJECUCIÓN 31 MARZO</t>
  </si>
  <si>
    <t>EJECUCIÓN 30 ABRIL</t>
  </si>
  <si>
    <t>EJECUCIÓN 31 MAYO</t>
  </si>
  <si>
    <t>EJECUCIÓN 30 JUNIO</t>
  </si>
  <si>
    <t>EJECUCIÓN 31 JULIO</t>
  </si>
  <si>
    <t>EJECUCIÓN 31 AGOSTO</t>
  </si>
  <si>
    <t>EJECUCIÓN 30 SEPTIEMBRE</t>
  </si>
  <si>
    <t>EJECUCIÓN 31 OCTUBRE</t>
  </si>
  <si>
    <t>EJECUCIÓN 30 NOVIEMBRE</t>
  </si>
  <si>
    <t>EJECUCIÓN 31 DICIEMBRE</t>
  </si>
  <si>
    <t>EJECUCIÓN TOTAL 2026</t>
  </si>
  <si>
    <t xml:space="preserve">FÍSICA </t>
  </si>
  <si>
    <t xml:space="preserve">FINANCIERA </t>
  </si>
  <si>
    <t xml:space="preserve">Beneficiarios </t>
  </si>
  <si>
    <t>Beneficiarios</t>
  </si>
  <si>
    <t>ALTA VERAPAZ</t>
  </si>
  <si>
    <t>CAHABÓN</t>
  </si>
  <si>
    <t xml:space="preserve">Beca </t>
  </si>
  <si>
    <t>CHAHAL</t>
  </si>
  <si>
    <t>CHISEC</t>
  </si>
  <si>
    <t>COBÁN</t>
  </si>
  <si>
    <t>FRAY BARTOLOMÉ DE LAS CASAS</t>
  </si>
  <si>
    <t>LANQUÍN</t>
  </si>
  <si>
    <t>PANZÓS</t>
  </si>
  <si>
    <t>RAXRUHÁ</t>
  </si>
  <si>
    <t>SAN CRISTÓBAL VERAPAZ</t>
  </si>
  <si>
    <t>SAN JUAN CHAMELCO</t>
  </si>
  <si>
    <t>SAN PEDRO CARCHÁ</t>
  </si>
  <si>
    <t>SANTA CATALINA LA TINTA</t>
  </si>
  <si>
    <t>SANTA CRUZ VERAPAZ</t>
  </si>
  <si>
    <t>SENAHÚ</t>
  </si>
  <si>
    <t>TACTIC</t>
  </si>
  <si>
    <t>TAMAHÚ</t>
  </si>
  <si>
    <t>TUCURÚ</t>
  </si>
  <si>
    <t>BAJA VERAPAZ</t>
  </si>
  <si>
    <t>CUBULCO</t>
  </si>
  <si>
    <t>EL CHOL</t>
  </si>
  <si>
    <t>GRANADOS</t>
  </si>
  <si>
    <t>PURULHÁ</t>
  </si>
  <si>
    <t>RABINAL</t>
  </si>
  <si>
    <t>SALAMÁ</t>
  </si>
  <si>
    <t>SAN JERÓNIMO</t>
  </si>
  <si>
    <t>SAN MIGUEL CHICAJ</t>
  </si>
  <si>
    <t>CHIMALTENANGO</t>
  </si>
  <si>
    <t>ACATENANGO</t>
  </si>
  <si>
    <t>COMALAPA</t>
  </si>
  <si>
    <t>EL TEJAR</t>
  </si>
  <si>
    <t>PARRAMOS</t>
  </si>
  <si>
    <t>PATZICÍA</t>
  </si>
  <si>
    <t>PATZÚN</t>
  </si>
  <si>
    <t>POCHUTA</t>
  </si>
  <si>
    <t>SAN ANDRÉS ITZAPA</t>
  </si>
  <si>
    <t>SAN JOSÉ POAQUIL</t>
  </si>
  <si>
    <t>SAN MARTÍN JILOTEPEQUE</t>
  </si>
  <si>
    <t>SANTA APOLONIA</t>
  </si>
  <si>
    <t>SANTA CRUZ BALANYÁ</t>
  </si>
  <si>
    <t>TECPÁN GUATEMALA</t>
  </si>
  <si>
    <t>YEPOCAPA</t>
  </si>
  <si>
    <t>ZARAGOZA</t>
  </si>
  <si>
    <t>CHIQUIMULA</t>
  </si>
  <si>
    <t>CAMOTÁN</t>
  </si>
  <si>
    <t>CONCEPCIÓN LAS MINAS</t>
  </si>
  <si>
    <t>ESQUIPULAS</t>
  </si>
  <si>
    <t>IPALA</t>
  </si>
  <si>
    <t>JOCOTÁN</t>
  </si>
  <si>
    <t>OLOPA</t>
  </si>
  <si>
    <t>QUEZALTEPEQUE</t>
  </si>
  <si>
    <t>SAN JOSÉ LA ARADA</t>
  </si>
  <si>
    <t>SAN JUAN ERMITA</t>
  </si>
  <si>
    <t>EL PROGRESO</t>
  </si>
  <si>
    <t>EL JÍCARO</t>
  </si>
  <si>
    <t>GUASTATOYA</t>
  </si>
  <si>
    <t>MORAZÁN</t>
  </si>
  <si>
    <t>SAN AGUSTÍN ACASAGUASTLÁN</t>
  </si>
  <si>
    <t>SAN ANTONIO LA PAZ</t>
  </si>
  <si>
    <t>SAN CRISTÓBAL ACASAGUASTLÁN</t>
  </si>
  <si>
    <t>SANARATE</t>
  </si>
  <si>
    <t>SANSARE</t>
  </si>
  <si>
    <t>ESCUINTLA</t>
  </si>
  <si>
    <t>GUANAGAZAPA</t>
  </si>
  <si>
    <t>IZTAPA</t>
  </si>
  <si>
    <t>LA DEMOCRACIA</t>
  </si>
  <si>
    <t>LA GOMERA</t>
  </si>
  <si>
    <t>MASAGUA</t>
  </si>
  <si>
    <t>NUEVA CONCEPCIÓN</t>
  </si>
  <si>
    <t>PALÍN</t>
  </si>
  <si>
    <t>SAN JOSÉ</t>
  </si>
  <si>
    <t>SAN VICENTE PACAYA</t>
  </si>
  <si>
    <t>SANTA LUCÍA COTZUMALGUAPA</t>
  </si>
  <si>
    <t xml:space="preserve">SIPACATE </t>
  </si>
  <si>
    <t>SIQUINALÁ</t>
  </si>
  <si>
    <t>TIQUISATE</t>
  </si>
  <si>
    <t>GUATEMALA</t>
  </si>
  <si>
    <t>AMATITLÁN</t>
  </si>
  <si>
    <t>CHINAUTLA</t>
  </si>
  <si>
    <t>CHUARRANCHO</t>
  </si>
  <si>
    <t>FRAIJANES</t>
  </si>
  <si>
    <t>MIXCO</t>
  </si>
  <si>
    <t>PALENCIA</t>
  </si>
  <si>
    <t>SAN JOSÉ DEL GOLFO</t>
  </si>
  <si>
    <t>SAN JOSÉ PINULA</t>
  </si>
  <si>
    <t>SAN JUAN SACATEPÉQUEZ</t>
  </si>
  <si>
    <t>SAN MIGUEL PETAPA</t>
  </si>
  <si>
    <t>SAN PEDRO AYAMPUC</t>
  </si>
  <si>
    <t>SAN PEDRO SACATEPÉQUEZ</t>
  </si>
  <si>
    <t>SAN RAYMUNDO</t>
  </si>
  <si>
    <t>SANTA CATARINA PINULA</t>
  </si>
  <si>
    <t>VILLA CANALES</t>
  </si>
  <si>
    <t>VILLA NUEVA</t>
  </si>
  <si>
    <t>HUEHUETENANGO</t>
  </si>
  <si>
    <t>AGUACATÁN</t>
  </si>
  <si>
    <t>BARILLAS</t>
  </si>
  <si>
    <t>CHIANTLA</t>
  </si>
  <si>
    <t>COLOTENANGO</t>
  </si>
  <si>
    <t>CONCEPCIÓN HUISTA</t>
  </si>
  <si>
    <t>CUILCO</t>
  </si>
  <si>
    <t>JACALTENANGO</t>
  </si>
  <si>
    <t>LA LIBERTAD</t>
  </si>
  <si>
    <t>MALACATANCITO</t>
  </si>
  <si>
    <t>NENTÓN</t>
  </si>
  <si>
    <t>PETATAN</t>
  </si>
  <si>
    <t>SAN ANTONIO HUISTA</t>
  </si>
  <si>
    <t>SAN GASPAR IXCHIL</t>
  </si>
  <si>
    <t>SAN ILDEFONSO IXTAHUACÁN</t>
  </si>
  <si>
    <t>SAN JUAN ATITÁN</t>
  </si>
  <si>
    <t>SAN JUAN IXCOY</t>
  </si>
  <si>
    <t>SAN MATEO IXTATÁN</t>
  </si>
  <si>
    <t>SAN MIGUEL ACATÁN</t>
  </si>
  <si>
    <t>SAN PEDRO NECTA</t>
  </si>
  <si>
    <t>SAN RAFAEL LA INDEPENDENCIA</t>
  </si>
  <si>
    <t>SAN RAFAEL PETZAL</t>
  </si>
  <si>
    <t>SAN SEBASTIÁN COATÁN</t>
  </si>
  <si>
    <t>SAN SEBASTIÁN HUEHUETENANGO</t>
  </si>
  <si>
    <t>SANTA ANA HUISTA</t>
  </si>
  <si>
    <t>SANTA BÁRBARA</t>
  </si>
  <si>
    <t>SANTA EULALIA</t>
  </si>
  <si>
    <t>SANTIAGO CHIMALTENANGO</t>
  </si>
  <si>
    <t>SOLOMA</t>
  </si>
  <si>
    <t>TECTITÁN</t>
  </si>
  <si>
    <t>TODOS SANTOS CUCHUMATÁN</t>
  </si>
  <si>
    <t>UNIÓN CANTINIL</t>
  </si>
  <si>
    <t>IZABAL</t>
  </si>
  <si>
    <t>EL ESTOR</t>
  </si>
  <si>
    <t>LIVINGSTON</t>
  </si>
  <si>
    <t>LOS AMATES</t>
  </si>
  <si>
    <t>MORALES</t>
  </si>
  <si>
    <t>PUERTO BARRIOS</t>
  </si>
  <si>
    <t>JALAPA</t>
  </si>
  <si>
    <t>MATAQUESCUINTLA</t>
  </si>
  <si>
    <t>MONJAS</t>
  </si>
  <si>
    <t>SAN CARLOS ALZATATE</t>
  </si>
  <si>
    <t>SAN LUIS JILOTEPEQUE</t>
  </si>
  <si>
    <t>SAN MANUEL CHAPARRÓN</t>
  </si>
  <si>
    <t>SAN PEDRO PINULA</t>
  </si>
  <si>
    <t>JUTIAPA</t>
  </si>
  <si>
    <t>AGUA BLANCA</t>
  </si>
  <si>
    <t>ASUNCIÓN MITA</t>
  </si>
  <si>
    <t>ATESCATEMPA</t>
  </si>
  <si>
    <t>COMAPA</t>
  </si>
  <si>
    <t>CONGUACO</t>
  </si>
  <si>
    <t>EL ADELANTO</t>
  </si>
  <si>
    <t>JALPATAGUA</t>
  </si>
  <si>
    <t>JERÉZ</t>
  </si>
  <si>
    <t>MOYUTA</t>
  </si>
  <si>
    <t>PASACO</t>
  </si>
  <si>
    <t>QUEZADA</t>
  </si>
  <si>
    <t>SAN JOSÉ ACATEMPA</t>
  </si>
  <si>
    <t>SANTA CATARINA MITA</t>
  </si>
  <si>
    <t>YUPILTEPEQUE</t>
  </si>
  <si>
    <t>ZAPOTITLÁN</t>
  </si>
  <si>
    <t>PETEN</t>
  </si>
  <si>
    <t>DOLORES</t>
  </si>
  <si>
    <t>EL CHAL</t>
  </si>
  <si>
    <t>FLORES</t>
  </si>
  <si>
    <t>LAS CRUCES</t>
  </si>
  <si>
    <t>MELCHOR DE MENCOS</t>
  </si>
  <si>
    <t>POPTÚN</t>
  </si>
  <si>
    <t>SAN ANDRÉS</t>
  </si>
  <si>
    <t>SAN BENITO</t>
  </si>
  <si>
    <t>SAN FRANCISCO</t>
  </si>
  <si>
    <t>SAN LUIS</t>
  </si>
  <si>
    <t>SANTA ANA</t>
  </si>
  <si>
    <t>SAYAXCHÉ</t>
  </si>
  <si>
    <t>QUETZALTENANGO</t>
  </si>
  <si>
    <t>ALMOLONGA</t>
  </si>
  <si>
    <t>CABRICÁN</t>
  </si>
  <si>
    <t>CAJOLÁ</t>
  </si>
  <si>
    <t>CANTEL</t>
  </si>
  <si>
    <t>COATEPEQUE</t>
  </si>
  <si>
    <t>COLOMBA</t>
  </si>
  <si>
    <t>CONCEPCIÓN CHIQUIRICHAPA</t>
  </si>
  <si>
    <t>EL PALMAR</t>
  </si>
  <si>
    <t>FLORES COSTA CUCA</t>
  </si>
  <si>
    <t>GÉNOVA</t>
  </si>
  <si>
    <t>HUITÁN</t>
  </si>
  <si>
    <t>LA ESPERANZA</t>
  </si>
  <si>
    <t>OLINTEPEQUE</t>
  </si>
  <si>
    <t>PALESTINA DE LOS ALTOS</t>
  </si>
  <si>
    <t>SALCAJÁ</t>
  </si>
  <si>
    <t>SAN CARLOS SIJA</t>
  </si>
  <si>
    <t>SAN FRANCISCO LA UNIÓN</t>
  </si>
  <si>
    <t>SAN JUAN OSTUNCALCO</t>
  </si>
  <si>
    <t>SAN MARTÍN SACATEPÉQUEZ</t>
  </si>
  <si>
    <t>SAN MATEO</t>
  </si>
  <si>
    <t>SAN MIGUEL SIGUILÁ</t>
  </si>
  <si>
    <t>SIBILIA</t>
  </si>
  <si>
    <t>ZUNIL</t>
  </si>
  <si>
    <t>QUICHE</t>
  </si>
  <si>
    <t>CANILLÁ</t>
  </si>
  <si>
    <t>CHAJUL</t>
  </si>
  <si>
    <t>CHICAMÁN</t>
  </si>
  <si>
    <t>CHICHÉ</t>
  </si>
  <si>
    <t>CHICHICASTENANGO</t>
  </si>
  <si>
    <t>CHINIQUE</t>
  </si>
  <si>
    <t>CUNÉN</t>
  </si>
  <si>
    <t>IXCÁN</t>
  </si>
  <si>
    <t>JOYABAJ</t>
  </si>
  <si>
    <t>NEBAJ</t>
  </si>
  <si>
    <t>PACHALUM</t>
  </si>
  <si>
    <t>PATZITÉ</t>
  </si>
  <si>
    <t>SACAPULAS</t>
  </si>
  <si>
    <t>SAN ANDRÉS SAJCABAJÁ</t>
  </si>
  <si>
    <t>SAN ANTONIO ILOTENANGO</t>
  </si>
  <si>
    <t>SAN BARTOLOMÉ JOCOTENANGO</t>
  </si>
  <si>
    <t>SAN JUAN COTZAL</t>
  </si>
  <si>
    <t>SAN PEDRO JOCOPILAS</t>
  </si>
  <si>
    <t>SANTA CRUZ DEL QUICHÉ</t>
  </si>
  <si>
    <t>USPANTÁN</t>
  </si>
  <si>
    <t>ZACUALPA</t>
  </si>
  <si>
    <t>RETALHULEU</t>
  </si>
  <si>
    <t>CHAMPERICO</t>
  </si>
  <si>
    <t>EL ASINTAL</t>
  </si>
  <si>
    <t>NUEVO SAN CARLOS</t>
  </si>
  <si>
    <t>SAN ANDRÉS VILLA SECA</t>
  </si>
  <si>
    <t>SAN FELIPE</t>
  </si>
  <si>
    <t>SAN MARTÍN ZAPOTITLÁN</t>
  </si>
  <si>
    <t>SAN SEBASTIÁN</t>
  </si>
  <si>
    <t>SANTA CRUZ MULUÁ</t>
  </si>
  <si>
    <t>SACATEPEQUEZ</t>
  </si>
  <si>
    <t>ALOTENANGO</t>
  </si>
  <si>
    <t>ANTIGUA GUATEMALA</t>
  </si>
  <si>
    <t>CIUDAD VIEJA</t>
  </si>
  <si>
    <t>JOCOTENANGO</t>
  </si>
  <si>
    <t>MAGDALENA MILPAS ALTAS</t>
  </si>
  <si>
    <t>PASTORES</t>
  </si>
  <si>
    <t>SAN ANTONIO AGUAS CALIENTES</t>
  </si>
  <si>
    <t>SAN BARTOLOMÉ MILPAS ALTAS</t>
  </si>
  <si>
    <t>SAN LUCAS SACATEPÉQUEZ</t>
  </si>
  <si>
    <t>SAN MIGUEL DUEÑAS</t>
  </si>
  <si>
    <t>SANTA CATARINA BARAHONA</t>
  </si>
  <si>
    <t>SANTA LUCÍA MILPAS ALTAS</t>
  </si>
  <si>
    <t>SANTA MARÍA DE JESÚS</t>
  </si>
  <si>
    <t>SANTIAGO SACATEPÉQUEZ</t>
  </si>
  <si>
    <t>SANTO DOMINGO XENACOJ</t>
  </si>
  <si>
    <t>SUMPANGO</t>
  </si>
  <si>
    <t>SAN MARCOS</t>
  </si>
  <si>
    <t>AYUTLA</t>
  </si>
  <si>
    <t>CATARINA</t>
  </si>
  <si>
    <t>COMITANCILLO</t>
  </si>
  <si>
    <t>CONCEPCIÓN TUTUAPA</t>
  </si>
  <si>
    <t>EL QUETZAL</t>
  </si>
  <si>
    <t>EL RODEO</t>
  </si>
  <si>
    <t>EL TUMBADOR</t>
  </si>
  <si>
    <t>ESQUIPULAS PALO GORDO</t>
  </si>
  <si>
    <t>IXCHIGUÁN</t>
  </si>
  <si>
    <t>LA BLANCA</t>
  </si>
  <si>
    <t>LA REFORMA</t>
  </si>
  <si>
    <t>MALACATÁN</t>
  </si>
  <si>
    <t>NUEVO PROGRESO</t>
  </si>
  <si>
    <t>OCÓS</t>
  </si>
  <si>
    <t>PAJAPITA</t>
  </si>
  <si>
    <t>RÍO BLANCO</t>
  </si>
  <si>
    <t>SAN ANTONIO SACATEPÉQUEZ</t>
  </si>
  <si>
    <t>SAN CRISTÓBAL CUCHO</t>
  </si>
  <si>
    <t>SAN JOSÉ OJETENAM</t>
  </si>
  <si>
    <t>SAN LORENZO</t>
  </si>
  <si>
    <t>SAN MIGUEL IXTAHUACÁN</t>
  </si>
  <si>
    <t>SAN PABLO</t>
  </si>
  <si>
    <t>SAN RAFAEL PIE DE LA CUESTA</t>
  </si>
  <si>
    <t>SIBINAL</t>
  </si>
  <si>
    <t>SIPACAPA</t>
  </si>
  <si>
    <t>TACANÁ</t>
  </si>
  <si>
    <t>TAJUMULCO</t>
  </si>
  <si>
    <t>TEJUTLA</t>
  </si>
  <si>
    <t>SANTA ROSA</t>
  </si>
  <si>
    <t>BARBERENA</t>
  </si>
  <si>
    <t>CASILLAS</t>
  </si>
  <si>
    <t>CHIQUIMULILLA</t>
  </si>
  <si>
    <t>CUILAPA</t>
  </si>
  <si>
    <t>GUAZACAPÁN</t>
  </si>
  <si>
    <t>NUEVA SANTA ROSA</t>
  </si>
  <si>
    <t>ORATORIO</t>
  </si>
  <si>
    <t>PUEBLO NUEVO VIÑAS</t>
  </si>
  <si>
    <t>SAN JUAN TECUACO</t>
  </si>
  <si>
    <t>SAN RAFAEL LAS FLORES</t>
  </si>
  <si>
    <t>SANTA CRUZ NARANJO</t>
  </si>
  <si>
    <t>SANTA MARÍA IXHUATÁN</t>
  </si>
  <si>
    <t>SANTA ROSA DE LIMA</t>
  </si>
  <si>
    <t>TAXISCO</t>
  </si>
  <si>
    <t>SOLOLA</t>
  </si>
  <si>
    <t>CONCEPCIÓN</t>
  </si>
  <si>
    <t>NAHUALÁ</t>
  </si>
  <si>
    <t>PANAJACHEL</t>
  </si>
  <si>
    <t>SAN ANDRÉS SEMETABAJ</t>
  </si>
  <si>
    <t>SAN ANTONIO PALOPÓ</t>
  </si>
  <si>
    <t>SAN JOSÉ CHACAYÁ</t>
  </si>
  <si>
    <t>SAN JUAN LA LAGUNA</t>
  </si>
  <si>
    <t>SAN LUCAS TOLIMÁN</t>
  </si>
  <si>
    <t>SAN MARCOS LA LAGUNA</t>
  </si>
  <si>
    <t>SAN PABLO LA LAGUNA</t>
  </si>
  <si>
    <t>SAN PEDRO LA LAGUNA</t>
  </si>
  <si>
    <t>SANTA CATARINA IXTAHUACÁN</t>
  </si>
  <si>
    <t>SANTA CATARINA PALOPÓ</t>
  </si>
  <si>
    <t>SANTA CLARA LA LAGUNA</t>
  </si>
  <si>
    <t>SANTA CRUZ LA LAGUNA</t>
  </si>
  <si>
    <t>SANTA LUCÍA UTATLÁN</t>
  </si>
  <si>
    <t>SANTA MARÍA VISITACIÓN</t>
  </si>
  <si>
    <t>SANTIAGO ATITLÁN</t>
  </si>
  <si>
    <t>SOLOLÁ</t>
  </si>
  <si>
    <t>SUCHITEPEQUEZ</t>
  </si>
  <si>
    <t>CHICACAO</t>
  </si>
  <si>
    <t>CUYOTENANGO</t>
  </si>
  <si>
    <t>MAZATENANGO</t>
  </si>
  <si>
    <t>PATULUL</t>
  </si>
  <si>
    <t>PUEBLO NUEVO</t>
  </si>
  <si>
    <t>RÍO BRAVO</t>
  </si>
  <si>
    <t>SAMAYAC</t>
  </si>
  <si>
    <t>SAN ANTONIO SUCHITEPÉQUEZ</t>
  </si>
  <si>
    <t>SAN BERNARDINO</t>
  </si>
  <si>
    <t>SAN FRANCISCO ZAPOTITLÁN</t>
  </si>
  <si>
    <t>SAN GABRIEL</t>
  </si>
  <si>
    <t>SAN JOSÉ EL IDOLO</t>
  </si>
  <si>
    <t>SAN JOSÉ LA MÁQUINA</t>
  </si>
  <si>
    <t>SAN JUAN BAUTISTA</t>
  </si>
  <si>
    <t>SAN MIGUEL PANÁN</t>
  </si>
  <si>
    <t>SAN PABLO JOCOPILAS</t>
  </si>
  <si>
    <t>SANTO DOMINGO SUCHITEPÉQUEZ</t>
  </si>
  <si>
    <t>SANTO TOMÁS LA UNIÓN</t>
  </si>
  <si>
    <t>ZUNILITO</t>
  </si>
  <si>
    <t>TOTONICAPAN</t>
  </si>
  <si>
    <t>MOMOSTENANGO</t>
  </si>
  <si>
    <t>SAN ANDRÉS XECUL</t>
  </si>
  <si>
    <t>SAN BARTOLO</t>
  </si>
  <si>
    <t>SAN CRISTÓBAL TOTONICAPÁN</t>
  </si>
  <si>
    <t>SAN FRANCISCO EL ALTO</t>
  </si>
  <si>
    <t>SANTA LUCÍA LA REFORMA</t>
  </si>
  <si>
    <t>SANTA MARÍA CHIQUIMULA</t>
  </si>
  <si>
    <t>TOTONICAPÁN</t>
  </si>
  <si>
    <t>ZACAPA</t>
  </si>
  <si>
    <t>CABAÑAS</t>
  </si>
  <si>
    <t>ESTANZUELA</t>
  </si>
  <si>
    <t>GUALÁN</t>
  </si>
  <si>
    <t>HUITÉ</t>
  </si>
  <si>
    <t>LA UNIÓN</t>
  </si>
  <si>
    <t>RÍO HONDO</t>
  </si>
  <si>
    <t>SAN DIEGO</t>
  </si>
  <si>
    <t>SAN JORGE</t>
  </si>
  <si>
    <t>TECULUTÁN</t>
  </si>
  <si>
    <t>USUMATLÁN</t>
  </si>
  <si>
    <t xml:space="preserve">PROGRAMA SOCIAL "BECA EDUCACIÓN SUPERIOR" </t>
  </si>
  <si>
    <t xml:space="preserve">SAN JACINTO </t>
  </si>
  <si>
    <t xml:space="preserve">PROGRAMA SOCIAL "COMEDOR SOCIAL" </t>
  </si>
  <si>
    <t>AÑO 2026</t>
  </si>
  <si>
    <t>EJECUCIÓN 30 ENERO</t>
  </si>
  <si>
    <t>EJECUCIÓN 28 FEBRERO</t>
  </si>
  <si>
    <t xml:space="preserve">Desayuno </t>
  </si>
  <si>
    <t xml:space="preserve">Almuerzo </t>
  </si>
  <si>
    <t>SAN AGUSTÍN LANQUÍN</t>
  </si>
  <si>
    <t>SENAHU</t>
  </si>
  <si>
    <t>SAN MIGUEL TUCURU</t>
  </si>
  <si>
    <t>PURULHA (Movil)</t>
  </si>
  <si>
    <t>PURULHA (Fijo)</t>
  </si>
  <si>
    <t>SAN JERONIMO</t>
  </si>
  <si>
    <t>ACATENANCO (Fijo)</t>
  </si>
  <si>
    <t>ACATENANGO (Fijo)</t>
  </si>
  <si>
    <t>SAN MIGUEL POCHUTA</t>
  </si>
  <si>
    <t>SAN PEDRO YEPOCAPA</t>
  </si>
  <si>
    <t>SANTA LUCIA COTZUMALGUAPA</t>
  </si>
  <si>
    <t>SIPACATE</t>
  </si>
  <si>
    <t>FEGUA</t>
  </si>
  <si>
    <t>MAIMI</t>
  </si>
  <si>
    <t>MAINA</t>
  </si>
  <si>
    <t>ZONA 5</t>
  </si>
  <si>
    <t>ROOSEVELT</t>
  </si>
  <si>
    <t>UNOP</t>
  </si>
  <si>
    <t>LO DE CARRANZA</t>
  </si>
  <si>
    <t>SAN PEDRO SOLOMA</t>
  </si>
  <si>
    <t>SANTA BARBARA</t>
  </si>
  <si>
    <t>EL ESTOR (Pataxte)</t>
  </si>
  <si>
    <t>LIVINGSTON (Fronteras Río Dulce Móvil No. 11)</t>
  </si>
  <si>
    <t>PUERTO BARRIOS (Entre Ríos)</t>
  </si>
  <si>
    <t>SAN MANUEL CHAPARRON</t>
  </si>
  <si>
    <t>QUESADA</t>
  </si>
  <si>
    <t>ZAPOTITLAN</t>
  </si>
  <si>
    <t>PETÉN</t>
  </si>
  <si>
    <t>CHICHE</t>
  </si>
  <si>
    <t>SAN ANDRES SAJCABAJA</t>
  </si>
  <si>
    <t>SAN MIGUEL USPANTAN</t>
  </si>
  <si>
    <t>SANTA CRUZ DEL QUICHE</t>
  </si>
  <si>
    <t>CHAMPERICO 2</t>
  </si>
  <si>
    <t>SANTA MARIA DE JESUS</t>
  </si>
  <si>
    <t xml:space="preserve">MALACATAN  </t>
  </si>
  <si>
    <t>SAN JOSE OJETENAM</t>
  </si>
  <si>
    <t xml:space="preserve">SAN PABLO  </t>
  </si>
  <si>
    <t>SAN MIGUEL IXTAHUACAN</t>
  </si>
  <si>
    <t>SUCHITEPÉQUEZ</t>
  </si>
  <si>
    <t xml:space="preserve">SUCHITEPÉQUEZ </t>
  </si>
  <si>
    <t>SAN FRANCISCO ZAPOTITLAN</t>
  </si>
  <si>
    <t>SANTA LUCIA LA REFORMA</t>
  </si>
  <si>
    <t>TECULUTAN</t>
  </si>
  <si>
    <t xml:space="preserve">PROGRAMA SOCIAL "JÓVENES PROTAGONISTAS" </t>
  </si>
  <si>
    <t>EJECUCIÓN 31 DE MARZO</t>
  </si>
  <si>
    <t>EJECUCIÓN 30 DE ABRIL</t>
  </si>
  <si>
    <t>EJECUCIÓN 31 DE MAYO</t>
  </si>
  <si>
    <t>EJECUCIÓN 30 DE JUNIO</t>
  </si>
  <si>
    <t xml:space="preserve">Guatemala </t>
  </si>
  <si>
    <t xml:space="preserve">San Juan Sacatepéquez </t>
  </si>
  <si>
    <t xml:space="preserve">Persona </t>
  </si>
  <si>
    <t xml:space="preserve">San Raymundo </t>
  </si>
  <si>
    <t>Villa Nueva</t>
  </si>
  <si>
    <t xml:space="preserve">San Pedro Sacatepéquez </t>
  </si>
  <si>
    <t xml:space="preserve">Mixco </t>
  </si>
  <si>
    <t>Guatemala</t>
  </si>
  <si>
    <t>Chinautla</t>
  </si>
  <si>
    <t xml:space="preserve">Petén </t>
  </si>
  <si>
    <t xml:space="preserve">San Benito </t>
  </si>
  <si>
    <t>La Libertad</t>
  </si>
  <si>
    <t>Melchor de Mencos</t>
  </si>
  <si>
    <t xml:space="preserve">Sayaxché </t>
  </si>
  <si>
    <t>Alta Verapaz</t>
  </si>
  <si>
    <t xml:space="preserve">Cobán </t>
  </si>
  <si>
    <t xml:space="preserve">San Miguel Tucuru </t>
  </si>
  <si>
    <t>San Cristóbal Verapaz</t>
  </si>
  <si>
    <t>Baja Verapaz</t>
  </si>
  <si>
    <t xml:space="preserve">Purulhá </t>
  </si>
  <si>
    <t xml:space="preserve">Rabinal </t>
  </si>
  <si>
    <t>Salamá</t>
  </si>
  <si>
    <t>Izabal</t>
  </si>
  <si>
    <t>Livingston</t>
  </si>
  <si>
    <t xml:space="preserve">El Estor </t>
  </si>
  <si>
    <t>Los Amates</t>
  </si>
  <si>
    <t>Puerto Barrios</t>
  </si>
  <si>
    <t>Morales</t>
  </si>
  <si>
    <t xml:space="preserve">Quetzaltenango </t>
  </si>
  <si>
    <t xml:space="preserve">Cantel </t>
  </si>
  <si>
    <t xml:space="preserve">San Mateo </t>
  </si>
  <si>
    <t>Coatepeque</t>
  </si>
  <si>
    <t>Cajolá</t>
  </si>
  <si>
    <t xml:space="preserve">Huitán </t>
  </si>
  <si>
    <t>Palestian de Los Altos</t>
  </si>
  <si>
    <t xml:space="preserve">Quiché </t>
  </si>
  <si>
    <t>Chajul</t>
  </si>
  <si>
    <t xml:space="preserve">San Juan Cotzal </t>
  </si>
  <si>
    <t>Nebaj</t>
  </si>
  <si>
    <t xml:space="preserve">San Pedro Jocopilas </t>
  </si>
  <si>
    <t xml:space="preserve">Santa Cruz del Quiché </t>
  </si>
  <si>
    <t>San Miguel Uspantan</t>
  </si>
  <si>
    <t>Pachalum</t>
  </si>
  <si>
    <t>Ixcán</t>
  </si>
  <si>
    <t xml:space="preserve">San Marcos </t>
  </si>
  <si>
    <t xml:space="preserve">San Antonio Sacatepéquez </t>
  </si>
  <si>
    <t>Esquipulas Palo Gordo</t>
  </si>
  <si>
    <t>Sololá</t>
  </si>
  <si>
    <t>Santa Lucia Utatlan</t>
  </si>
  <si>
    <t xml:space="preserve">Santiago Atitlán </t>
  </si>
  <si>
    <t xml:space="preserve">Concepción </t>
  </si>
  <si>
    <t>San Pedro La Laguna</t>
  </si>
  <si>
    <t>Santa Cruz La Laguna</t>
  </si>
  <si>
    <t>Huehuetenango</t>
  </si>
  <si>
    <t>Aguacatan</t>
  </si>
  <si>
    <t xml:space="preserve">San Ildefonso Ixtahuacan  </t>
  </si>
  <si>
    <t>San Juan Ixcoy</t>
  </si>
  <si>
    <t xml:space="preserve">San Sebastian Huehuetenango </t>
  </si>
  <si>
    <t>Chiantla</t>
  </si>
  <si>
    <t>Zacapa</t>
  </si>
  <si>
    <t xml:space="preserve">La Unión </t>
  </si>
  <si>
    <t>Gualán</t>
  </si>
  <si>
    <t>Estanzuela</t>
  </si>
  <si>
    <t>Rio Hondo</t>
  </si>
  <si>
    <t>Teculutan</t>
  </si>
  <si>
    <t xml:space="preserve">Zacapa </t>
  </si>
  <si>
    <t>Jalapa</t>
  </si>
  <si>
    <t xml:space="preserve">Jalapa </t>
  </si>
  <si>
    <t>San Pedro Pinula</t>
  </si>
  <si>
    <t>San Carlos Alzatate</t>
  </si>
  <si>
    <t>San Manuel Chaparron</t>
  </si>
  <si>
    <t>Mataquescuintla</t>
  </si>
  <si>
    <t>San Luis Jilotepeque</t>
  </si>
  <si>
    <t>Jutiapa</t>
  </si>
  <si>
    <t>Comapa</t>
  </si>
  <si>
    <t>El Adelanto</t>
  </si>
  <si>
    <t>Yupiltepeque</t>
  </si>
  <si>
    <t>Moyuta</t>
  </si>
  <si>
    <t>Jalpatagua</t>
  </si>
  <si>
    <t>San José Acatempa</t>
  </si>
  <si>
    <t>Santa Catarina Mita</t>
  </si>
  <si>
    <t>Chiquimula</t>
  </si>
  <si>
    <t xml:space="preserve">Jocotán </t>
  </si>
  <si>
    <t>Olopa</t>
  </si>
  <si>
    <t>Camotan</t>
  </si>
  <si>
    <t xml:space="preserve">San Juan La Ermita </t>
  </si>
  <si>
    <t xml:space="preserve">Santa Rosa </t>
  </si>
  <si>
    <t xml:space="preserve">Barberena </t>
  </si>
  <si>
    <t>Taxisco</t>
  </si>
  <si>
    <t>Chiquimulilla</t>
  </si>
  <si>
    <t>Cuilapa</t>
  </si>
  <si>
    <t xml:space="preserve">Pueblo Nuevo Viñas </t>
  </si>
  <si>
    <t xml:space="preserve">Retalhuleu </t>
  </si>
  <si>
    <t xml:space="preserve">Nuevo San Carlos </t>
  </si>
  <si>
    <t xml:space="preserve">Santa Cruz Muluá </t>
  </si>
  <si>
    <t>Champerico</t>
  </si>
  <si>
    <t>El Asintal</t>
  </si>
  <si>
    <t xml:space="preserve">San Sebastían </t>
  </si>
  <si>
    <t xml:space="preserve">Escuintla </t>
  </si>
  <si>
    <t>Santa Lucia Cotzumalguapa</t>
  </si>
  <si>
    <t>Siquinala</t>
  </si>
  <si>
    <t>Escuintla</t>
  </si>
  <si>
    <t>Chimaltenango</t>
  </si>
  <si>
    <t>San Juan Comalapa</t>
  </si>
  <si>
    <t xml:space="preserve">Patzicia </t>
  </si>
  <si>
    <t xml:space="preserve">Patzun </t>
  </si>
  <si>
    <t>San Jose Poaquil</t>
  </si>
  <si>
    <t xml:space="preserve">Sacatepequez </t>
  </si>
  <si>
    <t xml:space="preserve">San Antonio Aguas Calientes </t>
  </si>
  <si>
    <t>Santiago Sacatepequez</t>
  </si>
  <si>
    <t>Jocotenango</t>
  </si>
  <si>
    <t xml:space="preserve">Santo Domingo Xenocoj </t>
  </si>
  <si>
    <t xml:space="preserve">San Juan Alotenango </t>
  </si>
  <si>
    <t>Sumpango</t>
  </si>
  <si>
    <t xml:space="preserve">Totonicapán </t>
  </si>
  <si>
    <t>Santa Lucia la Reforma</t>
  </si>
  <si>
    <t xml:space="preserve">Santa Maria Chiquimula </t>
  </si>
  <si>
    <t xml:space="preserve">San Francisco El Alto </t>
  </si>
  <si>
    <t>Momostenango</t>
  </si>
  <si>
    <t>San Andrés Xecul</t>
  </si>
  <si>
    <t xml:space="preserve">El Progreso </t>
  </si>
  <si>
    <t xml:space="preserve">Guastatoya </t>
  </si>
  <si>
    <t>Sanarate</t>
  </si>
  <si>
    <t xml:space="preserve">San Antonio La Paz </t>
  </si>
  <si>
    <t>El Jícaro</t>
  </si>
  <si>
    <t>San Agustín Acasaguastlán</t>
  </si>
  <si>
    <t>Sansare</t>
  </si>
  <si>
    <t>Morazán</t>
  </si>
  <si>
    <t xml:space="preserve">Suchitepéquez </t>
  </si>
  <si>
    <t xml:space="preserve">San Bernardino </t>
  </si>
  <si>
    <t xml:space="preserve">San Miguel Panam </t>
  </si>
  <si>
    <t xml:space="preserve">Mazatenango </t>
  </si>
  <si>
    <t>Chicacao</t>
  </si>
  <si>
    <t xml:space="preserve">TOTAL </t>
  </si>
  <si>
    <t>-- -</t>
  </si>
  <si>
    <t>SUBTOTALINVERSIÓN SOCIAL (INCLUYE R.036)</t>
  </si>
  <si>
    <t>SUBTOTALINVERSIÓN FUNCIONAMIENTO</t>
  </si>
  <si>
    <t>SUBTOTAL</t>
  </si>
  <si>
    <t>MINISTERIO DE DESARROLLO SOCIAL</t>
  </si>
  <si>
    <t>PROGRAMA SOCIAL BOLSA SOCIAL</t>
  </si>
  <si>
    <t>TRANSFERENCIA MONETARIA CONDICIONADA PARA ALIMENTOS</t>
  </si>
  <si>
    <t>APORTES POR DEPARTAMENTO Y MUNICIPIO AÑO 2026</t>
  </si>
  <si>
    <t>ENERO</t>
  </si>
  <si>
    <t>FEBRERO</t>
  </si>
  <si>
    <t>MARZO</t>
  </si>
  <si>
    <t>ABRIL</t>
  </si>
  <si>
    <t>MAYO</t>
  </si>
  <si>
    <t>JUNIO</t>
  </si>
  <si>
    <t>No.</t>
  </si>
  <si>
    <t>DEPARTAMENTO</t>
  </si>
  <si>
    <t>MUNICIPIO</t>
  </si>
  <si>
    <t>UBICACIÓN 
GEOGRAFICA</t>
  </si>
  <si>
    <t>PLANILLA 1</t>
  </si>
  <si>
    <t>PLANILLA 2</t>
  </si>
  <si>
    <t>PLANILLA 3</t>
  </si>
  <si>
    <t>PLANILLA 4</t>
  </si>
  <si>
    <t>PLANILLA 5</t>
  </si>
  <si>
    <t>PLANILLA 5AD</t>
  </si>
  <si>
    <t>PLANILLA 6</t>
  </si>
  <si>
    <t>PLANILLA 7</t>
  </si>
  <si>
    <t>APORTES AGOSTO</t>
  </si>
  <si>
    <t>APORTES SEPTIEMBRE</t>
  </si>
  <si>
    <t>APORTES OCTUBRE</t>
  </si>
  <si>
    <t>APORTES NOVIEMBRE</t>
  </si>
  <si>
    <t>APORTES DICIEMBRE</t>
  </si>
  <si>
    <t>TOTAL APORTES EFECTUADOS</t>
  </si>
  <si>
    <t>MONTO TOTAL EJECUTADO Q.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</si>
  <si>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</si>
  <si>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</si>
  <si>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</si>
  <si>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</si>
  <si>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</si>
  <si>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</si>
  <si>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</si>
  <si>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</si>
  <si>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</si>
  <si>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</si>
  <si>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</si>
  <si>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</si>
  <si>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</si>
  <si>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</si>
  <si>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</si>
  <si>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</si>
  <si>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</si>
  <si>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TOTAL</t>
  </si>
  <si>
    <t>Presupuesto Asignado vgente</t>
  </si>
  <si>
    <t>Presupuesto por ejecutar</t>
  </si>
  <si>
    <t>DIRECCION DE PREVENSIÓN SOCIAL 2025</t>
  </si>
  <si>
    <t>PRESUPESTO GENERAL</t>
  </si>
  <si>
    <t xml:space="preserve"> EJECUCION FISICA 2026</t>
  </si>
  <si>
    <t>EJECUCIÓN FINANCIERA 2026</t>
  </si>
  <si>
    <t xml:space="preserve">SUBDIRECCIÓN </t>
  </si>
  <si>
    <t>PROGRAMA SOCIAL</t>
  </si>
  <si>
    <t>PRESUPUESTO FINANCIERO INICIAL</t>
  </si>
  <si>
    <t>PRESUPUETO FINANCIERO VIGENTE</t>
  </si>
  <si>
    <t xml:space="preserve">EJECUCIÓN FINANCIERA </t>
  </si>
  <si>
    <t>% Ejecucion General</t>
  </si>
  <si>
    <t>FINANCIERA</t>
  </si>
  <si>
    <t>META FISICA VIGENTE</t>
  </si>
  <si>
    <t>EJECUTADO</t>
  </si>
  <si>
    <t>% Ejecución</t>
  </si>
  <si>
    <t>EJECUCIÓN VIGENTE</t>
  </si>
  <si>
    <t>EJECUCIÓN EJECUTADO</t>
  </si>
  <si>
    <t>% EJECUCIÓN</t>
  </si>
  <si>
    <t>COMEDORES</t>
  </si>
  <si>
    <t>Comedor Social</t>
  </si>
  <si>
    <t>BOLSA DE ALIMENTOS</t>
  </si>
  <si>
    <t>Bolsa Social</t>
  </si>
  <si>
    <t>FAMILIAS SEGURAS</t>
  </si>
  <si>
    <t>Jóvenes Protagonistas</t>
  </si>
  <si>
    <t>BECA EDUCACIÓN MEDIA</t>
  </si>
  <si>
    <t>Beca Media</t>
  </si>
  <si>
    <t>BECA EDUCACIÓN SUPERIOR</t>
  </si>
  <si>
    <t>Beca Superior</t>
  </si>
  <si>
    <t>x</t>
  </si>
  <si>
    <t>TAMAHU</t>
  </si>
  <si>
    <t>CUBULCO 2</t>
  </si>
  <si>
    <t>CUBULCO (Fijo)</t>
  </si>
  <si>
    <t>SALAMA</t>
  </si>
  <si>
    <t>SALAMA 2</t>
  </si>
  <si>
    <t>ACATENANGO (cerrado)</t>
  </si>
  <si>
    <t>SAN AGUSTIN ACASAGUASTLAN (Fijo)</t>
  </si>
  <si>
    <t>SAN AGUSTIN ACASAGUASTLAN</t>
  </si>
  <si>
    <t>SAN AGUSTIN ACASAGUASTLAN 2</t>
  </si>
  <si>
    <t>EL INCIENSO ZONA 3</t>
  </si>
  <si>
    <t>NENTON</t>
  </si>
  <si>
    <t>SAN SEBASTIAN HUEHUETENANGO</t>
  </si>
  <si>
    <t>MOYUTA (Fijo)</t>
  </si>
  <si>
    <t>MOYUTA 2</t>
  </si>
  <si>
    <t>CABRICAN</t>
  </si>
  <si>
    <t>SAN FRANCISCO LA UNION</t>
  </si>
  <si>
    <t>CANILLA</t>
  </si>
  <si>
    <t>SAN BARTOLOME JOCOTENANGO</t>
  </si>
  <si>
    <t>SAN ANDRES VILLA SECA</t>
  </si>
  <si>
    <t>SAN ANDRES VILLA SECA 2</t>
  </si>
  <si>
    <t>SANTA LUCIA MILPAS ALTAS</t>
  </si>
  <si>
    <t>OCOS</t>
  </si>
  <si>
    <t>OCOS 2</t>
  </si>
  <si>
    <t>JULIO</t>
  </si>
  <si>
    <t>PLANILLA 8</t>
  </si>
  <si>
    <t>EJECUCIÓN 31 DE JULIO</t>
  </si>
  <si>
    <t>Tamahú</t>
  </si>
  <si>
    <t>San Pedro Carchá</t>
  </si>
  <si>
    <t>Tactic</t>
  </si>
  <si>
    <t>San Jerónimo</t>
  </si>
  <si>
    <t>San Miguel Chicaj</t>
  </si>
  <si>
    <t>La Esperanza</t>
  </si>
  <si>
    <t>Salcajá</t>
  </si>
  <si>
    <t>San Juan Ostuncalco</t>
  </si>
  <si>
    <t>Ciudad Vieja</t>
  </si>
  <si>
    <t>5092</t>
  </si>
  <si>
    <t>8805</t>
  </si>
  <si>
    <t>1941</t>
  </si>
  <si>
    <t>1779</t>
  </si>
  <si>
    <t>11160</t>
  </si>
  <si>
    <t>33556</t>
  </si>
  <si>
    <t>4779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</si>
</sst>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Q&quot;* #,##0.00_-;\-&quot;Q&quot;* #,##0.00_-;_-&quot;Q&quot;* &quot;-&quot;??_-;_-@_-"/>
    <numFmt numFmtId="43" formatCode="_-* #,##0.00_-;\-* #,##0.00_-;_-* &quot;-&quot;??_-;_-@_-"/>
    <numFmt numFmtId="164" formatCode="_-[$Q-100A]* #,##0.00_-;\-[$Q-100A]* #,##0.00_-;_-[$Q-100A]* &quot;-&quot;??_-;_-@_-"/>
    <numFmt numFmtId="165" formatCode="#,##0_ ;\-#,##0\ "/>
    <numFmt numFmtId="166" formatCode="&quot;Q&quot;#,##0.00"/>
    <numFmt numFmtId="167" formatCode="_-* #,##0.00\ _€_-;\-* #,##0.00\ _€_-;_-* &quot;-&quot;??\ _€_-;_-@_-"/>
    <numFmt numFmtId="168" formatCode="_-&quot;Q&quot;* #,##0_-;\-&quot;Q&quot;* #,##0_-;_-&quot;Q&quot;* &quot;-&quot;??_-;_-@_-"/>
  </numFmts>
  <fonts count="2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0"/>
      <name val="Arial Narrow"/>
      <family val="2"/>
    </font>
    <font>
      <sz val="12"/>
      <color theme="1"/>
      <name val="Calibri"/>
      <family val="2"/>
      <scheme val="minor"/>
    </font>
    <font>
      <b/>
      <sz val="10"/>
      <color theme="0"/>
      <name val="Arial Narrow"/>
      <family val="2"/>
    </font>
    <font>
      <b/>
      <sz val="11"/>
      <color theme="0"/>
      <name val="Arial Narrow"/>
      <family val="2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b/>
      <sz val="16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sz val="11"/>
      <color theme="0"/>
      <name val="Arial Narrow"/>
      <family val="2"/>
    </font>
    <font>
      <b/>
      <sz val="14"/>
      <color theme="0"/>
      <name val="Arial Narrow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Arial Narrow"/>
      <family val="2"/>
    </font>
    <font>
      <sz val="10"/>
      <color theme="0"/>
      <name val="Arial Narrow"/>
      <family val="2"/>
    </font>
    <font>
      <sz val="10"/>
      <name val="Arial Narrow"/>
      <family val="2"/>
    </font>
    <font>
      <sz val="10"/>
      <color theme="1"/>
      <name val="Calibri"/>
      <family val="2"/>
      <scheme val="minor"/>
    </font>
    <font>
      <b/>
      <sz val="12"/>
      <name val="Arial Narrow"/>
      <family val="2"/>
    </font>
    <font>
      <b/>
      <sz val="11"/>
      <name val="Arial Narrow"/>
      <family val="2"/>
    </font>
    <font>
      <b/>
      <sz val="10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203764"/>
        <bgColor rgb="FF000000"/>
      </patternFill>
    </fill>
  </fills>
  <borders count="6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9" borderId="0" applyNumberFormat="0" applyBorder="0" applyAlignment="0" applyProtection="0"/>
  </cellStyleXfs>
  <cellXfs count="397">
    <xf numFmtId="0" fontId="0" fillId="0" borderId="0" xfId="0"/>
    <xf numFmtId="0" fontId="0" fillId="2" borderId="0" xfId="0" applyFill="1"/>
    <xf numFmtId="0" fontId="0" fillId="3" borderId="0" xfId="0" applyFill="1"/>
    <xf numFmtId="0" fontId="4" fillId="4" borderId="12" xfId="0" applyFont="1" applyFill="1" applyBorder="1" applyAlignment="1">
      <alignment horizontal="center" vertical="center"/>
    </xf>
    <xf numFmtId="164" fontId="4" fillId="4" borderId="1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vertical="center"/>
    </xf>
    <xf numFmtId="0" fontId="4" fillId="2" borderId="12" xfId="0" applyFont="1" applyFill="1" applyBorder="1" applyAlignment="1">
      <alignment horizontal="center" vertical="center"/>
    </xf>
    <xf numFmtId="164" fontId="4" fillId="2" borderId="13" xfId="0" applyNumberFormat="1" applyFont="1" applyFill="1" applyBorder="1" applyAlignment="1">
      <alignment horizontal="center" vertical="center"/>
    </xf>
    <xf numFmtId="164" fontId="4" fillId="2" borderId="14" xfId="0" applyNumberFormat="1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164" fontId="4" fillId="3" borderId="13" xfId="0" applyNumberFormat="1" applyFont="1" applyFill="1" applyBorder="1" applyAlignment="1">
      <alignment horizontal="center" vertical="center"/>
    </xf>
    <xf numFmtId="3" fontId="4" fillId="3" borderId="14" xfId="0" applyNumberFormat="1" applyFont="1" applyFill="1" applyBorder="1" applyAlignment="1">
      <alignment horizontal="center" vertical="center"/>
    </xf>
    <xf numFmtId="164" fontId="4" fillId="4" borderId="13" xfId="0" applyNumberFormat="1" applyFont="1" applyFill="1" applyBorder="1" applyAlignment="1">
      <alignment horizontal="center" vertical="center"/>
    </xf>
    <xf numFmtId="0" fontId="4" fillId="3" borderId="15" xfId="0" applyFont="1" applyFill="1" applyBorder="1" applyAlignment="1">
      <alignment horizontal="center" vertical="center"/>
    </xf>
    <xf numFmtId="164" fontId="4" fillId="3" borderId="14" xfId="0" applyNumberFormat="1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164" fontId="4" fillId="4" borderId="14" xfId="0" applyNumberFormat="1" applyFont="1" applyFill="1" applyBorder="1" applyAlignment="1">
      <alignment horizontal="center" vertical="center"/>
    </xf>
    <xf numFmtId="3" fontId="4" fillId="4" borderId="14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vertical="center"/>
    </xf>
    <xf numFmtId="0" fontId="0" fillId="0" borderId="12" xfId="0" applyBorder="1" applyAlignment="1">
      <alignment horizontal="left" vertical="center"/>
    </xf>
    <xf numFmtId="1" fontId="0" fillId="0" borderId="12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 vertical="center"/>
    </xf>
    <xf numFmtId="0" fontId="0" fillId="0" borderId="12" xfId="0" applyBorder="1"/>
    <xf numFmtId="1" fontId="0" fillId="2" borderId="12" xfId="0" applyNumberFormat="1" applyFill="1" applyBorder="1" applyAlignment="1">
      <alignment horizontal="center" vertical="center"/>
    </xf>
    <xf numFmtId="164" fontId="0" fillId="2" borderId="12" xfId="0" applyNumberFormat="1" applyFill="1" applyBorder="1" applyAlignment="1">
      <alignment horizontal="center" vertical="center"/>
    </xf>
    <xf numFmtId="0" fontId="0" fillId="2" borderId="12" xfId="0" applyFill="1" applyBorder="1"/>
    <xf numFmtId="1" fontId="0" fillId="3" borderId="12" xfId="0" applyNumberFormat="1" applyFill="1" applyBorder="1" applyAlignment="1">
      <alignment horizontal="center" vertical="center"/>
    </xf>
    <xf numFmtId="164" fontId="0" fillId="3" borderId="12" xfId="0" applyNumberFormat="1" applyFill="1" applyBorder="1" applyAlignment="1">
      <alignment horizontal="center" vertical="center"/>
    </xf>
    <xf numFmtId="0" fontId="0" fillId="3" borderId="12" xfId="0" applyFill="1" applyBorder="1" applyAlignment="1">
      <alignment horizontal="center"/>
    </xf>
    <xf numFmtId="1" fontId="5" fillId="3" borderId="12" xfId="0" applyNumberFormat="1" applyFont="1" applyFill="1" applyBorder="1" applyAlignment="1">
      <alignment horizontal="center" vertical="center"/>
    </xf>
    <xf numFmtId="44" fontId="5" fillId="3" borderId="12" xfId="1" applyFont="1" applyFill="1" applyBorder="1" applyAlignment="1">
      <alignment horizontal="center" vertical="center"/>
    </xf>
    <xf numFmtId="1" fontId="5" fillId="0" borderId="12" xfId="0" applyNumberFormat="1" applyFont="1" applyBorder="1" applyAlignment="1">
      <alignment horizontal="center" vertical="center"/>
    </xf>
    <xf numFmtId="164" fontId="5" fillId="0" borderId="12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 vertical="center"/>
    </xf>
    <xf numFmtId="44" fontId="5" fillId="0" borderId="12" xfId="1" applyFont="1" applyBorder="1" applyAlignment="1">
      <alignment horizontal="center" vertical="center"/>
    </xf>
    <xf numFmtId="44" fontId="0" fillId="0" borderId="12" xfId="1" applyFont="1" applyBorder="1" applyAlignment="1">
      <alignment horizontal="center" vertical="center"/>
    </xf>
    <xf numFmtId="164" fontId="0" fillId="0" borderId="0" xfId="0" applyNumberFormat="1"/>
    <xf numFmtId="1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" fontId="0" fillId="3" borderId="0" xfId="0" applyNumberFormat="1" applyFill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44" fontId="0" fillId="3" borderId="0" xfId="0" applyNumberFormat="1" applyFill="1" applyAlignment="1">
      <alignment horizontal="center"/>
    </xf>
    <xf numFmtId="1" fontId="0" fillId="0" borderId="0" xfId="0" applyNumberFormat="1"/>
    <xf numFmtId="164" fontId="6" fillId="4" borderId="14" xfId="0" applyNumberFormat="1" applyFont="1" applyFill="1" applyBorder="1" applyAlignment="1">
      <alignment horizontal="center" vertical="center"/>
    </xf>
    <xf numFmtId="3" fontId="6" fillId="4" borderId="14" xfId="0" applyNumberFormat="1" applyFont="1" applyFill="1" applyBorder="1" applyAlignment="1">
      <alignment horizontal="center" vertical="center"/>
    </xf>
    <xf numFmtId="164" fontId="7" fillId="4" borderId="13" xfId="0" applyNumberFormat="1" applyFont="1" applyFill="1" applyBorder="1" applyAlignment="1">
      <alignment horizontal="center" vertical="center"/>
    </xf>
    <xf numFmtId="164" fontId="7" fillId="4" borderId="14" xfId="0" applyNumberFormat="1" applyFont="1" applyFill="1" applyBorder="1" applyAlignment="1">
      <alignment horizontal="center" vertical="center"/>
    </xf>
    <xf numFmtId="3" fontId="7" fillId="4" borderId="14" xfId="0" applyNumberFormat="1" applyFon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 applyAlignment="1">
      <alignment vertical="center"/>
    </xf>
    <xf numFmtId="0" fontId="0" fillId="5" borderId="12" xfId="0" applyFill="1" applyBorder="1" applyAlignment="1">
      <alignment horizontal="left" vertical="center"/>
    </xf>
    <xf numFmtId="164" fontId="0" fillId="5" borderId="12" xfId="0" applyNumberFormat="1" applyFill="1" applyBorder="1" applyAlignment="1">
      <alignment horizontal="center" vertical="center"/>
    </xf>
    <xf numFmtId="0" fontId="0" fillId="5" borderId="12" xfId="0" applyFill="1" applyBorder="1"/>
    <xf numFmtId="1" fontId="0" fillId="5" borderId="12" xfId="0" applyNumberFormat="1" applyFill="1" applyBorder="1" applyAlignment="1">
      <alignment horizontal="center" vertical="center"/>
    </xf>
    <xf numFmtId="164" fontId="0" fillId="5" borderId="12" xfId="0" applyNumberFormat="1" applyFill="1" applyBorder="1" applyAlignment="1">
      <alignment horizontal="center"/>
    </xf>
    <xf numFmtId="0" fontId="0" fillId="0" borderId="0" xfId="0" applyAlignment="1">
      <alignment horizontal="right"/>
    </xf>
    <xf numFmtId="0" fontId="0" fillId="0" borderId="12" xfId="0" applyBorder="1" applyAlignment="1">
      <alignment horizontal="right"/>
    </xf>
    <xf numFmtId="0" fontId="8" fillId="0" borderId="0" xfId="0" applyFont="1" applyAlignment="1">
      <alignment horizontal="center" vertical="center"/>
    </xf>
    <xf numFmtId="3" fontId="4" fillId="4" borderId="11" xfId="0" applyNumberFormat="1" applyFont="1" applyFill="1" applyBorder="1" applyAlignment="1">
      <alignment horizontal="center" vertical="center"/>
    </xf>
    <xf numFmtId="3" fontId="4" fillId="4" borderId="12" xfId="0" applyNumberFormat="1" applyFont="1" applyFill="1" applyBorder="1" applyAlignment="1">
      <alignment horizontal="center" vertical="center"/>
    </xf>
    <xf numFmtId="3" fontId="4" fillId="4" borderId="16" xfId="0" applyNumberFormat="1" applyFont="1" applyFill="1" applyBorder="1" applyAlignment="1">
      <alignment horizontal="center" vertical="center"/>
    </xf>
    <xf numFmtId="164" fontId="4" fillId="4" borderId="19" xfId="0" applyNumberFormat="1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" fontId="8" fillId="0" borderId="11" xfId="0" applyNumberFormat="1" applyFont="1" applyBorder="1" applyAlignment="1">
      <alignment horizontal="center" vertical="center"/>
    </xf>
    <xf numFmtId="3" fontId="8" fillId="0" borderId="15" xfId="0" applyNumberFormat="1" applyFont="1" applyBorder="1" applyAlignment="1">
      <alignment horizontal="center" vertical="center"/>
    </xf>
    <xf numFmtId="3" fontId="8" fillId="0" borderId="12" xfId="0" applyNumberFormat="1" applyFont="1" applyBorder="1" applyAlignment="1">
      <alignment horizontal="center" vertical="center"/>
    </xf>
    <xf numFmtId="3" fontId="8" fillId="0" borderId="22" xfId="0" applyNumberFormat="1" applyFont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3" fontId="8" fillId="2" borderId="11" xfId="0" applyNumberFormat="1" applyFont="1" applyFill="1" applyBorder="1" applyAlignment="1">
      <alignment horizontal="center" vertical="center"/>
    </xf>
    <xf numFmtId="3" fontId="8" fillId="2" borderId="12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44" fontId="8" fillId="0" borderId="0" xfId="1" applyFont="1" applyFill="1" applyAlignment="1">
      <alignment horizontal="center" vertical="center"/>
    </xf>
    <xf numFmtId="0" fontId="11" fillId="0" borderId="0" xfId="0" applyFont="1"/>
    <xf numFmtId="0" fontId="11" fillId="0" borderId="11" xfId="0" applyFont="1" applyBorder="1" applyAlignment="1">
      <alignment horizontal="center" vertical="center"/>
    </xf>
    <xf numFmtId="164" fontId="11" fillId="0" borderId="12" xfId="0" applyNumberFormat="1" applyFont="1" applyBorder="1"/>
    <xf numFmtId="0" fontId="11" fillId="0" borderId="12" xfId="0" applyFont="1" applyBorder="1" applyAlignment="1">
      <alignment horizontal="center"/>
    </xf>
    <xf numFmtId="166" fontId="11" fillId="0" borderId="12" xfId="0" applyNumberFormat="1" applyFont="1" applyBorder="1"/>
    <xf numFmtId="166" fontId="11" fillId="0" borderId="12" xfId="0" applyNumberFormat="1" applyFont="1" applyBorder="1" applyAlignment="1">
      <alignment horizontal="right"/>
    </xf>
    <xf numFmtId="0" fontId="11" fillId="0" borderId="12" xfId="0" applyFont="1" applyBorder="1"/>
    <xf numFmtId="164" fontId="11" fillId="0" borderId="13" xfId="0" applyNumberFormat="1" applyFont="1" applyBorder="1"/>
    <xf numFmtId="0" fontId="11" fillId="0" borderId="12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16" xfId="0" applyFont="1" applyBorder="1" applyAlignment="1">
      <alignment horizontal="center" vertical="center"/>
    </xf>
    <xf numFmtId="49" fontId="11" fillId="0" borderId="32" xfId="0" applyNumberFormat="1" applyFont="1" applyBorder="1" applyAlignment="1">
      <alignment horizontal="center"/>
    </xf>
    <xf numFmtId="0" fontId="12" fillId="0" borderId="32" xfId="0" applyFont="1" applyBorder="1" applyAlignment="1">
      <alignment horizontal="center"/>
    </xf>
    <xf numFmtId="164" fontId="12" fillId="0" borderId="32" xfId="0" applyNumberFormat="1" applyFont="1" applyBorder="1" applyAlignment="1">
      <alignment horizontal="right"/>
    </xf>
    <xf numFmtId="164" fontId="12" fillId="0" borderId="33" xfId="0" applyNumberFormat="1" applyFont="1" applyBorder="1" applyAlignment="1">
      <alignment horizontal="right"/>
    </xf>
    <xf numFmtId="49" fontId="13" fillId="4" borderId="2" xfId="0" applyNumberFormat="1" applyFont="1" applyFill="1" applyBorder="1" applyAlignment="1">
      <alignment horizontal="center"/>
    </xf>
    <xf numFmtId="166" fontId="7" fillId="4" borderId="2" xfId="0" applyNumberFormat="1" applyFont="1" applyFill="1" applyBorder="1"/>
    <xf numFmtId="166" fontId="7" fillId="4" borderId="2" xfId="0" applyNumberFormat="1" applyFont="1" applyFill="1" applyBorder="1" applyAlignment="1">
      <alignment horizontal="right"/>
    </xf>
    <xf numFmtId="0" fontId="7" fillId="4" borderId="12" xfId="0" applyFont="1" applyFill="1" applyBorder="1" applyAlignment="1">
      <alignment horizontal="center" vertical="center"/>
    </xf>
    <xf numFmtId="164" fontId="7" fillId="4" borderId="12" xfId="0" applyNumberFormat="1" applyFont="1" applyFill="1" applyBorder="1"/>
    <xf numFmtId="49" fontId="13" fillId="4" borderId="12" xfId="0" applyNumberFormat="1" applyFont="1" applyFill="1" applyBorder="1" applyAlignment="1">
      <alignment horizontal="center"/>
    </xf>
    <xf numFmtId="166" fontId="7" fillId="4" borderId="12" xfId="0" applyNumberFormat="1" applyFont="1" applyFill="1" applyBorder="1"/>
    <xf numFmtId="166" fontId="7" fillId="4" borderId="12" xfId="0" applyNumberFormat="1" applyFont="1" applyFill="1" applyBorder="1" applyAlignment="1">
      <alignment horizontal="right"/>
    </xf>
    <xf numFmtId="0" fontId="7" fillId="4" borderId="12" xfId="0" applyFont="1" applyFill="1" applyBorder="1" applyAlignment="1">
      <alignment horizontal="center"/>
    </xf>
    <xf numFmtId="0" fontId="7" fillId="4" borderId="26" xfId="0" applyFont="1" applyFill="1" applyBorder="1" applyAlignment="1">
      <alignment horizontal="center" vertical="center"/>
    </xf>
    <xf numFmtId="164" fontId="7" fillId="4" borderId="26" xfId="0" applyNumberFormat="1" applyFont="1" applyFill="1" applyBorder="1"/>
    <xf numFmtId="0" fontId="7" fillId="4" borderId="26" xfId="0" applyFont="1" applyFill="1" applyBorder="1" applyAlignment="1">
      <alignment horizontal="center"/>
    </xf>
    <xf numFmtId="166" fontId="7" fillId="4" borderId="26" xfId="0" applyNumberFormat="1" applyFont="1" applyFill="1" applyBorder="1"/>
    <xf numFmtId="166" fontId="7" fillId="4" borderId="26" xfId="0" applyNumberFormat="1" applyFont="1" applyFill="1" applyBorder="1" applyAlignment="1">
      <alignment horizontal="right"/>
    </xf>
    <xf numFmtId="0" fontId="11" fillId="0" borderId="0" xfId="0" applyFont="1" applyAlignment="1">
      <alignment horizontal="center" vertical="center"/>
    </xf>
    <xf numFmtId="166" fontId="11" fillId="0" borderId="0" xfId="0" applyNumberFormat="1" applyFont="1"/>
    <xf numFmtId="164" fontId="11" fillId="0" borderId="0" xfId="0" applyNumberFormat="1" applyFont="1"/>
    <xf numFmtId="0" fontId="10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5" fillId="6" borderId="12" xfId="0" applyFont="1" applyFill="1" applyBorder="1"/>
    <xf numFmtId="0" fontId="15" fillId="6" borderId="14" xfId="0" applyFont="1" applyFill="1" applyBorder="1"/>
    <xf numFmtId="0" fontId="15" fillId="7" borderId="12" xfId="0" applyFont="1" applyFill="1" applyBorder="1"/>
    <xf numFmtId="0" fontId="15" fillId="7" borderId="12" xfId="0" applyFont="1" applyFill="1" applyBorder="1" applyAlignment="1">
      <alignment horizontal="center"/>
    </xf>
    <xf numFmtId="0" fontId="15" fillId="8" borderId="40" xfId="0" applyFont="1" applyFill="1" applyBorder="1" applyAlignment="1">
      <alignment horizontal="center" vertical="center"/>
    </xf>
    <xf numFmtId="0" fontId="15" fillId="8" borderId="41" xfId="0" applyFont="1" applyFill="1" applyBorder="1" applyAlignment="1">
      <alignment horizontal="center" vertical="center"/>
    </xf>
    <xf numFmtId="49" fontId="15" fillId="8" borderId="41" xfId="0" applyNumberFormat="1" applyFont="1" applyFill="1" applyBorder="1" applyAlignment="1">
      <alignment horizontal="center" vertical="center" wrapText="1"/>
    </xf>
    <xf numFmtId="3" fontId="15" fillId="8" borderId="25" xfId="0" applyNumberFormat="1" applyFont="1" applyFill="1" applyBorder="1" applyAlignment="1">
      <alignment horizontal="center" vertical="center" wrapText="1"/>
    </xf>
    <xf numFmtId="3" fontId="15" fillId="8" borderId="42" xfId="0" applyNumberFormat="1" applyFont="1" applyFill="1" applyBorder="1" applyAlignment="1">
      <alignment horizontal="center" vertical="center" wrapText="1"/>
    </xf>
    <xf numFmtId="3" fontId="15" fillId="8" borderId="43" xfId="0" applyNumberFormat="1" applyFont="1" applyFill="1" applyBorder="1" applyAlignment="1">
      <alignment horizontal="center" vertical="center" wrapText="1"/>
    </xf>
    <xf numFmtId="3" fontId="15" fillId="8" borderId="44" xfId="0" applyNumberFormat="1" applyFont="1" applyFill="1" applyBorder="1" applyAlignment="1">
      <alignment horizontal="center" vertical="center" wrapText="1"/>
    </xf>
    <xf numFmtId="3" fontId="15" fillId="8" borderId="45" xfId="0" applyNumberFormat="1" applyFont="1" applyFill="1" applyBorder="1" applyAlignment="1">
      <alignment horizontal="center" vertical="center" wrapText="1"/>
    </xf>
    <xf numFmtId="3" fontId="15" fillId="8" borderId="29" xfId="0" applyNumberFormat="1" applyFont="1" applyFill="1" applyBorder="1" applyAlignment="1">
      <alignment horizontal="center" vertical="center" wrapText="1"/>
    </xf>
    <xf numFmtId="4" fontId="15" fillId="8" borderId="46" xfId="0" applyNumberFormat="1" applyFont="1" applyFill="1" applyBorder="1" applyAlignment="1">
      <alignment horizontal="center" vertical="center" wrapText="1"/>
    </xf>
    <xf numFmtId="0" fontId="15" fillId="0" borderId="0" xfId="0" applyFont="1"/>
    <xf numFmtId="0" fontId="0" fillId="0" borderId="47" xfId="0" applyBorder="1" applyAlignment="1">
      <alignment horizontal="center" vertical="center"/>
    </xf>
    <xf numFmtId="0" fontId="0" fillId="0" borderId="21" xfId="0" applyBorder="1"/>
    <xf numFmtId="0" fontId="0" fillId="0" borderId="21" xfId="0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/>
    </xf>
    <xf numFmtId="3" fontId="0" fillId="0" borderId="47" xfId="0" applyNumberFormat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48" xfId="0" applyNumberFormat="1" applyBorder="1" applyAlignment="1">
      <alignment horizontal="center" vertical="center"/>
    </xf>
    <xf numFmtId="3" fontId="0" fillId="0" borderId="49" xfId="3" applyNumberFormat="1" applyFont="1" applyFill="1" applyBorder="1" applyAlignment="1">
      <alignment horizontal="center" vertical="center"/>
    </xf>
    <xf numFmtId="3" fontId="0" fillId="0" borderId="9" xfId="3" applyNumberFormat="1" applyFont="1" applyFill="1" applyBorder="1" applyAlignment="1">
      <alignment horizontal="center" vertical="center"/>
    </xf>
    <xf numFmtId="3" fontId="0" fillId="0" borderId="21" xfId="3" applyNumberFormat="1" applyFont="1" applyFill="1" applyBorder="1" applyAlignment="1">
      <alignment horizontal="center" vertical="center"/>
    </xf>
    <xf numFmtId="168" fontId="0" fillId="0" borderId="23" xfId="1" applyNumberFormat="1" applyFont="1" applyFill="1" applyBorder="1" applyAlignment="1">
      <alignment horizontal="right" vertical="center"/>
    </xf>
    <xf numFmtId="0" fontId="0" fillId="0" borderId="11" xfId="0" applyBorder="1" applyAlignment="1">
      <alignment horizontal="center" vertical="center"/>
    </xf>
    <xf numFmtId="3" fontId="0" fillId="0" borderId="12" xfId="3" applyNumberFormat="1" applyFont="1" applyFill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16" xfId="0" applyBorder="1"/>
    <xf numFmtId="0" fontId="0" fillId="0" borderId="16" xfId="0" applyBorder="1" applyAlignment="1">
      <alignment horizontal="center" vertical="center"/>
    </xf>
    <xf numFmtId="3" fontId="0" fillId="0" borderId="51" xfId="0" applyNumberFormat="1" applyBorder="1" applyAlignment="1">
      <alignment horizontal="center" vertical="center"/>
    </xf>
    <xf numFmtId="3" fontId="0" fillId="0" borderId="52" xfId="0" applyNumberFormat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3" fontId="0" fillId="0" borderId="53" xfId="3" applyNumberFormat="1" applyFont="1" applyFill="1" applyBorder="1" applyAlignment="1">
      <alignment horizontal="center" vertical="center"/>
    </xf>
    <xf numFmtId="3" fontId="0" fillId="0" borderId="16" xfId="3" applyNumberFormat="1" applyFont="1" applyFill="1" applyBorder="1" applyAlignment="1">
      <alignment horizontal="center" vertical="center"/>
    </xf>
    <xf numFmtId="168" fontId="0" fillId="0" borderId="51" xfId="1" applyNumberFormat="1" applyFont="1" applyFill="1" applyBorder="1" applyAlignment="1">
      <alignment horizontal="right" vertical="center"/>
    </xf>
    <xf numFmtId="0" fontId="15" fillId="8" borderId="41" xfId="0" applyFont="1" applyFill="1" applyBorder="1" applyAlignment="1">
      <alignment horizontal="center"/>
    </xf>
    <xf numFmtId="3" fontId="15" fillId="8" borderId="54" xfId="0" applyNumberFormat="1" applyFont="1" applyFill="1" applyBorder="1" applyAlignment="1">
      <alignment horizontal="center"/>
    </xf>
    <xf numFmtId="3" fontId="15" fillId="8" borderId="40" xfId="0" applyNumberFormat="1" applyFont="1" applyFill="1" applyBorder="1" applyAlignment="1">
      <alignment horizontal="center"/>
    </xf>
    <xf numFmtId="3" fontId="15" fillId="8" borderId="46" xfId="0" applyNumberFormat="1" applyFont="1" applyFill="1" applyBorder="1" applyAlignment="1">
      <alignment horizontal="center"/>
    </xf>
    <xf numFmtId="3" fontId="15" fillId="8" borderId="41" xfId="0" applyNumberFormat="1" applyFont="1" applyFill="1" applyBorder="1" applyAlignment="1">
      <alignment horizontal="center"/>
    </xf>
    <xf numFmtId="3" fontId="15" fillId="8" borderId="55" xfId="0" applyNumberFormat="1" applyFont="1" applyFill="1" applyBorder="1" applyAlignment="1">
      <alignment horizontal="center"/>
    </xf>
    <xf numFmtId="168" fontId="15" fillId="8" borderId="46" xfId="1" applyNumberFormat="1" applyFont="1" applyFill="1" applyBorder="1" applyAlignment="1">
      <alignment horizontal="right"/>
    </xf>
    <xf numFmtId="44" fontId="16" fillId="0" borderId="0" xfId="1" applyFont="1" applyFill="1" applyBorder="1" applyAlignment="1">
      <alignment horizontal="center"/>
    </xf>
    <xf numFmtId="4" fontId="16" fillId="0" borderId="0" xfId="0" applyNumberFormat="1" applyFont="1" applyAlignment="1">
      <alignment horizontal="right"/>
    </xf>
    <xf numFmtId="3" fontId="15" fillId="0" borderId="0" xfId="0" applyNumberFormat="1" applyFont="1" applyAlignment="1">
      <alignment horizontal="center"/>
    </xf>
    <xf numFmtId="4" fontId="15" fillId="0" borderId="0" xfId="0" applyNumberFormat="1" applyFont="1" applyAlignment="1">
      <alignment horizontal="right"/>
    </xf>
    <xf numFmtId="49" fontId="0" fillId="0" borderId="0" xfId="0" applyNumberFormat="1" applyAlignment="1">
      <alignment horizontal="center"/>
    </xf>
    <xf numFmtId="49" fontId="0" fillId="0" borderId="0" xfId="0" applyNumberFormat="1"/>
    <xf numFmtId="165" fontId="15" fillId="8" borderId="12" xfId="2" applyNumberFormat="1" applyFont="1" applyFill="1" applyBorder="1" applyAlignment="1">
      <alignment horizontal="left" wrapText="1"/>
    </xf>
    <xf numFmtId="168" fontId="0" fillId="0" borderId="12" xfId="1" applyNumberFormat="1" applyFont="1" applyBorder="1" applyAlignment="1">
      <alignment horizontal="right"/>
    </xf>
    <xf numFmtId="1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3" fontId="15" fillId="8" borderId="12" xfId="0" applyNumberFormat="1" applyFont="1" applyFill="1" applyBorder="1" applyAlignment="1">
      <alignment horizontal="left" wrapText="1"/>
    </xf>
    <xf numFmtId="168" fontId="15" fillId="0" borderId="12" xfId="1" applyNumberFormat="1" applyFont="1" applyBorder="1" applyAlignment="1">
      <alignment horizontal="right"/>
    </xf>
    <xf numFmtId="4" fontId="0" fillId="0" borderId="0" xfId="0" applyNumberFormat="1" applyAlignment="1">
      <alignment horizontal="right"/>
    </xf>
    <xf numFmtId="49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64" fontId="12" fillId="0" borderId="0" xfId="0" applyNumberFormat="1" applyFont="1"/>
    <xf numFmtId="164" fontId="7" fillId="0" borderId="0" xfId="0" applyNumberFormat="1" applyFont="1"/>
    <xf numFmtId="44" fontId="0" fillId="0" borderId="0" xfId="1" applyFont="1"/>
    <xf numFmtId="0" fontId="17" fillId="4" borderId="34" xfId="0" applyFont="1" applyFill="1" applyBorder="1" applyAlignment="1">
      <alignment horizontal="center" vertical="center"/>
    </xf>
    <xf numFmtId="0" fontId="17" fillId="4" borderId="56" xfId="0" applyFont="1" applyFill="1" applyBorder="1" applyAlignment="1">
      <alignment horizontal="center" vertical="center"/>
    </xf>
    <xf numFmtId="44" fontId="17" fillId="4" borderId="36" xfId="1" applyFont="1" applyFill="1" applyBorder="1" applyAlignment="1">
      <alignment vertical="center" wrapText="1"/>
    </xf>
    <xf numFmtId="165" fontId="17" fillId="4" borderId="0" xfId="1" applyNumberFormat="1" applyFont="1" applyFill="1" applyBorder="1" applyAlignment="1">
      <alignment horizontal="center" vertical="center" wrapText="1"/>
    </xf>
    <xf numFmtId="165" fontId="17" fillId="4" borderId="0" xfId="1" applyNumberFormat="1" applyFont="1" applyFill="1" applyBorder="1" applyAlignment="1">
      <alignment vertical="center" wrapText="1"/>
    </xf>
    <xf numFmtId="165" fontId="17" fillId="4" borderId="57" xfId="1" applyNumberFormat="1" applyFont="1" applyFill="1" applyBorder="1" applyAlignment="1">
      <alignment vertical="center" wrapText="1"/>
    </xf>
    <xf numFmtId="1" fontId="17" fillId="4" borderId="36" xfId="1" applyNumberFormat="1" applyFont="1" applyFill="1" applyBorder="1" applyAlignment="1">
      <alignment horizontal="center" vertical="center"/>
    </xf>
    <xf numFmtId="44" fontId="17" fillId="4" borderId="57" xfId="1" applyFont="1" applyFill="1" applyBorder="1" applyAlignment="1">
      <alignment horizontal="center" vertical="center"/>
    </xf>
    <xf numFmtId="44" fontId="20" fillId="4" borderId="36" xfId="1" applyFont="1" applyFill="1" applyBorder="1" applyAlignment="1">
      <alignment horizontal="center" vertical="center" wrapText="1"/>
    </xf>
    <xf numFmtId="165" fontId="20" fillId="4" borderId="0" xfId="1" applyNumberFormat="1" applyFont="1" applyFill="1" applyBorder="1" applyAlignment="1">
      <alignment horizontal="center" vertical="center" wrapText="1"/>
    </xf>
    <xf numFmtId="165" fontId="20" fillId="4" borderId="0" xfId="1" applyNumberFormat="1" applyFont="1" applyFill="1" applyBorder="1" applyAlignment="1">
      <alignment horizontal="center" vertical="center"/>
    </xf>
    <xf numFmtId="44" fontId="19" fillId="10" borderId="36" xfId="0" applyNumberFormat="1" applyFont="1" applyFill="1" applyBorder="1" applyAlignment="1">
      <alignment horizontal="center" vertical="center" wrapText="1"/>
    </xf>
    <xf numFmtId="44" fontId="17" fillId="4" borderId="0" xfId="1" applyFont="1" applyFill="1" applyBorder="1" applyAlignment="1">
      <alignment horizontal="center" vertical="center" wrapText="1"/>
    </xf>
    <xf numFmtId="44" fontId="19" fillId="10" borderId="57" xfId="0" applyNumberFormat="1" applyFont="1" applyFill="1" applyBorder="1" applyAlignment="1">
      <alignment vertical="center" wrapText="1"/>
    </xf>
    <xf numFmtId="0" fontId="1" fillId="9" borderId="36" xfId="5" applyBorder="1"/>
    <xf numFmtId="0" fontId="1" fillId="9" borderId="57" xfId="5" applyBorder="1"/>
    <xf numFmtId="44" fontId="1" fillId="9" borderId="36" xfId="5" applyNumberFormat="1" applyBorder="1"/>
    <xf numFmtId="44" fontId="1" fillId="9" borderId="0" xfId="5" applyNumberFormat="1" applyBorder="1"/>
    <xf numFmtId="44" fontId="1" fillId="9" borderId="57" xfId="5" applyNumberFormat="1" applyBorder="1"/>
    <xf numFmtId="10" fontId="2" fillId="9" borderId="0" xfId="4" applyNumberFormat="1" applyFill="1" applyBorder="1"/>
    <xf numFmtId="3" fontId="15" fillId="9" borderId="36" xfId="5" applyNumberFormat="1" applyFont="1" applyBorder="1"/>
    <xf numFmtId="44" fontId="15" fillId="9" borderId="57" xfId="5" applyNumberFormat="1" applyFont="1" applyBorder="1"/>
    <xf numFmtId="3" fontId="1" fillId="9" borderId="36" xfId="5" applyNumberFormat="1" applyBorder="1"/>
    <xf numFmtId="165" fontId="15" fillId="9" borderId="0" xfId="5" applyNumberFormat="1" applyFont="1" applyBorder="1"/>
    <xf numFmtId="10" fontId="1" fillId="9" borderId="0" xfId="5" applyNumberFormat="1" applyBorder="1"/>
    <xf numFmtId="44" fontId="0" fillId="9" borderId="36" xfId="5" applyNumberFormat="1" applyFont="1" applyBorder="1"/>
    <xf numFmtId="44" fontId="15" fillId="9" borderId="0" xfId="5" applyNumberFormat="1" applyFont="1" applyBorder="1"/>
    <xf numFmtId="10" fontId="1" fillId="9" borderId="57" xfId="5" applyNumberFormat="1" applyBorder="1"/>
    <xf numFmtId="44" fontId="15" fillId="9" borderId="37" xfId="1" applyFont="1" applyFill="1" applyBorder="1"/>
    <xf numFmtId="3" fontId="1" fillId="9" borderId="0" xfId="5" applyNumberFormat="1" applyBorder="1"/>
    <xf numFmtId="10" fontId="1" fillId="9" borderId="37" xfId="5" applyNumberFormat="1" applyBorder="1"/>
    <xf numFmtId="3" fontId="15" fillId="9" borderId="0" xfId="5" applyNumberFormat="1" applyFont="1" applyBorder="1"/>
    <xf numFmtId="0" fontId="0" fillId="9" borderId="36" xfId="5" applyFont="1" applyBorder="1"/>
    <xf numFmtId="44" fontId="15" fillId="9" borderId="0" xfId="1" applyFont="1" applyFill="1" applyBorder="1"/>
    <xf numFmtId="0" fontId="1" fillId="9" borderId="28" xfId="5" applyBorder="1"/>
    <xf numFmtId="0" fontId="1" fillId="9" borderId="45" xfId="5" applyBorder="1"/>
    <xf numFmtId="44" fontId="1" fillId="9" borderId="28" xfId="5" applyNumberFormat="1" applyBorder="1"/>
    <xf numFmtId="44" fontId="1" fillId="9" borderId="27" xfId="5" applyNumberFormat="1" applyBorder="1"/>
    <xf numFmtId="44" fontId="1" fillId="9" borderId="45" xfId="5" applyNumberFormat="1" applyBorder="1"/>
    <xf numFmtId="3" fontId="15" fillId="9" borderId="28" xfId="5" applyNumberFormat="1" applyFont="1" applyBorder="1"/>
    <xf numFmtId="44" fontId="15" fillId="9" borderId="45" xfId="1" applyFont="1" applyFill="1" applyBorder="1"/>
    <xf numFmtId="3" fontId="1" fillId="9" borderId="28" xfId="5" applyNumberFormat="1" applyBorder="1"/>
    <xf numFmtId="3" fontId="15" fillId="9" borderId="27" xfId="5" applyNumberFormat="1" applyFont="1" applyBorder="1"/>
    <xf numFmtId="10" fontId="1" fillId="9" borderId="39" xfId="5" applyNumberFormat="1" applyBorder="1"/>
    <xf numFmtId="44" fontId="15" fillId="9" borderId="27" xfId="5" applyNumberFormat="1" applyFont="1" applyBorder="1"/>
    <xf numFmtId="10" fontId="1" fillId="9" borderId="45" xfId="5" applyNumberFormat="1" applyBorder="1"/>
    <xf numFmtId="44" fontId="0" fillId="0" borderId="0" xfId="1" applyFont="1" applyBorder="1"/>
    <xf numFmtId="0" fontId="8" fillId="0" borderId="16" xfId="0" applyFont="1" applyBorder="1" applyAlignment="1">
      <alignment vertical="center"/>
    </xf>
    <xf numFmtId="0" fontId="8" fillId="0" borderId="21" xfId="0" applyFont="1" applyBorder="1" applyAlignment="1">
      <alignment vertical="center"/>
    </xf>
    <xf numFmtId="0" fontId="8" fillId="2" borderId="16" xfId="0" applyFont="1" applyFill="1" applyBorder="1" applyAlignment="1">
      <alignment vertical="center"/>
    </xf>
    <xf numFmtId="3" fontId="8" fillId="2" borderId="15" xfId="0" applyNumberFormat="1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vertical="center"/>
    </xf>
    <xf numFmtId="0" fontId="15" fillId="6" borderId="33" xfId="0" applyFont="1" applyFill="1" applyBorder="1" applyAlignment="1">
      <alignment horizontal="center" vertical="center"/>
    </xf>
    <xf numFmtId="0" fontId="15" fillId="6" borderId="32" xfId="0" applyFont="1" applyFill="1" applyBorder="1" applyAlignment="1">
      <alignment horizontal="center" vertical="center"/>
    </xf>
    <xf numFmtId="0" fontId="15" fillId="7" borderId="15" xfId="0" applyFont="1" applyFill="1" applyBorder="1"/>
    <xf numFmtId="3" fontId="15" fillId="8" borderId="27" xfId="0" applyNumberFormat="1" applyFont="1" applyFill="1" applyBorder="1" applyAlignment="1">
      <alignment horizontal="center" vertical="center" wrapText="1"/>
    </xf>
    <xf numFmtId="3" fontId="15" fillId="8" borderId="31" xfId="0" applyNumberFormat="1" applyFont="1" applyFill="1" applyBorder="1" applyAlignment="1">
      <alignment horizontal="center" vertical="center" wrapText="1"/>
    </xf>
    <xf numFmtId="3" fontId="0" fillId="0" borderId="10" xfId="3" applyNumberFormat="1" applyFont="1" applyFill="1" applyBorder="1" applyAlignment="1">
      <alignment horizontal="center" vertical="center"/>
    </xf>
    <xf numFmtId="3" fontId="0" fillId="0" borderId="58" xfId="3" applyNumberFormat="1" applyFont="1" applyFill="1" applyBorder="1" applyAlignment="1">
      <alignment horizontal="center" vertical="center"/>
    </xf>
    <xf numFmtId="3" fontId="0" fillId="0" borderId="38" xfId="3" applyNumberFormat="1" applyFont="1" applyFill="1" applyBorder="1" applyAlignment="1">
      <alignment horizontal="center" vertical="center"/>
    </xf>
    <xf numFmtId="3" fontId="0" fillId="0" borderId="59" xfId="3" applyNumberFormat="1" applyFont="1" applyFill="1" applyBorder="1" applyAlignment="1">
      <alignment horizontal="center" vertical="center"/>
    </xf>
    <xf numFmtId="3" fontId="0" fillId="0" borderId="24" xfId="3" applyNumberFormat="1" applyFont="1" applyFill="1" applyBorder="1" applyAlignment="1">
      <alignment horizontal="center" vertical="center"/>
    </xf>
    <xf numFmtId="3" fontId="0" fillId="0" borderId="60" xfId="3" applyNumberFormat="1" applyFont="1" applyFill="1" applyBorder="1" applyAlignment="1">
      <alignment horizontal="center" vertical="center"/>
    </xf>
    <xf numFmtId="3" fontId="0" fillId="0" borderId="0" xfId="3" applyNumberFormat="1" applyFont="1" applyFill="1" applyBorder="1" applyAlignment="1">
      <alignment horizontal="center" vertical="center"/>
    </xf>
    <xf numFmtId="3" fontId="15" fillId="8" borderId="29" xfId="0" applyNumberFormat="1" applyFont="1" applyFill="1" applyBorder="1" applyAlignment="1">
      <alignment horizontal="center"/>
    </xf>
    <xf numFmtId="3" fontId="15" fillId="8" borderId="32" xfId="0" applyNumberFormat="1" applyFont="1" applyFill="1" applyBorder="1" applyAlignment="1">
      <alignment horizontal="center"/>
    </xf>
    <xf numFmtId="166" fontId="11" fillId="0" borderId="0" xfId="0" applyNumberFormat="1" applyFont="1" applyAlignment="1">
      <alignment horizontal="center" vertical="center"/>
    </xf>
    <xf numFmtId="0" fontId="4" fillId="4" borderId="50" xfId="0" applyFont="1" applyFill="1" applyBorder="1" applyAlignment="1">
      <alignment horizontal="center" vertical="center"/>
    </xf>
    <xf numFmtId="164" fontId="4" fillId="4" borderId="16" xfId="0" applyNumberFormat="1" applyFont="1" applyFill="1" applyBorder="1" applyAlignment="1">
      <alignment horizontal="center" vertical="center"/>
    </xf>
    <xf numFmtId="166" fontId="4" fillId="4" borderId="16" xfId="0" applyNumberFormat="1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64" fontId="11" fillId="0" borderId="2" xfId="0" applyNumberFormat="1" applyFont="1" applyBorder="1"/>
    <xf numFmtId="0" fontId="11" fillId="0" borderId="2" xfId="0" applyFont="1" applyBorder="1" applyAlignment="1">
      <alignment horizontal="center"/>
    </xf>
    <xf numFmtId="166" fontId="11" fillId="0" borderId="2" xfId="0" applyNumberFormat="1" applyFont="1" applyBorder="1"/>
    <xf numFmtId="166" fontId="11" fillId="0" borderId="2" xfId="0" applyNumberFormat="1" applyFont="1" applyBorder="1" applyAlignment="1">
      <alignment horizontal="right"/>
    </xf>
    <xf numFmtId="0" fontId="11" fillId="0" borderId="2" xfId="0" applyFont="1" applyBorder="1"/>
    <xf numFmtId="164" fontId="11" fillId="0" borderId="7" xfId="0" applyNumberFormat="1" applyFont="1" applyBorder="1"/>
    <xf numFmtId="164" fontId="11" fillId="0" borderId="16" xfId="0" applyNumberFormat="1" applyFont="1" applyBorder="1"/>
    <xf numFmtId="0" fontId="11" fillId="0" borderId="16" xfId="0" applyFont="1" applyBorder="1" applyAlignment="1">
      <alignment horizontal="center"/>
    </xf>
    <xf numFmtId="166" fontId="11" fillId="0" borderId="16" xfId="0" applyNumberFormat="1" applyFont="1" applyBorder="1"/>
    <xf numFmtId="166" fontId="11" fillId="0" borderId="16" xfId="0" applyNumberFormat="1" applyFont="1" applyBorder="1" applyAlignment="1">
      <alignment horizontal="right"/>
    </xf>
    <xf numFmtId="0" fontId="11" fillId="0" borderId="16" xfId="0" applyFont="1" applyBorder="1"/>
    <xf numFmtId="164" fontId="11" fillId="0" borderId="19" xfId="0" applyNumberFormat="1" applyFont="1" applyBorder="1"/>
    <xf numFmtId="0" fontId="12" fillId="0" borderId="41" xfId="0" applyFont="1" applyBorder="1" applyAlignment="1">
      <alignment horizontal="right"/>
    </xf>
    <xf numFmtId="164" fontId="12" fillId="0" borderId="41" xfId="0" applyNumberFormat="1" applyFont="1" applyBorder="1" applyAlignment="1">
      <alignment horizontal="right"/>
    </xf>
    <xf numFmtId="164" fontId="12" fillId="0" borderId="46" xfId="0" applyNumberFormat="1" applyFont="1" applyBorder="1"/>
    <xf numFmtId="49" fontId="7" fillId="4" borderId="2" xfId="0" applyNumberFormat="1" applyFont="1" applyFill="1" applyBorder="1" applyAlignment="1">
      <alignment horizontal="center"/>
    </xf>
    <xf numFmtId="49" fontId="7" fillId="4" borderId="2" xfId="0" applyNumberFormat="1" applyFont="1" applyFill="1" applyBorder="1" applyAlignment="1">
      <alignment horizontal="center" vertical="center"/>
    </xf>
    <xf numFmtId="164" fontId="7" fillId="4" borderId="7" xfId="0" applyNumberFormat="1" applyFont="1" applyFill="1" applyBorder="1"/>
    <xf numFmtId="49" fontId="13" fillId="4" borderId="12" xfId="0" applyNumberFormat="1" applyFont="1" applyFill="1" applyBorder="1" applyAlignment="1">
      <alignment horizontal="center" vertical="center"/>
    </xf>
    <xf numFmtId="0" fontId="13" fillId="4" borderId="12" xfId="0" applyFont="1" applyFill="1" applyBorder="1" applyAlignment="1">
      <alignment vertical="center" wrapText="1"/>
    </xf>
    <xf numFmtId="166" fontId="7" fillId="4" borderId="12" xfId="0" applyNumberFormat="1" applyFont="1" applyFill="1" applyBorder="1" applyAlignment="1">
      <alignment horizontal="center" vertical="center"/>
    </xf>
    <xf numFmtId="0" fontId="21" fillId="0" borderId="0" xfId="0" applyFont="1"/>
    <xf numFmtId="164" fontId="22" fillId="5" borderId="0" xfId="0" applyNumberFormat="1" applyFont="1" applyFill="1"/>
    <xf numFmtId="0" fontId="23" fillId="5" borderId="0" xfId="0" applyFont="1" applyFill="1"/>
    <xf numFmtId="0" fontId="22" fillId="5" borderId="0" xfId="0" applyFont="1" applyFill="1"/>
    <xf numFmtId="0" fontId="22" fillId="0" borderId="0" xfId="0" applyFont="1"/>
    <xf numFmtId="0" fontId="13" fillId="0" borderId="0" xfId="0" applyFont="1"/>
    <xf numFmtId="44" fontId="21" fillId="0" borderId="0" xfId="0" applyNumberFormat="1" applyFont="1"/>
    <xf numFmtId="164" fontId="23" fillId="5" borderId="0" xfId="0" applyNumberFormat="1" applyFont="1" applyFill="1"/>
    <xf numFmtId="2" fontId="11" fillId="0" borderId="0" xfId="0" applyNumberFormat="1" applyFont="1"/>
    <xf numFmtId="44" fontId="23" fillId="5" borderId="0" xfId="1" applyFont="1" applyFill="1"/>
    <xf numFmtId="164" fontId="22" fillId="0" borderId="0" xfId="0" applyNumberFormat="1" applyFont="1"/>
    <xf numFmtId="164" fontId="25" fillId="0" borderId="0" xfId="0" applyNumberFormat="1" applyFont="1" applyAlignment="1">
      <alignment horizontal="center" vertical="center"/>
    </xf>
    <xf numFmtId="2" fontId="22" fillId="5" borderId="0" xfId="0" applyNumberFormat="1" applyFont="1" applyFill="1"/>
    <xf numFmtId="164" fontId="21" fillId="0" borderId="0" xfId="0" applyNumberFormat="1" applyFont="1"/>
    <xf numFmtId="44" fontId="23" fillId="5" borderId="0" xfId="0" applyNumberFormat="1" applyFont="1" applyFill="1"/>
    <xf numFmtId="44" fontId="22" fillId="5" borderId="0" xfId="0" applyNumberFormat="1" applyFont="1" applyFill="1"/>
    <xf numFmtId="0" fontId="12" fillId="0" borderId="41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/>
    </xf>
    <xf numFmtId="164" fontId="26" fillId="0" borderId="0" xfId="0" applyNumberFormat="1" applyFont="1"/>
    <xf numFmtId="164" fontId="6" fillId="5" borderId="0" xfId="0" applyNumberFormat="1" applyFont="1" applyFill="1"/>
    <xf numFmtId="0" fontId="27" fillId="5" borderId="0" xfId="0" applyFont="1" applyFill="1"/>
    <xf numFmtId="164" fontId="27" fillId="5" borderId="0" xfId="0" applyNumberFormat="1" applyFont="1" applyFill="1"/>
    <xf numFmtId="2" fontId="6" fillId="5" borderId="0" xfId="0" applyNumberFormat="1" applyFont="1" applyFill="1"/>
    <xf numFmtId="0" fontId="6" fillId="0" borderId="0" xfId="0" applyFont="1"/>
    <xf numFmtId="0" fontId="7" fillId="0" borderId="0" xfId="0" applyFont="1"/>
    <xf numFmtId="0" fontId="26" fillId="0" borderId="0" xfId="0" applyFont="1"/>
    <xf numFmtId="0" fontId="6" fillId="5" borderId="0" xfId="0" applyFont="1" applyFill="1"/>
    <xf numFmtId="4" fontId="11" fillId="0" borderId="0" xfId="0" applyNumberFormat="1" applyFont="1"/>
    <xf numFmtId="4" fontId="11" fillId="0" borderId="0" xfId="0" applyNumberFormat="1" applyFont="1" applyAlignment="1">
      <alignment horizontal="center" vertical="center"/>
    </xf>
    <xf numFmtId="4" fontId="11" fillId="0" borderId="0" xfId="0" applyNumberFormat="1" applyFont="1" applyAlignment="1">
      <alignment horizontal="center"/>
    </xf>
    <xf numFmtId="164" fontId="13" fillId="5" borderId="0" xfId="0" applyNumberFormat="1" applyFont="1" applyFill="1"/>
    <xf numFmtId="0" fontId="21" fillId="5" borderId="0" xfId="0" applyFont="1" applyFill="1"/>
    <xf numFmtId="4" fontId="0" fillId="0" borderId="0" xfId="0" applyNumberFormat="1"/>
    <xf numFmtId="44" fontId="24" fillId="0" borderId="0" xfId="1" applyFont="1"/>
    <xf numFmtId="0" fontId="24" fillId="0" borderId="0" xfId="0" applyFont="1"/>
    <xf numFmtId="4" fontId="0" fillId="0" borderId="0" xfId="0" applyNumberFormat="1" applyAlignment="1">
      <alignment horizontal="center" vertical="center"/>
    </xf>
    <xf numFmtId="0" fontId="17" fillId="4" borderId="33" xfId="0" applyFont="1" applyFill="1" applyBorder="1" applyAlignment="1">
      <alignment horizontal="center" vertical="center" wrapText="1"/>
    </xf>
    <xf numFmtId="0" fontId="17" fillId="4" borderId="30" xfId="0" applyFont="1" applyFill="1" applyBorder="1" applyAlignment="1">
      <alignment horizontal="center" vertical="center" wrapText="1"/>
    </xf>
    <xf numFmtId="44" fontId="17" fillId="4" borderId="34" xfId="1" applyFont="1" applyFill="1" applyBorder="1" applyAlignment="1">
      <alignment horizontal="center" vertical="center" wrapText="1"/>
    </xf>
    <xf numFmtId="44" fontId="17" fillId="4" borderId="35" xfId="1" applyFont="1" applyFill="1" applyBorder="1" applyAlignment="1">
      <alignment horizontal="center" vertical="center" wrapText="1"/>
    </xf>
    <xf numFmtId="44" fontId="17" fillId="4" borderId="56" xfId="1" applyFont="1" applyFill="1" applyBorder="1" applyAlignment="1">
      <alignment horizontal="center" vertical="center" wrapText="1"/>
    </xf>
    <xf numFmtId="17" fontId="17" fillId="4" borderId="34" xfId="1" applyNumberFormat="1" applyFont="1" applyFill="1" applyBorder="1" applyAlignment="1">
      <alignment horizontal="center" vertical="center" wrapText="1"/>
    </xf>
    <xf numFmtId="17" fontId="17" fillId="4" borderId="56" xfId="1" applyNumberFormat="1" applyFont="1" applyFill="1" applyBorder="1" applyAlignment="1">
      <alignment horizontal="center" vertical="center" wrapText="1"/>
    </xf>
    <xf numFmtId="44" fontId="18" fillId="10" borderId="34" xfId="0" applyNumberFormat="1" applyFont="1" applyFill="1" applyBorder="1" applyAlignment="1">
      <alignment horizontal="center" vertical="center"/>
    </xf>
    <xf numFmtId="44" fontId="18" fillId="10" borderId="35" xfId="0" applyNumberFormat="1" applyFont="1" applyFill="1" applyBorder="1" applyAlignment="1">
      <alignment horizontal="center" vertical="center"/>
    </xf>
    <xf numFmtId="44" fontId="19" fillId="10" borderId="34" xfId="0" applyNumberFormat="1" applyFont="1" applyFill="1" applyBorder="1" applyAlignment="1">
      <alignment horizontal="center"/>
    </xf>
    <xf numFmtId="44" fontId="19" fillId="10" borderId="35" xfId="0" applyNumberFormat="1" applyFont="1" applyFill="1" applyBorder="1" applyAlignment="1">
      <alignment horizontal="center"/>
    </xf>
    <xf numFmtId="44" fontId="19" fillId="10" borderId="56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/>
    </xf>
    <xf numFmtId="0" fontId="4" fillId="4" borderId="10" xfId="0" applyFon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0" fontId="7" fillId="4" borderId="12" xfId="0" applyFont="1" applyFill="1" applyBorder="1" applyAlignment="1">
      <alignment horizontal="center" vertical="center"/>
    </xf>
    <xf numFmtId="0" fontId="7" fillId="4" borderId="11" xfId="0" applyFont="1" applyFill="1" applyBorder="1" applyAlignment="1">
      <alignment horizontal="left" vertical="center"/>
    </xf>
    <xf numFmtId="0" fontId="7" fillId="4" borderId="12" xfId="0" applyFont="1" applyFill="1" applyBorder="1" applyAlignment="1">
      <alignment horizontal="left" vertical="center"/>
    </xf>
    <xf numFmtId="0" fontId="14" fillId="4" borderId="61" xfId="0" applyFont="1" applyFill="1" applyBorder="1" applyAlignment="1">
      <alignment horizontal="center" vertical="center"/>
    </xf>
    <xf numFmtId="0" fontId="14" fillId="4" borderId="26" xfId="0" applyFont="1" applyFill="1" applyBorder="1" applyAlignment="1">
      <alignment horizontal="center" vertical="center"/>
    </xf>
    <xf numFmtId="44" fontId="24" fillId="0" borderId="0" xfId="1" applyFont="1" applyAlignment="1">
      <alignment horizontal="center"/>
    </xf>
    <xf numFmtId="44" fontId="24" fillId="0" borderId="0" xfId="0" applyNumberFormat="1" applyFont="1" applyAlignment="1">
      <alignment horizont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 wrapText="1"/>
    </xf>
    <xf numFmtId="0" fontId="11" fillId="0" borderId="5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5" fillId="8" borderId="40" xfId="0" applyFont="1" applyFill="1" applyBorder="1" applyAlignment="1">
      <alignment horizontal="center"/>
    </xf>
    <xf numFmtId="0" fontId="15" fillId="8" borderId="41" xfId="0" applyFont="1" applyFill="1" applyBorder="1" applyAlignment="1">
      <alignment horizontal="center"/>
    </xf>
    <xf numFmtId="0" fontId="15" fillId="0" borderId="0" xfId="0" applyFont="1" applyAlignment="1">
      <alignment horizontal="center"/>
    </xf>
    <xf numFmtId="0" fontId="15" fillId="6" borderId="40" xfId="0" applyFont="1" applyFill="1" applyBorder="1" applyAlignment="1">
      <alignment horizontal="center"/>
    </xf>
    <xf numFmtId="0" fontId="15" fillId="6" borderId="46" xfId="0" applyFont="1" applyFill="1" applyBorder="1" applyAlignment="1">
      <alignment horizontal="center"/>
    </xf>
    <xf numFmtId="0" fontId="15" fillId="6" borderId="33" xfId="0" applyFont="1" applyFill="1" applyBorder="1" applyAlignment="1">
      <alignment horizontal="center"/>
    </xf>
    <xf numFmtId="0" fontId="15" fillId="6" borderId="29" xfId="0" applyFont="1" applyFill="1" applyBorder="1" applyAlignment="1">
      <alignment horizontal="center"/>
    </xf>
    <xf numFmtId="0" fontId="15" fillId="6" borderId="30" xfId="0" applyFont="1" applyFill="1" applyBorder="1" applyAlignment="1">
      <alignment horizontal="center"/>
    </xf>
    <xf numFmtId="0" fontId="15" fillId="6" borderId="33" xfId="0" applyFont="1" applyFill="1" applyBorder="1" applyAlignment="1">
      <alignment horizontal="center" wrapText="1"/>
    </xf>
    <xf numFmtId="0" fontId="15" fillId="6" borderId="30" xfId="0" applyFont="1" applyFill="1" applyBorder="1" applyAlignment="1">
      <alignment horizont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44" fontId="8" fillId="0" borderId="7" xfId="1" applyFont="1" applyFill="1" applyBorder="1" applyAlignment="1">
      <alignment horizontal="center" vertical="center"/>
    </xf>
    <xf numFmtId="44" fontId="8" fillId="0" borderId="19" xfId="1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44" fontId="8" fillId="0" borderId="13" xfId="1" applyFont="1" applyFill="1" applyBorder="1" applyAlignment="1">
      <alignment horizontal="center" vertical="center"/>
    </xf>
    <xf numFmtId="44" fontId="8" fillId="0" borderId="23" xfId="1" applyFont="1" applyFill="1" applyBorder="1" applyAlignment="1">
      <alignment horizontal="center" vertical="center"/>
    </xf>
    <xf numFmtId="0" fontId="4" fillId="4" borderId="18" xfId="0" applyFont="1" applyFill="1" applyBorder="1" applyAlignment="1">
      <alignment horizontal="center" vertical="center"/>
    </xf>
    <xf numFmtId="44" fontId="8" fillId="0" borderId="20" xfId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44" fontId="8" fillId="2" borderId="19" xfId="1" applyFont="1" applyFill="1" applyBorder="1" applyAlignment="1">
      <alignment horizontal="center" vertical="center"/>
    </xf>
    <xf numFmtId="44" fontId="8" fillId="2" borderId="23" xfId="1" applyFont="1" applyFill="1" applyBorder="1" applyAlignment="1">
      <alignment horizontal="center" vertical="center"/>
    </xf>
    <xf numFmtId="44" fontId="8" fillId="2" borderId="13" xfId="1" applyFont="1" applyFill="1" applyBorder="1" applyAlignment="1">
      <alignment horizontal="center" vertical="center"/>
    </xf>
  </cellXfs>
  <cellStyles count="6">
    <cellStyle name="20% - Énfasis5" xfId="5" builtinId="46"/>
    <cellStyle name="Millares" xfId="2" builtinId="3"/>
    <cellStyle name="Millares 2" xfId="3" xr:uid="{00000000-0005-0000-0000-000001000000}"/>
    <cellStyle name="Moneda" xfId="1" builtinId="4"/>
    <cellStyle name="Normal" xfId="0" builtinId="0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</xdr:col>
      <xdr:colOff>436881</xdr:colOff>
      <xdr:row>2</xdr:row>
      <xdr:rowOff>39811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A0E5014-9FE7-1A40-A1AA-61D46457E8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0"/>
          <a:ext cx="1262380" cy="42081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0"/>
  <sheetViews>
    <sheetView tabSelected="1" topLeftCell="C1" zoomScale="102" workbookViewId="0">
      <selection activeCell="O6" sqref="O6"/>
    </sheetView>
  </sheetViews>
  <sheetFormatPr baseColWidth="10" defaultRowHeight="15" x14ac:dyDescent="0.2"/>
  <cols>
    <col min="1" max="1" width="2" hidden="1" customWidth="1"/>
    <col min="2" max="2" width="0" hidden="1" customWidth="1"/>
    <col min="3" max="3" width="24.83203125" bestFit="1" customWidth="1"/>
    <col min="4" max="4" width="19.33203125" bestFit="1" customWidth="1"/>
    <col min="5" max="6" width="16.5" bestFit="1" customWidth="1"/>
    <col min="7" max="7" width="20.5" customWidth="1"/>
    <col min="8" max="8" width="10.33203125" bestFit="1" customWidth="1"/>
    <col min="9" max="9" width="19.5" customWidth="1"/>
    <col min="10" max="10" width="23.6640625" customWidth="1"/>
    <col min="13" max="13" width="10" bestFit="1" customWidth="1"/>
    <col min="14" max="14" width="17" bestFit="1" customWidth="1"/>
    <col min="15" max="15" width="16" bestFit="1" customWidth="1"/>
    <col min="16" max="16" width="16.6640625" customWidth="1"/>
  </cols>
  <sheetData>
    <row r="1" spans="1:16" ht="16" thickBot="1" x14ac:dyDescent="0.25"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</row>
    <row r="2" spans="1:16" ht="16" thickBot="1" x14ac:dyDescent="0.25">
      <c r="C2" s="312" t="s">
        <v>610</v>
      </c>
      <c r="D2" s="313"/>
      <c r="E2" s="314" t="s">
        <v>611</v>
      </c>
      <c r="F2" s="315"/>
      <c r="G2" s="315"/>
      <c r="H2" s="316"/>
      <c r="I2" s="317" t="str">
        <f>"EJECUCION DE JULIO GS 2026 DPS"</f>
        <v>EJECUCION DE JULIO GS 2026 DPS</v>
      </c>
      <c r="J2" s="318"/>
      <c r="K2" s="319" t="s">
        <v>612</v>
      </c>
      <c r="L2" s="320"/>
      <c r="M2" s="320"/>
      <c r="N2" s="321" t="s">
        <v>613</v>
      </c>
      <c r="O2" s="322"/>
      <c r="P2" s="323"/>
    </row>
    <row r="3" spans="1:16" ht="48" x14ac:dyDescent="0.2">
      <c r="C3" s="183" t="s">
        <v>614</v>
      </c>
      <c r="D3" s="184" t="s">
        <v>615</v>
      </c>
      <c r="E3" s="185" t="s">
        <v>616</v>
      </c>
      <c r="F3" s="186" t="s">
        <v>617</v>
      </c>
      <c r="G3" s="187" t="s">
        <v>618</v>
      </c>
      <c r="H3" s="188" t="s">
        <v>619</v>
      </c>
      <c r="I3" s="189" t="s">
        <v>19</v>
      </c>
      <c r="J3" s="190" t="s">
        <v>620</v>
      </c>
      <c r="K3" s="191" t="s">
        <v>621</v>
      </c>
      <c r="L3" s="192" t="s">
        <v>622</v>
      </c>
      <c r="M3" s="193" t="s">
        <v>623</v>
      </c>
      <c r="N3" s="194" t="s">
        <v>624</v>
      </c>
      <c r="O3" s="195" t="s">
        <v>625</v>
      </c>
      <c r="P3" s="196" t="s">
        <v>626</v>
      </c>
    </row>
    <row r="4" spans="1:16" ht="16" x14ac:dyDescent="0.2">
      <c r="A4" t="s">
        <v>637</v>
      </c>
      <c r="B4">
        <v>211</v>
      </c>
      <c r="C4" s="197" t="s">
        <v>627</v>
      </c>
      <c r="D4" s="198" t="s">
        <v>628</v>
      </c>
      <c r="E4" s="199">
        <v>179849180</v>
      </c>
      <c r="F4" s="200">
        <v>318833963</v>
      </c>
      <c r="G4" s="201">
        <v>142286791.03999999</v>
      </c>
      <c r="H4" s="202">
        <f>G4/F4</f>
        <v>0.44627237857969349</v>
      </c>
      <c r="I4" s="203">
        <v>1066904</v>
      </c>
      <c r="J4" s="204">
        <v>25682208.969999999</v>
      </c>
      <c r="K4" s="205">
        <v>9219150</v>
      </c>
      <c r="L4" s="206">
        <v>5289587</v>
      </c>
      <c r="M4" s="207">
        <f>L4/K4</f>
        <v>0.57376081309014393</v>
      </c>
      <c r="N4" s="208">
        <v>284581992</v>
      </c>
      <c r="O4" s="209">
        <v>129161301.38</v>
      </c>
      <c r="P4" s="210">
        <f>O4/N4</f>
        <v>0.45386322750878766</v>
      </c>
    </row>
    <row r="5" spans="1:16" ht="16" x14ac:dyDescent="0.2">
      <c r="A5" t="s">
        <v>637</v>
      </c>
      <c r="B5">
        <v>419</v>
      </c>
      <c r="C5" s="197" t="s">
        <v>629</v>
      </c>
      <c r="D5" s="198" t="s">
        <v>630</v>
      </c>
      <c r="E5" s="199">
        <v>117541070</v>
      </c>
      <c r="F5" s="200">
        <v>238384670</v>
      </c>
      <c r="G5" s="201">
        <v>143718023.13</v>
      </c>
      <c r="H5" s="202">
        <f>G5/F5</f>
        <v>0.60288282434436746</v>
      </c>
      <c r="I5" s="203">
        <v>55000</v>
      </c>
      <c r="J5" s="211">
        <v>17875000</v>
      </c>
      <c r="K5" s="212">
        <v>658461</v>
      </c>
      <c r="L5" s="206">
        <v>411674</v>
      </c>
      <c r="M5" s="213">
        <f>L5/K5</f>
        <v>0.6252063523883723</v>
      </c>
      <c r="N5" s="200">
        <v>214000000</v>
      </c>
      <c r="O5" s="209">
        <v>133794050</v>
      </c>
      <c r="P5" s="210">
        <f>O5/N5</f>
        <v>0.62520584112149535</v>
      </c>
    </row>
    <row r="6" spans="1:16" ht="16" x14ac:dyDescent="0.2">
      <c r="C6" s="197" t="s">
        <v>631</v>
      </c>
      <c r="D6" s="198" t="s">
        <v>632</v>
      </c>
      <c r="E6" s="199">
        <v>23753024</v>
      </c>
      <c r="F6" s="200">
        <v>64869524</v>
      </c>
      <c r="G6" s="201">
        <v>14430923.65</v>
      </c>
      <c r="H6" s="202">
        <f>G6/F6</f>
        <v>0.22246076061849937</v>
      </c>
      <c r="I6" s="203">
        <v>4779</v>
      </c>
      <c r="J6" s="204">
        <v>4236525.63</v>
      </c>
      <c r="K6" s="205">
        <v>77500</v>
      </c>
      <c r="L6" s="214">
        <v>33556</v>
      </c>
      <c r="M6" s="213">
        <f t="shared" ref="M6:M7" si="0">L6/K6</f>
        <v>0.43298064516129031</v>
      </c>
      <c r="N6" s="200">
        <v>64869524</v>
      </c>
      <c r="O6" s="209">
        <v>14430923.65</v>
      </c>
      <c r="P6" s="210">
        <f>O6/N6</f>
        <v>0.22246076061849937</v>
      </c>
    </row>
    <row r="7" spans="1:16" ht="16" x14ac:dyDescent="0.2">
      <c r="A7" t="s">
        <v>637</v>
      </c>
      <c r="B7">
        <v>416</v>
      </c>
      <c r="C7" s="215" t="s">
        <v>633</v>
      </c>
      <c r="D7" s="198" t="s">
        <v>634</v>
      </c>
      <c r="E7" s="199">
        <v>15013686</v>
      </c>
      <c r="F7" s="200">
        <v>15543440</v>
      </c>
      <c r="G7" s="201">
        <v>12077709.75</v>
      </c>
      <c r="H7" s="202">
        <f>G7/F7</f>
        <v>0.77702939310731733</v>
      </c>
      <c r="I7" s="203">
        <v>0</v>
      </c>
      <c r="J7" s="216">
        <v>0</v>
      </c>
      <c r="K7" s="205">
        <v>5865</v>
      </c>
      <c r="L7" s="214">
        <v>4691.800000000002</v>
      </c>
      <c r="M7" s="213">
        <f t="shared" si="0"/>
        <v>0.79996589940323992</v>
      </c>
      <c r="N7" s="200">
        <v>14663654</v>
      </c>
      <c r="O7" s="216">
        <v>11730000</v>
      </c>
      <c r="P7" s="210">
        <f>O7/N7</f>
        <v>0.79993704161322954</v>
      </c>
    </row>
    <row r="8" spans="1:16" ht="17" thickBot="1" x14ac:dyDescent="0.25">
      <c r="A8" t="s">
        <v>637</v>
      </c>
      <c r="B8">
        <v>416</v>
      </c>
      <c r="C8" s="217" t="s">
        <v>635</v>
      </c>
      <c r="D8" s="218" t="s">
        <v>636</v>
      </c>
      <c r="E8" s="219">
        <v>4787338</v>
      </c>
      <c r="F8" s="220">
        <v>5309438</v>
      </c>
      <c r="G8" s="221">
        <v>3457197.28</v>
      </c>
      <c r="H8" s="202">
        <f>G8/F8</f>
        <v>0.65114184966469135</v>
      </c>
      <c r="I8" s="222">
        <v>0</v>
      </c>
      <c r="J8" s="223">
        <v>0</v>
      </c>
      <c r="K8" s="224">
        <v>1544</v>
      </c>
      <c r="L8" s="225">
        <v>1111.68</v>
      </c>
      <c r="M8" s="226">
        <f>L8/K8</f>
        <v>0.72000000000000008</v>
      </c>
      <c r="N8" s="220">
        <v>3860500</v>
      </c>
      <c r="O8" s="227">
        <v>2779200</v>
      </c>
      <c r="P8" s="228">
        <f>O8/N8</f>
        <v>0.71990674783059194</v>
      </c>
    </row>
    <row r="9" spans="1:16" x14ac:dyDescent="0.2">
      <c r="E9" s="229"/>
      <c r="F9" s="229"/>
      <c r="G9" s="229"/>
      <c r="H9" s="229"/>
      <c r="I9" s="229"/>
      <c r="J9" s="229"/>
      <c r="K9" s="229"/>
      <c r="L9" s="229"/>
      <c r="M9" s="229"/>
      <c r="N9" s="229"/>
      <c r="O9" s="229"/>
    </row>
    <row r="10" spans="1:16" x14ac:dyDescent="0.2">
      <c r="E10" s="182"/>
      <c r="F10" s="182"/>
      <c r="G10" s="182"/>
      <c r="H10" s="182"/>
      <c r="I10" s="182"/>
      <c r="J10" s="182"/>
      <c r="K10" s="182"/>
      <c r="L10" s="182"/>
      <c r="M10" s="182"/>
      <c r="N10" s="182"/>
      <c r="O10" s="182"/>
    </row>
  </sheetData>
  <mergeCells count="5">
    <mergeCell ref="C2:D2"/>
    <mergeCell ref="E2:H2"/>
    <mergeCell ref="I2:J2"/>
    <mergeCell ref="K2:M2"/>
    <mergeCell ref="N2:P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346"/>
  <sheetViews>
    <sheetView topLeftCell="H2" workbookViewId="0">
      <selection activeCell="AR343" sqref="AR343"/>
    </sheetView>
  </sheetViews>
  <sheetFormatPr baseColWidth="10" defaultRowHeight="15" x14ac:dyDescent="0.2"/>
  <cols>
    <col min="1" max="1" width="4.5" bestFit="1" customWidth="1"/>
    <col min="2" max="2" width="17.1640625" bestFit="1" customWidth="1"/>
    <col min="3" max="3" width="32.5" bestFit="1" customWidth="1"/>
    <col min="4" max="5" width="12" customWidth="1"/>
    <col min="6" max="6" width="14.1640625" style="39" customWidth="1"/>
    <col min="7" max="7" width="10.5" customWidth="1"/>
    <col min="8" max="8" width="16.1640625" style="39" customWidth="1"/>
    <col min="9" max="9" width="13.5" customWidth="1"/>
    <col min="10" max="12" width="11.5" customWidth="1"/>
    <col min="13" max="13" width="11.5" style="1" customWidth="1"/>
    <col min="14" max="14" width="15" style="1" customWidth="1"/>
    <col min="15" max="15" width="11.5" style="1" customWidth="1"/>
    <col min="16" max="16" width="11.5" style="2" customWidth="1"/>
    <col min="17" max="17" width="16" style="2" customWidth="1"/>
    <col min="18" max="18" width="11.5" style="2" customWidth="1"/>
    <col min="19" max="21" width="11.5" customWidth="1"/>
    <col min="22" max="22" width="11.5" style="2" customWidth="1"/>
    <col min="23" max="23" width="15.83203125" style="2" customWidth="1"/>
    <col min="24" max="24" width="11.5" style="2" customWidth="1"/>
    <col min="25" max="28" width="11.5" customWidth="1"/>
    <col min="29" max="29" width="13.1640625" customWidth="1"/>
    <col min="30" max="31" width="11.5" customWidth="1"/>
    <col min="32" max="32" width="12" customWidth="1"/>
    <col min="33" max="34" width="11.5" customWidth="1"/>
    <col min="35" max="35" width="13.1640625" customWidth="1"/>
    <col min="36" max="37" width="11.5" customWidth="1"/>
    <col min="38" max="38" width="12" customWidth="1"/>
    <col min="39" max="42" width="11.5" customWidth="1"/>
    <col min="43" max="43" width="11.5" style="2" bestFit="1" customWidth="1"/>
    <col min="44" max="44" width="15.5" style="2" bestFit="1" customWidth="1"/>
    <col min="45" max="45" width="11.5" style="2" bestFit="1" customWidth="1"/>
  </cols>
  <sheetData>
    <row r="1" spans="1:45" ht="19" thickBot="1" x14ac:dyDescent="0.25">
      <c r="A1" s="324" t="s">
        <v>0</v>
      </c>
      <c r="B1" s="324"/>
      <c r="C1" s="324"/>
      <c r="D1" s="324"/>
      <c r="E1" s="324"/>
      <c r="F1" s="324"/>
      <c r="G1" s="324"/>
      <c r="H1" s="324"/>
    </row>
    <row r="2" spans="1:45" ht="16" x14ac:dyDescent="0.2">
      <c r="A2" s="325" t="s">
        <v>1</v>
      </c>
      <c r="B2" s="327" t="s">
        <v>2</v>
      </c>
      <c r="C2" s="327" t="s">
        <v>3</v>
      </c>
      <c r="D2" s="329" t="s">
        <v>4</v>
      </c>
      <c r="E2" s="327" t="s">
        <v>5</v>
      </c>
      <c r="F2" s="327"/>
      <c r="G2" s="331" t="s">
        <v>6</v>
      </c>
      <c r="H2" s="332"/>
      <c r="I2" s="333"/>
      <c r="J2" s="331" t="s">
        <v>7</v>
      </c>
      <c r="K2" s="332"/>
      <c r="L2" s="333"/>
      <c r="M2" s="336" t="s">
        <v>8</v>
      </c>
      <c r="N2" s="337"/>
      <c r="O2" s="338"/>
      <c r="P2" s="339" t="s">
        <v>9</v>
      </c>
      <c r="Q2" s="340"/>
      <c r="R2" s="340"/>
      <c r="S2" s="325" t="s">
        <v>10</v>
      </c>
      <c r="T2" s="327"/>
      <c r="U2" s="341"/>
      <c r="V2" s="339" t="s">
        <v>11</v>
      </c>
      <c r="W2" s="340"/>
      <c r="X2" s="342"/>
      <c r="Y2" s="343" t="s">
        <v>12</v>
      </c>
      <c r="Z2" s="332"/>
      <c r="AA2" s="344"/>
      <c r="AB2" s="343" t="s">
        <v>13</v>
      </c>
      <c r="AC2" s="332"/>
      <c r="AD2" s="344"/>
      <c r="AE2" s="343" t="s">
        <v>14</v>
      </c>
      <c r="AF2" s="332"/>
      <c r="AG2" s="344"/>
      <c r="AH2" s="343" t="s">
        <v>15</v>
      </c>
      <c r="AI2" s="332"/>
      <c r="AJ2" s="344"/>
      <c r="AK2" s="343" t="s">
        <v>16</v>
      </c>
      <c r="AL2" s="332"/>
      <c r="AM2" s="344"/>
      <c r="AN2" s="343" t="s">
        <v>17</v>
      </c>
      <c r="AO2" s="332"/>
      <c r="AP2" s="344"/>
      <c r="AQ2" s="334" t="s">
        <v>18</v>
      </c>
      <c r="AR2" s="335"/>
      <c r="AS2" s="335"/>
    </row>
    <row r="3" spans="1:45" ht="16" x14ac:dyDescent="0.2">
      <c r="A3" s="326"/>
      <c r="B3" s="328"/>
      <c r="C3" s="328"/>
      <c r="D3" s="330"/>
      <c r="E3" s="3" t="s">
        <v>19</v>
      </c>
      <c r="F3" s="4" t="s">
        <v>20</v>
      </c>
      <c r="G3" s="5" t="s">
        <v>19</v>
      </c>
      <c r="H3" s="4" t="s">
        <v>20</v>
      </c>
      <c r="I3" s="6" t="s">
        <v>21</v>
      </c>
      <c r="J3" s="5" t="s">
        <v>19</v>
      </c>
      <c r="K3" s="4" t="s">
        <v>20</v>
      </c>
      <c r="L3" s="6" t="s">
        <v>21</v>
      </c>
      <c r="M3" s="7" t="s">
        <v>19</v>
      </c>
      <c r="N3" s="8" t="s">
        <v>20</v>
      </c>
      <c r="O3" s="9" t="s">
        <v>21</v>
      </c>
      <c r="P3" s="10" t="s">
        <v>19</v>
      </c>
      <c r="Q3" s="11" t="s">
        <v>20</v>
      </c>
      <c r="R3" s="12" t="s">
        <v>22</v>
      </c>
      <c r="S3" s="5" t="s">
        <v>19</v>
      </c>
      <c r="T3" s="4" t="s">
        <v>20</v>
      </c>
      <c r="U3" s="13" t="s">
        <v>22</v>
      </c>
      <c r="V3" s="14" t="s">
        <v>19</v>
      </c>
      <c r="W3" s="11" t="s">
        <v>20</v>
      </c>
      <c r="X3" s="15" t="s">
        <v>22</v>
      </c>
      <c r="Y3" s="16" t="s">
        <v>19</v>
      </c>
      <c r="Z3" s="13" t="s">
        <v>20</v>
      </c>
      <c r="AA3" s="17" t="s">
        <v>22</v>
      </c>
      <c r="AB3" s="3" t="s">
        <v>19</v>
      </c>
      <c r="AC3" s="13" t="s">
        <v>20</v>
      </c>
      <c r="AD3" s="17" t="s">
        <v>22</v>
      </c>
      <c r="AE3" s="3" t="s">
        <v>19</v>
      </c>
      <c r="AF3" s="13" t="s">
        <v>20</v>
      </c>
      <c r="AG3" s="17" t="s">
        <v>22</v>
      </c>
      <c r="AH3" s="3" t="s">
        <v>19</v>
      </c>
      <c r="AI3" s="13" t="s">
        <v>20</v>
      </c>
      <c r="AJ3" s="17" t="s">
        <v>22</v>
      </c>
      <c r="AK3" s="3" t="s">
        <v>19</v>
      </c>
      <c r="AL3" s="13" t="s">
        <v>20</v>
      </c>
      <c r="AM3" s="17" t="s">
        <v>22</v>
      </c>
      <c r="AN3" s="3" t="s">
        <v>19</v>
      </c>
      <c r="AO3" s="13" t="s">
        <v>20</v>
      </c>
      <c r="AP3" s="18" t="s">
        <v>22</v>
      </c>
      <c r="AQ3" s="10" t="s">
        <v>19</v>
      </c>
      <c r="AR3" s="11" t="s">
        <v>20</v>
      </c>
      <c r="AS3" s="12" t="s">
        <v>22</v>
      </c>
    </row>
    <row r="4" spans="1:45" ht="16" x14ac:dyDescent="0.2">
      <c r="A4" s="19">
        <v>1</v>
      </c>
      <c r="B4" s="20" t="s">
        <v>23</v>
      </c>
      <c r="C4" s="21" t="s">
        <v>24</v>
      </c>
      <c r="D4" s="345" t="s">
        <v>25</v>
      </c>
      <c r="E4" s="22">
        <v>20.400000000000006</v>
      </c>
      <c r="F4" s="23">
        <f>E4*2500</f>
        <v>51000.000000000015</v>
      </c>
      <c r="G4" s="19">
        <v>0</v>
      </c>
      <c r="H4" s="23">
        <v>0</v>
      </c>
      <c r="I4" s="24">
        <v>0</v>
      </c>
      <c r="J4" s="19">
        <v>0</v>
      </c>
      <c r="K4" s="23">
        <v>0</v>
      </c>
      <c r="L4" s="24">
        <v>0</v>
      </c>
      <c r="M4" s="25">
        <v>5.6</v>
      </c>
      <c r="N4" s="26">
        <v>14000</v>
      </c>
      <c r="O4" s="27">
        <v>14</v>
      </c>
      <c r="P4" s="28">
        <f>Q4/2500</f>
        <v>4.8</v>
      </c>
      <c r="Q4" s="29">
        <f>R4*1000</f>
        <v>12000</v>
      </c>
      <c r="R4" s="30">
        <v>12</v>
      </c>
      <c r="S4" s="19">
        <v>0</v>
      </c>
      <c r="T4" s="23">
        <v>0</v>
      </c>
      <c r="U4" s="24">
        <v>0</v>
      </c>
      <c r="V4" s="31">
        <f>W4/2500</f>
        <v>10.4</v>
      </c>
      <c r="W4" s="32">
        <v>26000</v>
      </c>
      <c r="X4" s="30">
        <v>26</v>
      </c>
      <c r="Y4" s="19">
        <v>0</v>
      </c>
      <c r="Z4" s="23">
        <v>0</v>
      </c>
      <c r="AA4" s="24">
        <v>0</v>
      </c>
      <c r="AB4" s="33">
        <v>0</v>
      </c>
      <c r="AC4" s="34">
        <v>0</v>
      </c>
      <c r="AD4" s="35">
        <v>0</v>
      </c>
      <c r="AE4" s="36">
        <v>0</v>
      </c>
      <c r="AF4" s="23">
        <v>0</v>
      </c>
      <c r="AG4" s="24">
        <v>0</v>
      </c>
      <c r="AH4" s="33">
        <v>0</v>
      </c>
      <c r="AI4" s="37">
        <v>0</v>
      </c>
      <c r="AJ4" s="35">
        <v>0</v>
      </c>
      <c r="AK4" s="36">
        <v>0</v>
      </c>
      <c r="AL4" s="38">
        <v>0</v>
      </c>
      <c r="AM4" s="35">
        <v>0</v>
      </c>
      <c r="AN4" s="19">
        <v>0</v>
      </c>
      <c r="AO4" s="23">
        <v>0</v>
      </c>
      <c r="AP4" s="24">
        <v>0</v>
      </c>
      <c r="AQ4" s="31">
        <f>G4+J4+M4+P4+S4+V4+Y4+AB4+AE4+AH4+AK4+AN4</f>
        <v>20.799999999999997</v>
      </c>
      <c r="AR4" s="32">
        <f>H4+K4+N4+Q4+T4+W4+Z4+AC4+AF4+AI4+AL4+AO4</f>
        <v>52000</v>
      </c>
      <c r="AS4" s="30">
        <v>27</v>
      </c>
    </row>
    <row r="5" spans="1:45" ht="16" x14ac:dyDescent="0.2">
      <c r="A5" s="19">
        <v>2</v>
      </c>
      <c r="B5" s="20" t="s">
        <v>23</v>
      </c>
      <c r="C5" s="21" t="s">
        <v>26</v>
      </c>
      <c r="D5" s="345"/>
      <c r="E5" s="22">
        <v>37.600000000000009</v>
      </c>
      <c r="F5" s="23">
        <f t="shared" ref="F5:F68" si="0">E5*2500</f>
        <v>94000.000000000015</v>
      </c>
      <c r="G5" s="19">
        <v>0</v>
      </c>
      <c r="H5" s="23">
        <v>0</v>
      </c>
      <c r="I5" s="24">
        <v>0</v>
      </c>
      <c r="J5" s="19">
        <v>0</v>
      </c>
      <c r="K5" s="23">
        <v>0</v>
      </c>
      <c r="L5" s="24">
        <v>0</v>
      </c>
      <c r="M5" s="25">
        <v>6</v>
      </c>
      <c r="N5" s="26">
        <v>15000</v>
      </c>
      <c r="O5" s="27">
        <v>15</v>
      </c>
      <c r="P5" s="28">
        <f t="shared" ref="P5:P68" si="1">Q5/2500</f>
        <v>6.8</v>
      </c>
      <c r="Q5" s="29">
        <f t="shared" ref="Q5:Q68" si="2">R5*1000</f>
        <v>17000</v>
      </c>
      <c r="R5" s="30">
        <v>17</v>
      </c>
      <c r="S5" s="19">
        <v>0</v>
      </c>
      <c r="T5" s="23">
        <v>0</v>
      </c>
      <c r="U5" s="24">
        <v>0</v>
      </c>
      <c r="V5" s="31">
        <f t="shared" ref="V5:V68" si="3">W5/2500</f>
        <v>12.8</v>
      </c>
      <c r="W5" s="32">
        <v>32000</v>
      </c>
      <c r="X5" s="30">
        <v>32</v>
      </c>
      <c r="Y5" s="19">
        <v>0</v>
      </c>
      <c r="Z5" s="23">
        <v>0</v>
      </c>
      <c r="AA5" s="24">
        <v>0</v>
      </c>
      <c r="AB5" s="33">
        <v>0</v>
      </c>
      <c r="AC5" s="34">
        <v>0</v>
      </c>
      <c r="AD5" s="35">
        <v>0</v>
      </c>
      <c r="AE5" s="36">
        <v>0</v>
      </c>
      <c r="AF5" s="23">
        <v>0</v>
      </c>
      <c r="AG5" s="24">
        <v>0</v>
      </c>
      <c r="AH5" s="33">
        <v>0</v>
      </c>
      <c r="AI5" s="37">
        <v>0</v>
      </c>
      <c r="AJ5" s="35">
        <v>0</v>
      </c>
      <c r="AK5" s="36">
        <v>0</v>
      </c>
      <c r="AL5" s="38">
        <v>0</v>
      </c>
      <c r="AM5" s="35">
        <v>0</v>
      </c>
      <c r="AN5" s="19">
        <v>0</v>
      </c>
      <c r="AO5" s="23">
        <v>0</v>
      </c>
      <c r="AP5" s="24">
        <v>0</v>
      </c>
      <c r="AQ5" s="31">
        <f t="shared" ref="AQ5:AR68" si="4">G5+J5+M5+P5+S5+V5+Y5+AB5+AE5+AH5+AK5+AN5</f>
        <v>25.6</v>
      </c>
      <c r="AR5" s="32">
        <f t="shared" si="4"/>
        <v>64000</v>
      </c>
      <c r="AS5" s="30">
        <v>32</v>
      </c>
    </row>
    <row r="6" spans="1:45" ht="16" x14ac:dyDescent="0.2">
      <c r="A6" s="19">
        <v>3</v>
      </c>
      <c r="B6" s="20" t="s">
        <v>23</v>
      </c>
      <c r="C6" s="21" t="s">
        <v>27</v>
      </c>
      <c r="D6" s="345"/>
      <c r="E6" s="22">
        <v>29.4</v>
      </c>
      <c r="F6" s="23">
        <f t="shared" si="0"/>
        <v>73500</v>
      </c>
      <c r="G6" s="19">
        <v>0</v>
      </c>
      <c r="H6" s="23">
        <v>0</v>
      </c>
      <c r="I6" s="24">
        <v>0</v>
      </c>
      <c r="J6" s="19">
        <v>0</v>
      </c>
      <c r="K6" s="23">
        <v>0</v>
      </c>
      <c r="L6" s="24">
        <v>0</v>
      </c>
      <c r="M6" s="25">
        <v>6.8</v>
      </c>
      <c r="N6" s="26">
        <v>17000</v>
      </c>
      <c r="O6" s="27">
        <v>17</v>
      </c>
      <c r="P6" s="28">
        <f t="shared" si="1"/>
        <v>2.8</v>
      </c>
      <c r="Q6" s="29">
        <f t="shared" si="2"/>
        <v>7000</v>
      </c>
      <c r="R6" s="30">
        <v>7</v>
      </c>
      <c r="S6" s="19">
        <v>0</v>
      </c>
      <c r="T6" s="23">
        <v>0</v>
      </c>
      <c r="U6" s="24">
        <v>0</v>
      </c>
      <c r="V6" s="31">
        <f t="shared" si="3"/>
        <v>9.1999999999999993</v>
      </c>
      <c r="W6" s="32">
        <v>23000</v>
      </c>
      <c r="X6" s="30">
        <v>23</v>
      </c>
      <c r="Y6" s="19">
        <v>0</v>
      </c>
      <c r="Z6" s="23">
        <v>0</v>
      </c>
      <c r="AA6" s="24">
        <v>0</v>
      </c>
      <c r="AB6" s="33">
        <v>0</v>
      </c>
      <c r="AC6" s="34">
        <v>0</v>
      </c>
      <c r="AD6" s="35">
        <v>0</v>
      </c>
      <c r="AE6" s="36">
        <v>0</v>
      </c>
      <c r="AF6" s="23">
        <v>0</v>
      </c>
      <c r="AG6" s="24">
        <v>0</v>
      </c>
      <c r="AH6" s="33">
        <v>0</v>
      </c>
      <c r="AI6" s="37">
        <v>0</v>
      </c>
      <c r="AJ6" s="35">
        <v>0</v>
      </c>
      <c r="AK6" s="36">
        <v>0</v>
      </c>
      <c r="AL6" s="38">
        <v>0</v>
      </c>
      <c r="AM6" s="35">
        <v>0</v>
      </c>
      <c r="AN6" s="19">
        <v>0</v>
      </c>
      <c r="AO6" s="23">
        <v>0</v>
      </c>
      <c r="AP6" s="24">
        <v>0</v>
      </c>
      <c r="AQ6" s="31">
        <f t="shared" si="4"/>
        <v>18.799999999999997</v>
      </c>
      <c r="AR6" s="32">
        <f t="shared" si="4"/>
        <v>47000</v>
      </c>
      <c r="AS6" s="30">
        <v>25</v>
      </c>
    </row>
    <row r="7" spans="1:45" ht="16" x14ac:dyDescent="0.2">
      <c r="A7" s="19">
        <v>4</v>
      </c>
      <c r="B7" s="20" t="s">
        <v>23</v>
      </c>
      <c r="C7" s="21" t="s">
        <v>28</v>
      </c>
      <c r="D7" s="345"/>
      <c r="E7" s="22">
        <v>24.799999999999997</v>
      </c>
      <c r="F7" s="23">
        <f t="shared" si="0"/>
        <v>61999.999999999993</v>
      </c>
      <c r="G7" s="19">
        <v>0</v>
      </c>
      <c r="H7" s="23">
        <v>0</v>
      </c>
      <c r="I7" s="24">
        <v>0</v>
      </c>
      <c r="J7" s="19">
        <v>0</v>
      </c>
      <c r="K7" s="23">
        <v>0</v>
      </c>
      <c r="L7" s="24">
        <v>0</v>
      </c>
      <c r="M7" s="25">
        <v>6</v>
      </c>
      <c r="N7" s="26">
        <v>15000</v>
      </c>
      <c r="O7" s="27">
        <v>15</v>
      </c>
      <c r="P7" s="28">
        <f t="shared" si="1"/>
        <v>3.2</v>
      </c>
      <c r="Q7" s="29">
        <f t="shared" si="2"/>
        <v>8000</v>
      </c>
      <c r="R7" s="30">
        <v>8</v>
      </c>
      <c r="S7" s="19">
        <v>0</v>
      </c>
      <c r="T7" s="23">
        <v>0</v>
      </c>
      <c r="U7" s="24">
        <v>0</v>
      </c>
      <c r="V7" s="31">
        <f t="shared" si="3"/>
        <v>8.8000000000000007</v>
      </c>
      <c r="W7" s="32">
        <v>22000</v>
      </c>
      <c r="X7" s="30">
        <v>22</v>
      </c>
      <c r="Y7" s="19">
        <v>0</v>
      </c>
      <c r="Z7" s="23">
        <v>0</v>
      </c>
      <c r="AA7" s="24">
        <v>0</v>
      </c>
      <c r="AB7" s="33">
        <v>0</v>
      </c>
      <c r="AC7" s="34">
        <v>0</v>
      </c>
      <c r="AD7" s="35">
        <v>0</v>
      </c>
      <c r="AE7" s="36">
        <v>0</v>
      </c>
      <c r="AF7" s="23">
        <v>0</v>
      </c>
      <c r="AG7" s="24">
        <v>0</v>
      </c>
      <c r="AH7" s="33">
        <v>0</v>
      </c>
      <c r="AI7" s="37">
        <v>0</v>
      </c>
      <c r="AJ7" s="35">
        <v>0</v>
      </c>
      <c r="AK7" s="36">
        <v>0</v>
      </c>
      <c r="AL7" s="38">
        <v>0</v>
      </c>
      <c r="AM7" s="35">
        <v>0</v>
      </c>
      <c r="AN7" s="19">
        <v>0</v>
      </c>
      <c r="AO7" s="23">
        <v>0</v>
      </c>
      <c r="AP7" s="24">
        <v>0</v>
      </c>
      <c r="AQ7" s="31">
        <f t="shared" si="4"/>
        <v>18</v>
      </c>
      <c r="AR7" s="32">
        <f t="shared" si="4"/>
        <v>45000</v>
      </c>
      <c r="AS7" s="30">
        <v>23</v>
      </c>
    </row>
    <row r="8" spans="1:45" ht="16" x14ac:dyDescent="0.2">
      <c r="A8" s="19">
        <v>5</v>
      </c>
      <c r="B8" s="20" t="s">
        <v>23</v>
      </c>
      <c r="C8" s="21" t="s">
        <v>29</v>
      </c>
      <c r="D8" s="345"/>
      <c r="E8" s="22">
        <v>11.8</v>
      </c>
      <c r="F8" s="23">
        <f t="shared" si="0"/>
        <v>29500</v>
      </c>
      <c r="G8" s="19">
        <v>0</v>
      </c>
      <c r="H8" s="23">
        <v>0</v>
      </c>
      <c r="I8" s="24">
        <v>0</v>
      </c>
      <c r="J8" s="19">
        <v>0</v>
      </c>
      <c r="K8" s="23">
        <v>0</v>
      </c>
      <c r="L8" s="24">
        <v>0</v>
      </c>
      <c r="M8" s="25">
        <v>1.6</v>
      </c>
      <c r="N8" s="26">
        <v>4000</v>
      </c>
      <c r="O8" s="27">
        <v>4</v>
      </c>
      <c r="P8" s="28">
        <f t="shared" si="1"/>
        <v>2.4</v>
      </c>
      <c r="Q8" s="29">
        <f t="shared" si="2"/>
        <v>6000</v>
      </c>
      <c r="R8" s="30">
        <v>6</v>
      </c>
      <c r="S8" s="19">
        <v>0</v>
      </c>
      <c r="T8" s="23">
        <v>0</v>
      </c>
      <c r="U8" s="24">
        <v>0</v>
      </c>
      <c r="V8" s="31">
        <f t="shared" si="3"/>
        <v>4</v>
      </c>
      <c r="W8" s="32">
        <v>10000</v>
      </c>
      <c r="X8" s="30">
        <v>10</v>
      </c>
      <c r="Y8" s="19">
        <v>0</v>
      </c>
      <c r="Z8" s="23">
        <v>0</v>
      </c>
      <c r="AA8" s="24">
        <v>0</v>
      </c>
      <c r="AB8" s="33">
        <v>0</v>
      </c>
      <c r="AC8" s="34">
        <v>0</v>
      </c>
      <c r="AD8" s="35">
        <v>0</v>
      </c>
      <c r="AE8" s="36">
        <v>0</v>
      </c>
      <c r="AF8" s="23">
        <v>0</v>
      </c>
      <c r="AG8" s="24">
        <v>0</v>
      </c>
      <c r="AH8" s="33">
        <v>0</v>
      </c>
      <c r="AI8" s="37">
        <v>0</v>
      </c>
      <c r="AJ8" s="35">
        <v>0</v>
      </c>
      <c r="AK8" s="36">
        <v>0</v>
      </c>
      <c r="AL8" s="38">
        <v>0</v>
      </c>
      <c r="AM8" s="35">
        <v>0</v>
      </c>
      <c r="AN8" s="19">
        <v>0</v>
      </c>
      <c r="AO8" s="23">
        <v>0</v>
      </c>
      <c r="AP8" s="24">
        <v>0</v>
      </c>
      <c r="AQ8" s="31">
        <f t="shared" si="4"/>
        <v>8</v>
      </c>
      <c r="AR8" s="32">
        <f t="shared" si="4"/>
        <v>20000</v>
      </c>
      <c r="AS8" s="30">
        <v>10</v>
      </c>
    </row>
    <row r="9" spans="1:45" ht="16" x14ac:dyDescent="0.2">
      <c r="A9" s="19">
        <v>6</v>
      </c>
      <c r="B9" s="20" t="s">
        <v>23</v>
      </c>
      <c r="C9" s="21" t="s">
        <v>30</v>
      </c>
      <c r="D9" s="345"/>
      <c r="E9" s="22">
        <v>18</v>
      </c>
      <c r="F9" s="23">
        <f t="shared" si="0"/>
        <v>45000</v>
      </c>
      <c r="G9" s="19">
        <v>0</v>
      </c>
      <c r="H9" s="23">
        <v>0</v>
      </c>
      <c r="I9" s="24">
        <v>0</v>
      </c>
      <c r="J9" s="19">
        <v>0</v>
      </c>
      <c r="K9" s="23">
        <v>0</v>
      </c>
      <c r="L9" s="24">
        <v>0</v>
      </c>
      <c r="M9" s="25">
        <v>2.4</v>
      </c>
      <c r="N9" s="26">
        <v>6000</v>
      </c>
      <c r="O9" s="27">
        <v>6</v>
      </c>
      <c r="P9" s="28">
        <f t="shared" si="1"/>
        <v>7.6</v>
      </c>
      <c r="Q9" s="29">
        <f t="shared" si="2"/>
        <v>19000</v>
      </c>
      <c r="R9" s="30">
        <v>19</v>
      </c>
      <c r="S9" s="19">
        <v>0</v>
      </c>
      <c r="T9" s="23">
        <v>0</v>
      </c>
      <c r="U9" s="24">
        <v>0</v>
      </c>
      <c r="V9" s="31">
        <f t="shared" si="3"/>
        <v>9.6</v>
      </c>
      <c r="W9" s="32">
        <v>24000</v>
      </c>
      <c r="X9" s="30">
        <v>24</v>
      </c>
      <c r="Y9" s="19">
        <v>0</v>
      </c>
      <c r="Z9" s="23">
        <v>0</v>
      </c>
      <c r="AA9" s="24">
        <v>0</v>
      </c>
      <c r="AB9" s="33">
        <v>0</v>
      </c>
      <c r="AC9" s="34">
        <v>0</v>
      </c>
      <c r="AD9" s="35">
        <v>0</v>
      </c>
      <c r="AE9" s="36">
        <v>0</v>
      </c>
      <c r="AF9" s="23">
        <v>0</v>
      </c>
      <c r="AG9" s="24">
        <v>0</v>
      </c>
      <c r="AH9" s="33">
        <v>0</v>
      </c>
      <c r="AI9" s="37">
        <v>0</v>
      </c>
      <c r="AJ9" s="35">
        <v>0</v>
      </c>
      <c r="AK9" s="36">
        <v>0</v>
      </c>
      <c r="AL9" s="38">
        <v>0</v>
      </c>
      <c r="AM9" s="35">
        <v>0</v>
      </c>
      <c r="AN9" s="19">
        <v>0</v>
      </c>
      <c r="AO9" s="23">
        <v>0</v>
      </c>
      <c r="AP9" s="24">
        <v>0</v>
      </c>
      <c r="AQ9" s="31">
        <f t="shared" si="4"/>
        <v>19.600000000000001</v>
      </c>
      <c r="AR9" s="32">
        <f t="shared" si="4"/>
        <v>49000</v>
      </c>
      <c r="AS9" s="30">
        <v>25</v>
      </c>
    </row>
    <row r="10" spans="1:45" ht="16" x14ac:dyDescent="0.2">
      <c r="A10" s="19">
        <v>7</v>
      </c>
      <c r="B10" s="20" t="s">
        <v>23</v>
      </c>
      <c r="C10" s="21" t="s">
        <v>31</v>
      </c>
      <c r="D10" s="345"/>
      <c r="E10" s="22">
        <v>27.000000000000004</v>
      </c>
      <c r="F10" s="23">
        <f t="shared" si="0"/>
        <v>67500.000000000015</v>
      </c>
      <c r="G10" s="19">
        <v>0</v>
      </c>
      <c r="H10" s="23">
        <v>0</v>
      </c>
      <c r="I10" s="24">
        <v>0</v>
      </c>
      <c r="J10" s="19">
        <v>0</v>
      </c>
      <c r="K10" s="23">
        <v>0</v>
      </c>
      <c r="L10" s="24">
        <v>0</v>
      </c>
      <c r="M10" s="25">
        <v>6</v>
      </c>
      <c r="N10" s="26">
        <v>15000</v>
      </c>
      <c r="O10" s="27">
        <v>15</v>
      </c>
      <c r="P10" s="28">
        <f t="shared" si="1"/>
        <v>4.8</v>
      </c>
      <c r="Q10" s="29">
        <f t="shared" si="2"/>
        <v>12000</v>
      </c>
      <c r="R10" s="30">
        <v>12</v>
      </c>
      <c r="S10" s="19">
        <v>0</v>
      </c>
      <c r="T10" s="23">
        <v>0</v>
      </c>
      <c r="U10" s="24">
        <v>0</v>
      </c>
      <c r="V10" s="31">
        <f t="shared" si="3"/>
        <v>10.4</v>
      </c>
      <c r="W10" s="32">
        <v>26000</v>
      </c>
      <c r="X10" s="30">
        <v>26</v>
      </c>
      <c r="Y10" s="19">
        <v>0</v>
      </c>
      <c r="Z10" s="23">
        <v>0</v>
      </c>
      <c r="AA10" s="24">
        <v>0</v>
      </c>
      <c r="AB10" s="33">
        <v>0</v>
      </c>
      <c r="AC10" s="34">
        <v>0</v>
      </c>
      <c r="AD10" s="35">
        <v>0</v>
      </c>
      <c r="AE10" s="36">
        <v>0</v>
      </c>
      <c r="AF10" s="23">
        <v>0</v>
      </c>
      <c r="AG10" s="24">
        <v>0</v>
      </c>
      <c r="AH10" s="33">
        <v>0</v>
      </c>
      <c r="AI10" s="37">
        <v>0</v>
      </c>
      <c r="AJ10" s="35">
        <v>0</v>
      </c>
      <c r="AK10" s="36">
        <v>0</v>
      </c>
      <c r="AL10" s="38">
        <v>0</v>
      </c>
      <c r="AM10" s="35">
        <v>0</v>
      </c>
      <c r="AN10" s="19">
        <v>0</v>
      </c>
      <c r="AO10" s="23">
        <v>0</v>
      </c>
      <c r="AP10" s="24">
        <v>0</v>
      </c>
      <c r="AQ10" s="31">
        <f t="shared" si="4"/>
        <v>21.200000000000003</v>
      </c>
      <c r="AR10" s="32">
        <f t="shared" si="4"/>
        <v>53000</v>
      </c>
      <c r="AS10" s="30">
        <v>27</v>
      </c>
    </row>
    <row r="11" spans="1:45" ht="16" x14ac:dyDescent="0.2">
      <c r="A11" s="19">
        <v>8</v>
      </c>
      <c r="B11" s="20" t="s">
        <v>23</v>
      </c>
      <c r="C11" s="21" t="s">
        <v>32</v>
      </c>
      <c r="D11" s="345"/>
      <c r="E11" s="22">
        <v>16.399999999999999</v>
      </c>
      <c r="F11" s="23">
        <f t="shared" si="0"/>
        <v>41000</v>
      </c>
      <c r="G11" s="19">
        <v>0</v>
      </c>
      <c r="H11" s="23">
        <v>0</v>
      </c>
      <c r="I11" s="24">
        <v>0</v>
      </c>
      <c r="J11" s="19">
        <v>0</v>
      </c>
      <c r="K11" s="23">
        <v>0</v>
      </c>
      <c r="L11" s="24">
        <v>0</v>
      </c>
      <c r="M11" s="25">
        <v>4.4000000000000004</v>
      </c>
      <c r="N11" s="26">
        <v>11000</v>
      </c>
      <c r="O11" s="27">
        <v>11</v>
      </c>
      <c r="P11" s="28">
        <f t="shared" si="1"/>
        <v>0</v>
      </c>
      <c r="Q11" s="29">
        <f t="shared" si="2"/>
        <v>0</v>
      </c>
      <c r="R11" s="30">
        <v>0</v>
      </c>
      <c r="S11" s="19">
        <v>0</v>
      </c>
      <c r="T11" s="23">
        <v>0</v>
      </c>
      <c r="U11" s="24">
        <v>0</v>
      </c>
      <c r="V11" s="31">
        <f t="shared" si="3"/>
        <v>3.6</v>
      </c>
      <c r="W11" s="32">
        <v>9000</v>
      </c>
      <c r="X11" s="30">
        <v>9</v>
      </c>
      <c r="Y11" s="19">
        <v>0</v>
      </c>
      <c r="Z11" s="23">
        <v>0</v>
      </c>
      <c r="AA11" s="24">
        <v>0</v>
      </c>
      <c r="AB11" s="33">
        <v>0</v>
      </c>
      <c r="AC11" s="34">
        <v>0</v>
      </c>
      <c r="AD11" s="35">
        <v>0</v>
      </c>
      <c r="AE11" s="36">
        <v>0</v>
      </c>
      <c r="AF11" s="23">
        <v>0</v>
      </c>
      <c r="AG11" s="24">
        <v>0</v>
      </c>
      <c r="AH11" s="33">
        <v>0</v>
      </c>
      <c r="AI11" s="37">
        <v>0</v>
      </c>
      <c r="AJ11" s="35">
        <v>0</v>
      </c>
      <c r="AK11" s="36">
        <v>0</v>
      </c>
      <c r="AL11" s="38">
        <v>0</v>
      </c>
      <c r="AM11" s="35">
        <v>0</v>
      </c>
      <c r="AN11" s="19">
        <v>0</v>
      </c>
      <c r="AO11" s="23">
        <v>0</v>
      </c>
      <c r="AP11" s="24">
        <v>0</v>
      </c>
      <c r="AQ11" s="31">
        <f t="shared" si="4"/>
        <v>8</v>
      </c>
      <c r="AR11" s="32">
        <f t="shared" si="4"/>
        <v>20000</v>
      </c>
      <c r="AS11" s="30">
        <v>11</v>
      </c>
    </row>
    <row r="12" spans="1:45" ht="16" x14ac:dyDescent="0.2">
      <c r="A12" s="19">
        <v>9</v>
      </c>
      <c r="B12" s="20" t="s">
        <v>23</v>
      </c>
      <c r="C12" s="21" t="s">
        <v>33</v>
      </c>
      <c r="D12" s="345"/>
      <c r="E12" s="22">
        <v>27.800000000000004</v>
      </c>
      <c r="F12" s="23">
        <f t="shared" si="0"/>
        <v>69500.000000000015</v>
      </c>
      <c r="G12" s="19">
        <v>0</v>
      </c>
      <c r="H12" s="23">
        <v>0</v>
      </c>
      <c r="I12" s="24">
        <v>0</v>
      </c>
      <c r="J12" s="19">
        <v>0</v>
      </c>
      <c r="K12" s="23">
        <v>0</v>
      </c>
      <c r="L12" s="24">
        <v>0</v>
      </c>
      <c r="M12" s="25">
        <v>8.8000000000000007</v>
      </c>
      <c r="N12" s="26">
        <v>22000</v>
      </c>
      <c r="O12" s="27">
        <v>22</v>
      </c>
      <c r="P12" s="28">
        <f t="shared" si="1"/>
        <v>2.8</v>
      </c>
      <c r="Q12" s="29">
        <f t="shared" si="2"/>
        <v>7000</v>
      </c>
      <c r="R12" s="30">
        <v>7</v>
      </c>
      <c r="S12" s="19">
        <v>0</v>
      </c>
      <c r="T12" s="23">
        <v>0</v>
      </c>
      <c r="U12" s="24">
        <v>0</v>
      </c>
      <c r="V12" s="31">
        <f t="shared" si="3"/>
        <v>11.2</v>
      </c>
      <c r="W12" s="32">
        <v>28000</v>
      </c>
      <c r="X12" s="30">
        <v>28</v>
      </c>
      <c r="Y12" s="19">
        <v>0</v>
      </c>
      <c r="Z12" s="23">
        <v>0</v>
      </c>
      <c r="AA12" s="24">
        <v>0</v>
      </c>
      <c r="AB12" s="33">
        <v>0</v>
      </c>
      <c r="AC12" s="34">
        <v>0</v>
      </c>
      <c r="AD12" s="35">
        <v>0</v>
      </c>
      <c r="AE12" s="36">
        <v>0</v>
      </c>
      <c r="AF12" s="23">
        <v>0</v>
      </c>
      <c r="AG12" s="24">
        <v>0</v>
      </c>
      <c r="AH12" s="33">
        <v>0</v>
      </c>
      <c r="AI12" s="37">
        <v>0</v>
      </c>
      <c r="AJ12" s="35">
        <v>0</v>
      </c>
      <c r="AK12" s="36">
        <v>0</v>
      </c>
      <c r="AL12" s="38">
        <v>0</v>
      </c>
      <c r="AM12" s="35">
        <v>0</v>
      </c>
      <c r="AN12" s="19">
        <v>0</v>
      </c>
      <c r="AO12" s="23">
        <v>0</v>
      </c>
      <c r="AP12" s="24">
        <v>0</v>
      </c>
      <c r="AQ12" s="31">
        <f t="shared" si="4"/>
        <v>22.8</v>
      </c>
      <c r="AR12" s="32">
        <f t="shared" si="4"/>
        <v>57000</v>
      </c>
      <c r="AS12" s="30">
        <v>30</v>
      </c>
    </row>
    <row r="13" spans="1:45" ht="16" x14ac:dyDescent="0.2">
      <c r="A13" s="19">
        <v>10</v>
      </c>
      <c r="B13" s="20" t="s">
        <v>23</v>
      </c>
      <c r="C13" s="21" t="s">
        <v>34</v>
      </c>
      <c r="D13" s="345"/>
      <c r="E13" s="22">
        <v>7</v>
      </c>
      <c r="F13" s="23">
        <f t="shared" si="0"/>
        <v>17500</v>
      </c>
      <c r="G13" s="19">
        <v>0</v>
      </c>
      <c r="H13" s="23">
        <v>0</v>
      </c>
      <c r="I13" s="24">
        <v>0</v>
      </c>
      <c r="J13" s="19">
        <v>0</v>
      </c>
      <c r="K13" s="23">
        <v>0</v>
      </c>
      <c r="L13" s="24">
        <v>0</v>
      </c>
      <c r="M13" s="25">
        <v>1.6</v>
      </c>
      <c r="N13" s="26">
        <v>4000</v>
      </c>
      <c r="O13" s="27">
        <v>4</v>
      </c>
      <c r="P13" s="28">
        <f t="shared" si="1"/>
        <v>1.2</v>
      </c>
      <c r="Q13" s="29">
        <f t="shared" si="2"/>
        <v>3000</v>
      </c>
      <c r="R13" s="30">
        <v>3</v>
      </c>
      <c r="S13" s="19">
        <v>0</v>
      </c>
      <c r="T13" s="23">
        <v>0</v>
      </c>
      <c r="U13" s="24">
        <v>0</v>
      </c>
      <c r="V13" s="31">
        <f t="shared" si="3"/>
        <v>2.4</v>
      </c>
      <c r="W13" s="32">
        <v>6000</v>
      </c>
      <c r="X13" s="30">
        <v>6</v>
      </c>
      <c r="Y13" s="19">
        <v>0</v>
      </c>
      <c r="Z13" s="23">
        <v>0</v>
      </c>
      <c r="AA13" s="24">
        <v>0</v>
      </c>
      <c r="AB13" s="33">
        <v>0</v>
      </c>
      <c r="AC13" s="34">
        <v>0</v>
      </c>
      <c r="AD13" s="35">
        <v>0</v>
      </c>
      <c r="AE13" s="36">
        <v>0</v>
      </c>
      <c r="AF13" s="23">
        <v>0</v>
      </c>
      <c r="AG13" s="24">
        <v>0</v>
      </c>
      <c r="AH13" s="33">
        <v>0</v>
      </c>
      <c r="AI13" s="37">
        <v>0</v>
      </c>
      <c r="AJ13" s="35">
        <v>0</v>
      </c>
      <c r="AK13" s="36">
        <v>0</v>
      </c>
      <c r="AL13" s="38">
        <v>0</v>
      </c>
      <c r="AM13" s="35">
        <v>0</v>
      </c>
      <c r="AN13" s="19">
        <v>0</v>
      </c>
      <c r="AO13" s="23">
        <v>0</v>
      </c>
      <c r="AP13" s="24">
        <v>0</v>
      </c>
      <c r="AQ13" s="31">
        <f t="shared" si="4"/>
        <v>5.1999999999999993</v>
      </c>
      <c r="AR13" s="32">
        <f t="shared" si="4"/>
        <v>13000</v>
      </c>
      <c r="AS13" s="30">
        <v>7</v>
      </c>
    </row>
    <row r="14" spans="1:45" ht="16" x14ac:dyDescent="0.2">
      <c r="A14" s="19">
        <v>11</v>
      </c>
      <c r="B14" s="20" t="s">
        <v>23</v>
      </c>
      <c r="C14" s="21" t="s">
        <v>35</v>
      </c>
      <c r="D14" s="345"/>
      <c r="E14" s="22">
        <v>6.2</v>
      </c>
      <c r="F14" s="23">
        <f t="shared" si="0"/>
        <v>15500</v>
      </c>
      <c r="G14" s="19">
        <v>0</v>
      </c>
      <c r="H14" s="23">
        <v>0</v>
      </c>
      <c r="I14" s="24">
        <v>0</v>
      </c>
      <c r="J14" s="19">
        <v>0</v>
      </c>
      <c r="K14" s="23">
        <v>0</v>
      </c>
      <c r="L14" s="24">
        <v>0</v>
      </c>
      <c r="M14" s="25">
        <v>1.6</v>
      </c>
      <c r="N14" s="26">
        <v>4000</v>
      </c>
      <c r="O14" s="27">
        <v>4</v>
      </c>
      <c r="P14" s="28">
        <f t="shared" si="1"/>
        <v>4</v>
      </c>
      <c r="Q14" s="29">
        <f t="shared" si="2"/>
        <v>10000</v>
      </c>
      <c r="R14" s="30">
        <v>10</v>
      </c>
      <c r="S14" s="19">
        <v>0</v>
      </c>
      <c r="T14" s="23">
        <v>0</v>
      </c>
      <c r="U14" s="24">
        <v>0</v>
      </c>
      <c r="V14" s="31">
        <f t="shared" si="3"/>
        <v>5.6</v>
      </c>
      <c r="W14" s="32">
        <v>14000</v>
      </c>
      <c r="X14" s="30">
        <v>14</v>
      </c>
      <c r="Y14" s="19">
        <v>0</v>
      </c>
      <c r="Z14" s="23">
        <v>0</v>
      </c>
      <c r="AA14" s="24">
        <v>0</v>
      </c>
      <c r="AB14" s="33">
        <v>0</v>
      </c>
      <c r="AC14" s="34">
        <v>0</v>
      </c>
      <c r="AD14" s="35">
        <v>0</v>
      </c>
      <c r="AE14" s="36">
        <v>0</v>
      </c>
      <c r="AF14" s="23">
        <v>0</v>
      </c>
      <c r="AG14" s="24">
        <v>0</v>
      </c>
      <c r="AH14" s="33">
        <v>0</v>
      </c>
      <c r="AI14" s="37">
        <v>0</v>
      </c>
      <c r="AJ14" s="35">
        <v>0</v>
      </c>
      <c r="AK14" s="36">
        <v>0</v>
      </c>
      <c r="AL14" s="38">
        <v>0</v>
      </c>
      <c r="AM14" s="35">
        <v>0</v>
      </c>
      <c r="AN14" s="19">
        <v>0</v>
      </c>
      <c r="AO14" s="23">
        <v>0</v>
      </c>
      <c r="AP14" s="24">
        <v>0</v>
      </c>
      <c r="AQ14" s="31">
        <f t="shared" si="4"/>
        <v>11.2</v>
      </c>
      <c r="AR14" s="32">
        <f t="shared" si="4"/>
        <v>28000</v>
      </c>
      <c r="AS14" s="30">
        <v>15</v>
      </c>
    </row>
    <row r="15" spans="1:45" ht="16" x14ac:dyDescent="0.2">
      <c r="A15" s="19">
        <v>12</v>
      </c>
      <c r="B15" s="20" t="s">
        <v>23</v>
      </c>
      <c r="C15" s="21" t="s">
        <v>36</v>
      </c>
      <c r="D15" s="345"/>
      <c r="E15" s="22">
        <v>12.600000000000001</v>
      </c>
      <c r="F15" s="23">
        <f t="shared" si="0"/>
        <v>31500.000000000004</v>
      </c>
      <c r="G15" s="19">
        <v>0</v>
      </c>
      <c r="H15" s="23">
        <v>0</v>
      </c>
      <c r="I15" s="24">
        <v>0</v>
      </c>
      <c r="J15" s="19">
        <v>0</v>
      </c>
      <c r="K15" s="23">
        <v>0</v>
      </c>
      <c r="L15" s="24">
        <v>0</v>
      </c>
      <c r="M15" s="25">
        <v>2</v>
      </c>
      <c r="N15" s="26">
        <v>5000</v>
      </c>
      <c r="O15" s="27">
        <v>5</v>
      </c>
      <c r="P15" s="28">
        <f t="shared" si="1"/>
        <v>1.2</v>
      </c>
      <c r="Q15" s="29">
        <f t="shared" si="2"/>
        <v>3000</v>
      </c>
      <c r="R15" s="30">
        <v>3</v>
      </c>
      <c r="S15" s="19">
        <v>0</v>
      </c>
      <c r="T15" s="23">
        <v>0</v>
      </c>
      <c r="U15" s="24">
        <v>0</v>
      </c>
      <c r="V15" s="31">
        <f t="shared" si="3"/>
        <v>2.8</v>
      </c>
      <c r="W15" s="32">
        <v>7000</v>
      </c>
      <c r="X15" s="30">
        <v>7</v>
      </c>
      <c r="Y15" s="19">
        <v>0</v>
      </c>
      <c r="Z15" s="23">
        <v>0</v>
      </c>
      <c r="AA15" s="24">
        <v>0</v>
      </c>
      <c r="AB15" s="33">
        <v>0</v>
      </c>
      <c r="AC15" s="34">
        <v>0</v>
      </c>
      <c r="AD15" s="35">
        <v>0</v>
      </c>
      <c r="AE15" s="36">
        <v>0</v>
      </c>
      <c r="AF15" s="23">
        <v>0</v>
      </c>
      <c r="AG15" s="24">
        <v>0</v>
      </c>
      <c r="AH15" s="33">
        <v>0</v>
      </c>
      <c r="AI15" s="37">
        <v>0</v>
      </c>
      <c r="AJ15" s="35">
        <v>0</v>
      </c>
      <c r="AK15" s="36">
        <v>0</v>
      </c>
      <c r="AL15" s="38">
        <v>0</v>
      </c>
      <c r="AM15" s="35">
        <v>0</v>
      </c>
      <c r="AN15" s="19">
        <v>0</v>
      </c>
      <c r="AO15" s="23">
        <v>0</v>
      </c>
      <c r="AP15" s="24">
        <v>0</v>
      </c>
      <c r="AQ15" s="31">
        <f t="shared" si="4"/>
        <v>6</v>
      </c>
      <c r="AR15" s="32">
        <f t="shared" si="4"/>
        <v>15000</v>
      </c>
      <c r="AS15" s="30">
        <v>8</v>
      </c>
    </row>
    <row r="16" spans="1:45" ht="16" x14ac:dyDescent="0.2">
      <c r="A16" s="19">
        <v>13</v>
      </c>
      <c r="B16" s="20" t="s">
        <v>23</v>
      </c>
      <c r="C16" s="21" t="s">
        <v>37</v>
      </c>
      <c r="D16" s="345"/>
      <c r="E16" s="22">
        <v>27.8</v>
      </c>
      <c r="F16" s="23">
        <f t="shared" si="0"/>
        <v>69500</v>
      </c>
      <c r="G16" s="19">
        <v>0</v>
      </c>
      <c r="H16" s="23">
        <v>0</v>
      </c>
      <c r="I16" s="24">
        <v>0</v>
      </c>
      <c r="J16" s="19">
        <v>0</v>
      </c>
      <c r="K16" s="23">
        <v>0</v>
      </c>
      <c r="L16" s="24">
        <v>0</v>
      </c>
      <c r="M16" s="25">
        <v>8</v>
      </c>
      <c r="N16" s="26">
        <v>20000</v>
      </c>
      <c r="O16" s="27">
        <v>20</v>
      </c>
      <c r="P16" s="28">
        <f t="shared" si="1"/>
        <v>6</v>
      </c>
      <c r="Q16" s="29">
        <f t="shared" si="2"/>
        <v>15000</v>
      </c>
      <c r="R16" s="30">
        <v>15</v>
      </c>
      <c r="S16" s="19">
        <v>0</v>
      </c>
      <c r="T16" s="23">
        <v>0</v>
      </c>
      <c r="U16" s="24">
        <v>0</v>
      </c>
      <c r="V16" s="31">
        <f t="shared" si="3"/>
        <v>14</v>
      </c>
      <c r="W16" s="32">
        <v>35000</v>
      </c>
      <c r="X16" s="30">
        <v>35</v>
      </c>
      <c r="Y16" s="19">
        <v>0</v>
      </c>
      <c r="Z16" s="23">
        <v>0</v>
      </c>
      <c r="AA16" s="24">
        <v>0</v>
      </c>
      <c r="AB16" s="33">
        <v>0</v>
      </c>
      <c r="AC16" s="34">
        <v>0</v>
      </c>
      <c r="AD16" s="35">
        <v>0</v>
      </c>
      <c r="AE16" s="36">
        <v>0</v>
      </c>
      <c r="AF16" s="23">
        <v>0</v>
      </c>
      <c r="AG16" s="24">
        <v>0</v>
      </c>
      <c r="AH16" s="33">
        <v>0</v>
      </c>
      <c r="AI16" s="37">
        <v>0</v>
      </c>
      <c r="AJ16" s="35">
        <v>0</v>
      </c>
      <c r="AK16" s="36">
        <v>0</v>
      </c>
      <c r="AL16" s="38">
        <v>0</v>
      </c>
      <c r="AM16" s="35">
        <v>0</v>
      </c>
      <c r="AN16" s="19">
        <v>0</v>
      </c>
      <c r="AO16" s="23">
        <v>0</v>
      </c>
      <c r="AP16" s="24">
        <v>0</v>
      </c>
      <c r="AQ16" s="31">
        <f t="shared" si="4"/>
        <v>28</v>
      </c>
      <c r="AR16" s="32">
        <f t="shared" si="4"/>
        <v>70000</v>
      </c>
      <c r="AS16" s="30">
        <v>36</v>
      </c>
    </row>
    <row r="17" spans="1:45" ht="16" x14ac:dyDescent="0.2">
      <c r="A17" s="19">
        <v>14</v>
      </c>
      <c r="B17" s="20" t="s">
        <v>23</v>
      </c>
      <c r="C17" s="21" t="s">
        <v>38</v>
      </c>
      <c r="D17" s="345"/>
      <c r="E17" s="22">
        <v>27.2</v>
      </c>
      <c r="F17" s="23">
        <f t="shared" si="0"/>
        <v>68000</v>
      </c>
      <c r="G17" s="19">
        <v>0</v>
      </c>
      <c r="H17" s="23">
        <v>0</v>
      </c>
      <c r="I17" s="24">
        <v>0</v>
      </c>
      <c r="J17" s="19">
        <v>0</v>
      </c>
      <c r="K17" s="23">
        <v>0</v>
      </c>
      <c r="L17" s="24">
        <v>0</v>
      </c>
      <c r="M17" s="25">
        <v>7.6</v>
      </c>
      <c r="N17" s="26">
        <v>19000</v>
      </c>
      <c r="O17" s="27">
        <v>19</v>
      </c>
      <c r="P17" s="28">
        <f t="shared" si="1"/>
        <v>3.6</v>
      </c>
      <c r="Q17" s="29">
        <f t="shared" si="2"/>
        <v>9000</v>
      </c>
      <c r="R17" s="30">
        <v>9</v>
      </c>
      <c r="S17" s="19">
        <v>0</v>
      </c>
      <c r="T17" s="23">
        <v>0</v>
      </c>
      <c r="U17" s="24">
        <v>0</v>
      </c>
      <c r="V17" s="31">
        <f t="shared" si="3"/>
        <v>11.2</v>
      </c>
      <c r="W17" s="32">
        <v>28000</v>
      </c>
      <c r="X17" s="30">
        <v>28</v>
      </c>
      <c r="Y17" s="19">
        <v>0</v>
      </c>
      <c r="Z17" s="23">
        <v>0</v>
      </c>
      <c r="AA17" s="24">
        <v>0</v>
      </c>
      <c r="AB17" s="33">
        <v>0</v>
      </c>
      <c r="AC17" s="34">
        <v>0</v>
      </c>
      <c r="AD17" s="35">
        <v>0</v>
      </c>
      <c r="AE17" s="36">
        <v>0</v>
      </c>
      <c r="AF17" s="23">
        <v>0</v>
      </c>
      <c r="AG17" s="24">
        <v>0</v>
      </c>
      <c r="AH17" s="33">
        <v>0</v>
      </c>
      <c r="AI17" s="37">
        <v>0</v>
      </c>
      <c r="AJ17" s="35">
        <v>0</v>
      </c>
      <c r="AK17" s="36">
        <v>0</v>
      </c>
      <c r="AL17" s="38">
        <v>0</v>
      </c>
      <c r="AM17" s="35">
        <v>0</v>
      </c>
      <c r="AN17" s="19">
        <v>0</v>
      </c>
      <c r="AO17" s="23">
        <v>0</v>
      </c>
      <c r="AP17" s="24">
        <v>0</v>
      </c>
      <c r="AQ17" s="31">
        <f t="shared" si="4"/>
        <v>22.4</v>
      </c>
      <c r="AR17" s="32">
        <f t="shared" si="4"/>
        <v>56000</v>
      </c>
      <c r="AS17" s="30">
        <v>28</v>
      </c>
    </row>
    <row r="18" spans="1:45" ht="16" x14ac:dyDescent="0.2">
      <c r="A18" s="19">
        <v>15</v>
      </c>
      <c r="B18" s="20" t="s">
        <v>23</v>
      </c>
      <c r="C18" s="21" t="s">
        <v>39</v>
      </c>
      <c r="D18" s="345"/>
      <c r="E18" s="22">
        <v>1</v>
      </c>
      <c r="F18" s="23">
        <f t="shared" si="0"/>
        <v>2500</v>
      </c>
      <c r="G18" s="19">
        <v>0</v>
      </c>
      <c r="H18" s="23">
        <v>0</v>
      </c>
      <c r="I18" s="24">
        <v>0</v>
      </c>
      <c r="J18" s="19">
        <v>0</v>
      </c>
      <c r="K18" s="23">
        <v>0</v>
      </c>
      <c r="L18" s="24">
        <v>0</v>
      </c>
      <c r="M18" s="25">
        <v>1</v>
      </c>
      <c r="N18" s="26">
        <v>1000</v>
      </c>
      <c r="O18" s="27">
        <v>1</v>
      </c>
      <c r="P18" s="28">
        <f t="shared" si="1"/>
        <v>0.8</v>
      </c>
      <c r="Q18" s="29">
        <f t="shared" si="2"/>
        <v>2000</v>
      </c>
      <c r="R18" s="30">
        <v>2</v>
      </c>
      <c r="S18" s="19">
        <v>0</v>
      </c>
      <c r="T18" s="23">
        <v>0</v>
      </c>
      <c r="U18" s="24">
        <v>0</v>
      </c>
      <c r="V18" s="31">
        <f t="shared" si="3"/>
        <v>1.2</v>
      </c>
      <c r="W18" s="32">
        <v>3000</v>
      </c>
      <c r="X18" s="30">
        <v>3</v>
      </c>
      <c r="Y18" s="19">
        <v>0</v>
      </c>
      <c r="Z18" s="23">
        <v>0</v>
      </c>
      <c r="AA18" s="24">
        <v>0</v>
      </c>
      <c r="AB18" s="33">
        <v>0</v>
      </c>
      <c r="AC18" s="34">
        <v>0</v>
      </c>
      <c r="AD18" s="35">
        <v>0</v>
      </c>
      <c r="AE18" s="36">
        <v>0</v>
      </c>
      <c r="AF18" s="23">
        <v>0</v>
      </c>
      <c r="AG18" s="24">
        <v>0</v>
      </c>
      <c r="AH18" s="33">
        <v>0</v>
      </c>
      <c r="AI18" s="37">
        <v>0</v>
      </c>
      <c r="AJ18" s="35">
        <v>0</v>
      </c>
      <c r="AK18" s="36">
        <v>0</v>
      </c>
      <c r="AL18" s="38">
        <v>0</v>
      </c>
      <c r="AM18" s="35">
        <v>0</v>
      </c>
      <c r="AN18" s="19">
        <v>0</v>
      </c>
      <c r="AO18" s="23">
        <v>0</v>
      </c>
      <c r="AP18" s="24">
        <v>0</v>
      </c>
      <c r="AQ18" s="31">
        <f t="shared" si="4"/>
        <v>3</v>
      </c>
      <c r="AR18" s="32">
        <f t="shared" si="4"/>
        <v>6000</v>
      </c>
      <c r="AS18" s="30">
        <v>3</v>
      </c>
    </row>
    <row r="19" spans="1:45" ht="16" x14ac:dyDescent="0.2">
      <c r="A19" s="19">
        <v>16</v>
      </c>
      <c r="B19" s="20" t="s">
        <v>23</v>
      </c>
      <c r="C19" s="21" t="s">
        <v>40</v>
      </c>
      <c r="D19" s="345"/>
      <c r="E19" s="22">
        <v>3</v>
      </c>
      <c r="F19" s="23">
        <f t="shared" si="0"/>
        <v>7500</v>
      </c>
      <c r="G19" s="19">
        <v>0</v>
      </c>
      <c r="H19" s="23">
        <v>0</v>
      </c>
      <c r="I19" s="24">
        <v>0</v>
      </c>
      <c r="J19" s="19">
        <v>0</v>
      </c>
      <c r="K19" s="23">
        <v>0</v>
      </c>
      <c r="L19" s="24">
        <v>0</v>
      </c>
      <c r="M19" s="25">
        <v>0.8</v>
      </c>
      <c r="N19" s="26">
        <v>2000</v>
      </c>
      <c r="O19" s="27">
        <v>2</v>
      </c>
      <c r="P19" s="28">
        <f t="shared" si="1"/>
        <v>0.8</v>
      </c>
      <c r="Q19" s="29">
        <f t="shared" si="2"/>
        <v>2000</v>
      </c>
      <c r="R19" s="30">
        <v>2</v>
      </c>
      <c r="S19" s="19">
        <v>0</v>
      </c>
      <c r="T19" s="23">
        <v>0</v>
      </c>
      <c r="U19" s="24">
        <v>0</v>
      </c>
      <c r="V19" s="31">
        <f t="shared" si="3"/>
        <v>1.6</v>
      </c>
      <c r="W19" s="32">
        <v>4000</v>
      </c>
      <c r="X19" s="30">
        <v>4</v>
      </c>
      <c r="Y19" s="19">
        <v>0</v>
      </c>
      <c r="Z19" s="23">
        <v>0</v>
      </c>
      <c r="AA19" s="24">
        <v>0</v>
      </c>
      <c r="AB19" s="33">
        <v>0</v>
      </c>
      <c r="AC19" s="34">
        <v>0</v>
      </c>
      <c r="AD19" s="35">
        <v>0</v>
      </c>
      <c r="AE19" s="36">
        <v>0</v>
      </c>
      <c r="AF19" s="23">
        <v>0</v>
      </c>
      <c r="AG19" s="24">
        <v>0</v>
      </c>
      <c r="AH19" s="33">
        <v>0</v>
      </c>
      <c r="AI19" s="37">
        <v>0</v>
      </c>
      <c r="AJ19" s="35">
        <v>0</v>
      </c>
      <c r="AK19" s="36">
        <v>0</v>
      </c>
      <c r="AL19" s="38">
        <v>0</v>
      </c>
      <c r="AM19" s="35">
        <v>0</v>
      </c>
      <c r="AN19" s="19">
        <v>0</v>
      </c>
      <c r="AO19" s="23">
        <v>0</v>
      </c>
      <c r="AP19" s="24">
        <v>0</v>
      </c>
      <c r="AQ19" s="31">
        <f t="shared" si="4"/>
        <v>3.2</v>
      </c>
      <c r="AR19" s="32">
        <f t="shared" si="4"/>
        <v>8000</v>
      </c>
      <c r="AS19" s="30">
        <v>4</v>
      </c>
    </row>
    <row r="20" spans="1:45" ht="16" x14ac:dyDescent="0.2">
      <c r="A20" s="19">
        <v>17</v>
      </c>
      <c r="B20" s="21" t="s">
        <v>23</v>
      </c>
      <c r="C20" s="20" t="s">
        <v>41</v>
      </c>
      <c r="D20" s="345"/>
      <c r="E20" s="22">
        <v>12.800000000000002</v>
      </c>
      <c r="F20" s="23">
        <f t="shared" si="0"/>
        <v>32000.000000000007</v>
      </c>
      <c r="G20" s="19">
        <v>0</v>
      </c>
      <c r="H20" s="23">
        <v>0</v>
      </c>
      <c r="I20" s="24">
        <v>0</v>
      </c>
      <c r="J20" s="19">
        <v>0</v>
      </c>
      <c r="K20" s="23">
        <v>0</v>
      </c>
      <c r="L20" s="24">
        <v>0</v>
      </c>
      <c r="M20" s="25">
        <v>3.6</v>
      </c>
      <c r="N20" s="26">
        <v>9000</v>
      </c>
      <c r="O20" s="27">
        <v>9</v>
      </c>
      <c r="P20" s="28">
        <f t="shared" si="1"/>
        <v>2</v>
      </c>
      <c r="Q20" s="29">
        <f t="shared" si="2"/>
        <v>5000</v>
      </c>
      <c r="R20" s="30">
        <v>5</v>
      </c>
      <c r="S20" s="19">
        <v>0</v>
      </c>
      <c r="T20" s="23">
        <v>0</v>
      </c>
      <c r="U20" s="24">
        <v>0</v>
      </c>
      <c r="V20" s="31">
        <f t="shared" si="3"/>
        <v>5.6</v>
      </c>
      <c r="W20" s="32">
        <v>14000</v>
      </c>
      <c r="X20" s="30">
        <v>14</v>
      </c>
      <c r="Y20" s="19">
        <v>0</v>
      </c>
      <c r="Z20" s="23">
        <v>0</v>
      </c>
      <c r="AA20" s="24">
        <v>0</v>
      </c>
      <c r="AB20" s="33">
        <v>0</v>
      </c>
      <c r="AC20" s="34">
        <v>0</v>
      </c>
      <c r="AD20" s="35">
        <v>0</v>
      </c>
      <c r="AE20" s="36">
        <v>0</v>
      </c>
      <c r="AF20" s="23">
        <v>0</v>
      </c>
      <c r="AG20" s="24">
        <v>0</v>
      </c>
      <c r="AH20" s="33">
        <v>0</v>
      </c>
      <c r="AI20" s="37">
        <v>0</v>
      </c>
      <c r="AJ20" s="35">
        <v>0</v>
      </c>
      <c r="AK20" s="36">
        <v>0</v>
      </c>
      <c r="AL20" s="38">
        <v>0</v>
      </c>
      <c r="AM20" s="35">
        <v>0</v>
      </c>
      <c r="AN20" s="19">
        <v>0</v>
      </c>
      <c r="AO20" s="23">
        <v>0</v>
      </c>
      <c r="AP20" s="24">
        <v>0</v>
      </c>
      <c r="AQ20" s="31">
        <f t="shared" si="4"/>
        <v>11.2</v>
      </c>
      <c r="AR20" s="32">
        <f t="shared" si="4"/>
        <v>28000</v>
      </c>
      <c r="AS20" s="30">
        <v>14</v>
      </c>
    </row>
    <row r="21" spans="1:45" ht="16" x14ac:dyDescent="0.2">
      <c r="A21" s="19">
        <v>18</v>
      </c>
      <c r="B21" s="21" t="s">
        <v>42</v>
      </c>
      <c r="C21" s="20" t="s">
        <v>43</v>
      </c>
      <c r="D21" s="345" t="s">
        <v>25</v>
      </c>
      <c r="E21" s="22">
        <v>12.399999999999999</v>
      </c>
      <c r="F21" s="23">
        <f t="shared" si="0"/>
        <v>30999.999999999996</v>
      </c>
      <c r="G21" s="19">
        <v>0</v>
      </c>
      <c r="H21" s="23">
        <v>0</v>
      </c>
      <c r="I21" s="24">
        <v>0</v>
      </c>
      <c r="J21" s="19">
        <v>0</v>
      </c>
      <c r="K21" s="23">
        <v>0</v>
      </c>
      <c r="L21" s="24">
        <v>0</v>
      </c>
      <c r="M21" s="25">
        <v>4.8</v>
      </c>
      <c r="N21" s="26">
        <v>12000</v>
      </c>
      <c r="O21" s="27">
        <v>12</v>
      </c>
      <c r="P21" s="28">
        <f t="shared" si="1"/>
        <v>1.2</v>
      </c>
      <c r="Q21" s="29">
        <f t="shared" si="2"/>
        <v>3000</v>
      </c>
      <c r="R21" s="30">
        <v>3</v>
      </c>
      <c r="S21" s="19">
        <v>0</v>
      </c>
      <c r="T21" s="23">
        <v>0</v>
      </c>
      <c r="U21" s="24">
        <v>0</v>
      </c>
      <c r="V21" s="31">
        <f t="shared" si="3"/>
        <v>6</v>
      </c>
      <c r="W21" s="32">
        <v>15000</v>
      </c>
      <c r="X21" s="30">
        <v>15</v>
      </c>
      <c r="Y21" s="19">
        <v>0</v>
      </c>
      <c r="Z21" s="23">
        <v>0</v>
      </c>
      <c r="AA21" s="24">
        <v>0</v>
      </c>
      <c r="AB21" s="33">
        <v>0</v>
      </c>
      <c r="AC21" s="34">
        <v>0</v>
      </c>
      <c r="AD21" s="35">
        <v>0</v>
      </c>
      <c r="AE21" s="36">
        <v>0</v>
      </c>
      <c r="AF21" s="23">
        <v>0</v>
      </c>
      <c r="AG21" s="24">
        <v>0</v>
      </c>
      <c r="AH21" s="33">
        <v>0</v>
      </c>
      <c r="AI21" s="37">
        <v>0</v>
      </c>
      <c r="AJ21" s="35">
        <v>0</v>
      </c>
      <c r="AK21" s="36">
        <v>0</v>
      </c>
      <c r="AL21" s="38">
        <v>0</v>
      </c>
      <c r="AM21" s="35">
        <v>0</v>
      </c>
      <c r="AN21" s="19">
        <v>0</v>
      </c>
      <c r="AO21" s="23">
        <v>0</v>
      </c>
      <c r="AP21" s="24">
        <v>0</v>
      </c>
      <c r="AQ21" s="31">
        <f t="shared" si="4"/>
        <v>12</v>
      </c>
      <c r="AR21" s="32">
        <f t="shared" si="4"/>
        <v>30000</v>
      </c>
      <c r="AS21" s="30">
        <v>15</v>
      </c>
    </row>
    <row r="22" spans="1:45" ht="16" x14ac:dyDescent="0.2">
      <c r="A22" s="19">
        <v>19</v>
      </c>
      <c r="B22" s="21" t="s">
        <v>42</v>
      </c>
      <c r="C22" s="20" t="s">
        <v>44</v>
      </c>
      <c r="D22" s="345"/>
      <c r="E22" s="22">
        <v>23.8</v>
      </c>
      <c r="F22" s="23">
        <f t="shared" si="0"/>
        <v>59500</v>
      </c>
      <c r="G22" s="19">
        <v>0</v>
      </c>
      <c r="H22" s="23">
        <v>0</v>
      </c>
      <c r="I22" s="24">
        <v>0</v>
      </c>
      <c r="J22" s="19">
        <v>0</v>
      </c>
      <c r="K22" s="23">
        <v>0</v>
      </c>
      <c r="L22" s="24">
        <v>0</v>
      </c>
      <c r="M22" s="25">
        <v>8.4</v>
      </c>
      <c r="N22" s="26">
        <v>21000</v>
      </c>
      <c r="O22" s="27">
        <v>21</v>
      </c>
      <c r="P22" s="28">
        <f t="shared" si="1"/>
        <v>3.6</v>
      </c>
      <c r="Q22" s="29">
        <f t="shared" si="2"/>
        <v>9000</v>
      </c>
      <c r="R22" s="30">
        <v>9</v>
      </c>
      <c r="S22" s="19">
        <v>0</v>
      </c>
      <c r="T22" s="23">
        <v>0</v>
      </c>
      <c r="U22" s="24">
        <v>0</v>
      </c>
      <c r="V22" s="31">
        <f t="shared" si="3"/>
        <v>11.6</v>
      </c>
      <c r="W22" s="32">
        <v>29000</v>
      </c>
      <c r="X22" s="30">
        <v>29</v>
      </c>
      <c r="Y22" s="19">
        <v>0</v>
      </c>
      <c r="Z22" s="23">
        <v>0</v>
      </c>
      <c r="AA22" s="24">
        <v>0</v>
      </c>
      <c r="AB22" s="33">
        <v>0</v>
      </c>
      <c r="AC22" s="34">
        <v>0</v>
      </c>
      <c r="AD22" s="35">
        <v>0</v>
      </c>
      <c r="AE22" s="36">
        <v>0</v>
      </c>
      <c r="AF22" s="23">
        <v>0</v>
      </c>
      <c r="AG22" s="24">
        <v>0</v>
      </c>
      <c r="AH22" s="33">
        <v>0</v>
      </c>
      <c r="AI22" s="37">
        <v>0</v>
      </c>
      <c r="AJ22" s="35">
        <v>0</v>
      </c>
      <c r="AK22" s="36">
        <v>0</v>
      </c>
      <c r="AL22" s="38">
        <v>0</v>
      </c>
      <c r="AM22" s="35">
        <v>0</v>
      </c>
      <c r="AN22" s="19">
        <v>0</v>
      </c>
      <c r="AO22" s="23">
        <v>0</v>
      </c>
      <c r="AP22" s="24">
        <v>0</v>
      </c>
      <c r="AQ22" s="31">
        <f t="shared" si="4"/>
        <v>23.6</v>
      </c>
      <c r="AR22" s="32">
        <f t="shared" si="4"/>
        <v>59000</v>
      </c>
      <c r="AS22" s="30">
        <v>30</v>
      </c>
    </row>
    <row r="23" spans="1:45" ht="16" x14ac:dyDescent="0.2">
      <c r="A23" s="19">
        <v>20</v>
      </c>
      <c r="B23" s="21" t="s">
        <v>42</v>
      </c>
      <c r="C23" s="20" t="s">
        <v>45</v>
      </c>
      <c r="D23" s="345"/>
      <c r="E23" s="22">
        <v>10</v>
      </c>
      <c r="F23" s="23">
        <f t="shared" si="0"/>
        <v>25000</v>
      </c>
      <c r="G23" s="19">
        <v>0</v>
      </c>
      <c r="H23" s="23">
        <v>0</v>
      </c>
      <c r="I23" s="24">
        <v>0</v>
      </c>
      <c r="J23" s="19">
        <v>0</v>
      </c>
      <c r="K23" s="23">
        <v>0</v>
      </c>
      <c r="L23" s="24">
        <v>0</v>
      </c>
      <c r="M23" s="25">
        <v>3.2</v>
      </c>
      <c r="N23" s="26">
        <v>8000</v>
      </c>
      <c r="O23" s="27">
        <v>8</v>
      </c>
      <c r="P23" s="28">
        <f t="shared" si="1"/>
        <v>2</v>
      </c>
      <c r="Q23" s="29">
        <f t="shared" si="2"/>
        <v>5000</v>
      </c>
      <c r="R23" s="30">
        <v>5</v>
      </c>
      <c r="S23" s="19">
        <v>0</v>
      </c>
      <c r="T23" s="23">
        <v>0</v>
      </c>
      <c r="U23" s="24">
        <v>0</v>
      </c>
      <c r="V23" s="31">
        <f t="shared" si="3"/>
        <v>5.2</v>
      </c>
      <c r="W23" s="32">
        <v>13000</v>
      </c>
      <c r="X23" s="30">
        <v>13</v>
      </c>
      <c r="Y23" s="19">
        <v>0</v>
      </c>
      <c r="Z23" s="23">
        <v>0</v>
      </c>
      <c r="AA23" s="24">
        <v>0</v>
      </c>
      <c r="AB23" s="33">
        <v>0</v>
      </c>
      <c r="AC23" s="34">
        <v>0</v>
      </c>
      <c r="AD23" s="35">
        <v>0</v>
      </c>
      <c r="AE23" s="36">
        <v>0</v>
      </c>
      <c r="AF23" s="23">
        <v>0</v>
      </c>
      <c r="AG23" s="24">
        <v>0</v>
      </c>
      <c r="AH23" s="33">
        <v>0</v>
      </c>
      <c r="AI23" s="37">
        <v>0</v>
      </c>
      <c r="AJ23" s="35">
        <v>0</v>
      </c>
      <c r="AK23" s="36">
        <v>0</v>
      </c>
      <c r="AL23" s="38">
        <v>0</v>
      </c>
      <c r="AM23" s="35">
        <v>0</v>
      </c>
      <c r="AN23" s="19">
        <v>0</v>
      </c>
      <c r="AO23" s="23">
        <v>0</v>
      </c>
      <c r="AP23" s="24">
        <v>0</v>
      </c>
      <c r="AQ23" s="31">
        <f t="shared" si="4"/>
        <v>10.4</v>
      </c>
      <c r="AR23" s="32">
        <f t="shared" si="4"/>
        <v>26000</v>
      </c>
      <c r="AS23" s="30">
        <v>13</v>
      </c>
    </row>
    <row r="24" spans="1:45" ht="16" x14ac:dyDescent="0.2">
      <c r="A24" s="19">
        <v>21</v>
      </c>
      <c r="B24" s="21" t="s">
        <v>42</v>
      </c>
      <c r="C24" s="20" t="s">
        <v>46</v>
      </c>
      <c r="D24" s="345"/>
      <c r="E24" s="22">
        <v>25.8</v>
      </c>
      <c r="F24" s="23">
        <f t="shared" si="0"/>
        <v>64500</v>
      </c>
      <c r="G24" s="19">
        <v>0</v>
      </c>
      <c r="H24" s="23">
        <v>0</v>
      </c>
      <c r="I24" s="24">
        <v>0</v>
      </c>
      <c r="J24" s="19">
        <v>0</v>
      </c>
      <c r="K24" s="23">
        <v>0</v>
      </c>
      <c r="L24" s="24">
        <v>0</v>
      </c>
      <c r="M24" s="25">
        <v>8</v>
      </c>
      <c r="N24" s="26">
        <v>20000</v>
      </c>
      <c r="O24" s="27">
        <v>20</v>
      </c>
      <c r="P24" s="28">
        <f t="shared" si="1"/>
        <v>2.8</v>
      </c>
      <c r="Q24" s="29">
        <f t="shared" si="2"/>
        <v>7000</v>
      </c>
      <c r="R24" s="30">
        <v>7</v>
      </c>
      <c r="S24" s="19">
        <v>0</v>
      </c>
      <c r="T24" s="23">
        <v>0</v>
      </c>
      <c r="U24" s="24">
        <v>0</v>
      </c>
      <c r="V24" s="31">
        <f t="shared" si="3"/>
        <v>10.4</v>
      </c>
      <c r="W24" s="32">
        <v>26000</v>
      </c>
      <c r="X24" s="30">
        <v>26</v>
      </c>
      <c r="Y24" s="19">
        <v>0</v>
      </c>
      <c r="Z24" s="23">
        <v>0</v>
      </c>
      <c r="AA24" s="24">
        <v>0</v>
      </c>
      <c r="AB24" s="33">
        <v>0</v>
      </c>
      <c r="AC24" s="34">
        <v>0</v>
      </c>
      <c r="AD24" s="35">
        <v>0</v>
      </c>
      <c r="AE24" s="36">
        <v>0</v>
      </c>
      <c r="AF24" s="23">
        <v>0</v>
      </c>
      <c r="AG24" s="24">
        <v>0</v>
      </c>
      <c r="AH24" s="33">
        <v>0</v>
      </c>
      <c r="AI24" s="37">
        <v>0</v>
      </c>
      <c r="AJ24" s="35">
        <v>0</v>
      </c>
      <c r="AK24" s="36">
        <v>0</v>
      </c>
      <c r="AL24" s="38">
        <v>0</v>
      </c>
      <c r="AM24" s="35">
        <v>0</v>
      </c>
      <c r="AN24" s="19">
        <v>0</v>
      </c>
      <c r="AO24" s="23">
        <v>0</v>
      </c>
      <c r="AP24" s="24">
        <v>0</v>
      </c>
      <c r="AQ24" s="31">
        <f t="shared" si="4"/>
        <v>21.200000000000003</v>
      </c>
      <c r="AR24" s="32">
        <f t="shared" si="4"/>
        <v>53000</v>
      </c>
      <c r="AS24" s="30">
        <v>27</v>
      </c>
    </row>
    <row r="25" spans="1:45" ht="16" x14ac:dyDescent="0.2">
      <c r="A25" s="19">
        <v>22</v>
      </c>
      <c r="B25" s="21" t="s">
        <v>42</v>
      </c>
      <c r="C25" s="20" t="s">
        <v>47</v>
      </c>
      <c r="D25" s="345"/>
      <c r="E25" s="22">
        <v>8</v>
      </c>
      <c r="F25" s="23">
        <f t="shared" si="0"/>
        <v>20000</v>
      </c>
      <c r="G25" s="19">
        <v>0</v>
      </c>
      <c r="H25" s="23">
        <v>0</v>
      </c>
      <c r="I25" s="24">
        <v>0</v>
      </c>
      <c r="J25" s="19">
        <v>0</v>
      </c>
      <c r="K25" s="23">
        <v>0</v>
      </c>
      <c r="L25" s="24">
        <v>0</v>
      </c>
      <c r="M25" s="25">
        <v>1.6</v>
      </c>
      <c r="N25" s="26">
        <v>4000</v>
      </c>
      <c r="O25" s="27">
        <v>4</v>
      </c>
      <c r="P25" s="28">
        <f t="shared" si="1"/>
        <v>1.2</v>
      </c>
      <c r="Q25" s="29">
        <f t="shared" si="2"/>
        <v>3000</v>
      </c>
      <c r="R25" s="30">
        <v>3</v>
      </c>
      <c r="S25" s="19">
        <v>0</v>
      </c>
      <c r="T25" s="23">
        <v>0</v>
      </c>
      <c r="U25" s="24">
        <v>0</v>
      </c>
      <c r="V25" s="31">
        <f t="shared" si="3"/>
        <v>2.8</v>
      </c>
      <c r="W25" s="32">
        <v>7000</v>
      </c>
      <c r="X25" s="30">
        <v>7</v>
      </c>
      <c r="Y25" s="19">
        <v>0</v>
      </c>
      <c r="Z25" s="23">
        <v>0</v>
      </c>
      <c r="AA25" s="24">
        <v>0</v>
      </c>
      <c r="AB25" s="33">
        <v>0</v>
      </c>
      <c r="AC25" s="34">
        <v>0</v>
      </c>
      <c r="AD25" s="35">
        <v>0</v>
      </c>
      <c r="AE25" s="36">
        <v>0</v>
      </c>
      <c r="AF25" s="23">
        <v>0</v>
      </c>
      <c r="AG25" s="24">
        <v>0</v>
      </c>
      <c r="AH25" s="33">
        <v>0</v>
      </c>
      <c r="AI25" s="37">
        <v>0</v>
      </c>
      <c r="AJ25" s="35">
        <v>0</v>
      </c>
      <c r="AK25" s="36">
        <v>0</v>
      </c>
      <c r="AL25" s="38">
        <v>0</v>
      </c>
      <c r="AM25" s="35">
        <v>0</v>
      </c>
      <c r="AN25" s="19">
        <v>0</v>
      </c>
      <c r="AO25" s="23">
        <v>0</v>
      </c>
      <c r="AP25" s="24">
        <v>0</v>
      </c>
      <c r="AQ25" s="31">
        <f t="shared" si="4"/>
        <v>5.6</v>
      </c>
      <c r="AR25" s="32">
        <f t="shared" si="4"/>
        <v>14000</v>
      </c>
      <c r="AS25" s="30">
        <v>7</v>
      </c>
    </row>
    <row r="26" spans="1:45" ht="16" x14ac:dyDescent="0.2">
      <c r="A26" s="19">
        <v>23</v>
      </c>
      <c r="B26" s="21" t="s">
        <v>42</v>
      </c>
      <c r="C26" s="20" t="s">
        <v>48</v>
      </c>
      <c r="D26" s="345"/>
      <c r="E26" s="22">
        <v>14.4</v>
      </c>
      <c r="F26" s="23">
        <f t="shared" si="0"/>
        <v>36000</v>
      </c>
      <c r="G26" s="19">
        <v>0</v>
      </c>
      <c r="H26" s="23">
        <v>0</v>
      </c>
      <c r="I26" s="24">
        <v>0</v>
      </c>
      <c r="J26" s="19">
        <v>0</v>
      </c>
      <c r="K26" s="23">
        <v>0</v>
      </c>
      <c r="L26" s="24">
        <v>0</v>
      </c>
      <c r="M26" s="25">
        <v>3.6</v>
      </c>
      <c r="N26" s="26">
        <v>9000</v>
      </c>
      <c r="O26" s="27">
        <v>9</v>
      </c>
      <c r="P26" s="28">
        <f t="shared" si="1"/>
        <v>0.8</v>
      </c>
      <c r="Q26" s="29">
        <f t="shared" si="2"/>
        <v>2000</v>
      </c>
      <c r="R26" s="30">
        <v>2</v>
      </c>
      <c r="S26" s="19">
        <v>0</v>
      </c>
      <c r="T26" s="23">
        <v>0</v>
      </c>
      <c r="U26" s="24">
        <v>0</v>
      </c>
      <c r="V26" s="31">
        <f t="shared" si="3"/>
        <v>4.4000000000000004</v>
      </c>
      <c r="W26" s="32">
        <v>11000</v>
      </c>
      <c r="X26" s="30">
        <v>11</v>
      </c>
      <c r="Y26" s="19">
        <v>0</v>
      </c>
      <c r="Z26" s="23">
        <v>0</v>
      </c>
      <c r="AA26" s="24">
        <v>0</v>
      </c>
      <c r="AB26" s="33">
        <v>0</v>
      </c>
      <c r="AC26" s="34">
        <v>0</v>
      </c>
      <c r="AD26" s="35">
        <v>0</v>
      </c>
      <c r="AE26" s="36">
        <v>0</v>
      </c>
      <c r="AF26" s="23">
        <v>0</v>
      </c>
      <c r="AG26" s="24">
        <v>0</v>
      </c>
      <c r="AH26" s="33">
        <v>0</v>
      </c>
      <c r="AI26" s="37">
        <v>0</v>
      </c>
      <c r="AJ26" s="35">
        <v>0</v>
      </c>
      <c r="AK26" s="36">
        <v>0</v>
      </c>
      <c r="AL26" s="38">
        <v>0</v>
      </c>
      <c r="AM26" s="35">
        <v>0</v>
      </c>
      <c r="AN26" s="19">
        <v>0</v>
      </c>
      <c r="AO26" s="23">
        <v>0</v>
      </c>
      <c r="AP26" s="24">
        <v>0</v>
      </c>
      <c r="AQ26" s="31">
        <f t="shared" si="4"/>
        <v>8.8000000000000007</v>
      </c>
      <c r="AR26" s="32">
        <f t="shared" si="4"/>
        <v>22000</v>
      </c>
      <c r="AS26" s="30">
        <v>11</v>
      </c>
    </row>
    <row r="27" spans="1:45" ht="16" x14ac:dyDescent="0.2">
      <c r="A27" s="19">
        <v>24</v>
      </c>
      <c r="B27" s="21" t="s">
        <v>42</v>
      </c>
      <c r="C27" s="20" t="s">
        <v>49</v>
      </c>
      <c r="D27" s="345"/>
      <c r="E27" s="22">
        <v>22.8</v>
      </c>
      <c r="F27" s="23">
        <f t="shared" si="0"/>
        <v>57000</v>
      </c>
      <c r="G27" s="19">
        <v>0</v>
      </c>
      <c r="H27" s="23">
        <v>0</v>
      </c>
      <c r="I27" s="24">
        <v>0</v>
      </c>
      <c r="J27" s="19">
        <v>0</v>
      </c>
      <c r="K27" s="23">
        <v>0</v>
      </c>
      <c r="L27" s="24">
        <v>0</v>
      </c>
      <c r="M27" s="25">
        <v>6.8</v>
      </c>
      <c r="N27" s="26">
        <v>17000</v>
      </c>
      <c r="O27" s="27">
        <v>17</v>
      </c>
      <c r="P27" s="28">
        <f t="shared" si="1"/>
        <v>1.6</v>
      </c>
      <c r="Q27" s="29">
        <f t="shared" si="2"/>
        <v>4000</v>
      </c>
      <c r="R27" s="30">
        <v>4</v>
      </c>
      <c r="S27" s="19">
        <v>0</v>
      </c>
      <c r="T27" s="23">
        <v>0</v>
      </c>
      <c r="U27" s="24">
        <v>0</v>
      </c>
      <c r="V27" s="31">
        <f t="shared" si="3"/>
        <v>8.4</v>
      </c>
      <c r="W27" s="32">
        <v>21000</v>
      </c>
      <c r="X27" s="30">
        <v>21</v>
      </c>
      <c r="Y27" s="19">
        <v>0</v>
      </c>
      <c r="Z27" s="23">
        <v>0</v>
      </c>
      <c r="AA27" s="24">
        <v>0</v>
      </c>
      <c r="AB27" s="33">
        <v>0</v>
      </c>
      <c r="AC27" s="34">
        <v>0</v>
      </c>
      <c r="AD27" s="35">
        <v>0</v>
      </c>
      <c r="AE27" s="36">
        <v>0</v>
      </c>
      <c r="AF27" s="23">
        <v>0</v>
      </c>
      <c r="AG27" s="24">
        <v>0</v>
      </c>
      <c r="AH27" s="33">
        <v>0</v>
      </c>
      <c r="AI27" s="37">
        <v>0</v>
      </c>
      <c r="AJ27" s="35">
        <v>0</v>
      </c>
      <c r="AK27" s="36">
        <v>0</v>
      </c>
      <c r="AL27" s="38">
        <v>0</v>
      </c>
      <c r="AM27" s="35">
        <v>0</v>
      </c>
      <c r="AN27" s="19">
        <v>0</v>
      </c>
      <c r="AO27" s="23">
        <v>0</v>
      </c>
      <c r="AP27" s="24">
        <v>0</v>
      </c>
      <c r="AQ27" s="31">
        <f t="shared" si="4"/>
        <v>16.8</v>
      </c>
      <c r="AR27" s="32">
        <f t="shared" si="4"/>
        <v>42000</v>
      </c>
      <c r="AS27" s="30">
        <v>21</v>
      </c>
    </row>
    <row r="28" spans="1:45" ht="16" x14ac:dyDescent="0.2">
      <c r="A28" s="19">
        <v>25</v>
      </c>
      <c r="B28" s="21" t="s">
        <v>42</v>
      </c>
      <c r="C28" s="20" t="s">
        <v>50</v>
      </c>
      <c r="D28" s="345"/>
      <c r="E28" s="22">
        <v>16.399999999999999</v>
      </c>
      <c r="F28" s="23">
        <f t="shared" si="0"/>
        <v>41000</v>
      </c>
      <c r="G28" s="19">
        <v>0</v>
      </c>
      <c r="H28" s="23">
        <v>0</v>
      </c>
      <c r="I28" s="24">
        <v>0</v>
      </c>
      <c r="J28" s="19">
        <v>0</v>
      </c>
      <c r="K28" s="23">
        <v>0</v>
      </c>
      <c r="L28" s="24">
        <v>0</v>
      </c>
      <c r="M28" s="25">
        <v>6</v>
      </c>
      <c r="N28" s="26">
        <v>15000</v>
      </c>
      <c r="O28" s="27">
        <v>15</v>
      </c>
      <c r="P28" s="28">
        <f t="shared" si="1"/>
        <v>2.4</v>
      </c>
      <c r="Q28" s="29">
        <f t="shared" si="2"/>
        <v>6000</v>
      </c>
      <c r="R28" s="30">
        <v>6</v>
      </c>
      <c r="S28" s="19">
        <v>0</v>
      </c>
      <c r="T28" s="23">
        <v>0</v>
      </c>
      <c r="U28" s="24">
        <v>0</v>
      </c>
      <c r="V28" s="31">
        <f t="shared" si="3"/>
        <v>8.4</v>
      </c>
      <c r="W28" s="32">
        <v>21000</v>
      </c>
      <c r="X28" s="30">
        <v>21</v>
      </c>
      <c r="Y28" s="19">
        <v>0</v>
      </c>
      <c r="Z28" s="23">
        <v>0</v>
      </c>
      <c r="AA28" s="24">
        <v>0</v>
      </c>
      <c r="AB28" s="33">
        <v>0</v>
      </c>
      <c r="AC28" s="34">
        <v>0</v>
      </c>
      <c r="AD28" s="35">
        <v>0</v>
      </c>
      <c r="AE28" s="36">
        <v>0</v>
      </c>
      <c r="AF28" s="23">
        <v>0</v>
      </c>
      <c r="AG28" s="24">
        <v>0</v>
      </c>
      <c r="AH28" s="33">
        <v>0</v>
      </c>
      <c r="AI28" s="37">
        <v>0</v>
      </c>
      <c r="AJ28" s="35">
        <v>0</v>
      </c>
      <c r="AK28" s="36">
        <v>0</v>
      </c>
      <c r="AL28" s="38">
        <v>0</v>
      </c>
      <c r="AM28" s="35">
        <v>0</v>
      </c>
      <c r="AN28" s="19">
        <v>0</v>
      </c>
      <c r="AO28" s="23">
        <v>0</v>
      </c>
      <c r="AP28" s="24">
        <v>0</v>
      </c>
      <c r="AQ28" s="31">
        <f t="shared" si="4"/>
        <v>16.8</v>
      </c>
      <c r="AR28" s="32">
        <f t="shared" si="4"/>
        <v>42000</v>
      </c>
      <c r="AS28" s="30">
        <v>21</v>
      </c>
    </row>
    <row r="29" spans="1:45" ht="16" x14ac:dyDescent="0.2">
      <c r="A29" s="19">
        <v>26</v>
      </c>
      <c r="B29" s="21" t="s">
        <v>51</v>
      </c>
      <c r="C29" s="20" t="s">
        <v>52</v>
      </c>
      <c r="D29" s="345"/>
      <c r="E29" s="22">
        <v>11.399999999999999</v>
      </c>
      <c r="F29" s="23">
        <f t="shared" si="0"/>
        <v>28499.999999999996</v>
      </c>
      <c r="G29" s="19">
        <v>0</v>
      </c>
      <c r="H29" s="23">
        <v>0</v>
      </c>
      <c r="I29" s="24">
        <v>0</v>
      </c>
      <c r="J29" s="19">
        <v>0</v>
      </c>
      <c r="K29" s="23">
        <v>0</v>
      </c>
      <c r="L29" s="24">
        <v>0</v>
      </c>
      <c r="M29" s="25">
        <v>2.4</v>
      </c>
      <c r="N29" s="26">
        <v>6000</v>
      </c>
      <c r="O29" s="27">
        <v>6</v>
      </c>
      <c r="P29" s="28">
        <f t="shared" si="1"/>
        <v>0.8</v>
      </c>
      <c r="Q29" s="29">
        <f t="shared" si="2"/>
        <v>2000</v>
      </c>
      <c r="R29" s="30">
        <v>2</v>
      </c>
      <c r="S29" s="19">
        <v>0</v>
      </c>
      <c r="T29" s="23">
        <v>0</v>
      </c>
      <c r="U29" s="24">
        <v>0</v>
      </c>
      <c r="V29" s="31">
        <f t="shared" si="3"/>
        <v>3.2</v>
      </c>
      <c r="W29" s="32">
        <v>8000</v>
      </c>
      <c r="X29" s="30">
        <v>8</v>
      </c>
      <c r="Y29" s="19">
        <v>0</v>
      </c>
      <c r="Z29" s="23">
        <v>0</v>
      </c>
      <c r="AA29" s="24">
        <v>0</v>
      </c>
      <c r="AB29" s="33">
        <v>0</v>
      </c>
      <c r="AC29" s="34">
        <v>0</v>
      </c>
      <c r="AD29" s="35">
        <v>0</v>
      </c>
      <c r="AE29" s="36">
        <v>0</v>
      </c>
      <c r="AF29" s="23">
        <v>0</v>
      </c>
      <c r="AG29" s="24">
        <v>0</v>
      </c>
      <c r="AH29" s="33">
        <v>0</v>
      </c>
      <c r="AI29" s="37">
        <v>0</v>
      </c>
      <c r="AJ29" s="35">
        <v>0</v>
      </c>
      <c r="AK29" s="36">
        <v>0</v>
      </c>
      <c r="AL29" s="38">
        <v>0</v>
      </c>
      <c r="AM29" s="35">
        <v>0</v>
      </c>
      <c r="AN29" s="19">
        <v>0</v>
      </c>
      <c r="AO29" s="23">
        <v>0</v>
      </c>
      <c r="AP29" s="24">
        <v>0</v>
      </c>
      <c r="AQ29" s="31">
        <f t="shared" si="4"/>
        <v>6.4</v>
      </c>
      <c r="AR29" s="32">
        <f t="shared" si="4"/>
        <v>16000</v>
      </c>
      <c r="AS29" s="30">
        <v>8</v>
      </c>
    </row>
    <row r="30" spans="1:45" ht="16" x14ac:dyDescent="0.2">
      <c r="A30" s="19">
        <v>27</v>
      </c>
      <c r="B30" s="21" t="s">
        <v>51</v>
      </c>
      <c r="C30" s="20" t="s">
        <v>51</v>
      </c>
      <c r="D30" s="345"/>
      <c r="E30" s="22">
        <v>23.600000000000009</v>
      </c>
      <c r="F30" s="23">
        <f t="shared" si="0"/>
        <v>59000.000000000022</v>
      </c>
      <c r="G30" s="19">
        <v>0</v>
      </c>
      <c r="H30" s="23">
        <v>0</v>
      </c>
      <c r="I30" s="24">
        <v>0</v>
      </c>
      <c r="J30" s="19">
        <v>0</v>
      </c>
      <c r="K30" s="23">
        <v>0</v>
      </c>
      <c r="L30" s="24">
        <v>0</v>
      </c>
      <c r="M30" s="25">
        <v>5.6</v>
      </c>
      <c r="N30" s="26">
        <v>14000</v>
      </c>
      <c r="O30" s="27">
        <v>14</v>
      </c>
      <c r="P30" s="28">
        <f t="shared" si="1"/>
        <v>3.2</v>
      </c>
      <c r="Q30" s="29">
        <f t="shared" si="2"/>
        <v>8000</v>
      </c>
      <c r="R30" s="30">
        <v>8</v>
      </c>
      <c r="S30" s="19">
        <v>0</v>
      </c>
      <c r="T30" s="23">
        <v>0</v>
      </c>
      <c r="U30" s="24">
        <v>0</v>
      </c>
      <c r="V30" s="31">
        <f t="shared" si="3"/>
        <v>8.8000000000000007</v>
      </c>
      <c r="W30" s="32">
        <v>22000</v>
      </c>
      <c r="X30" s="30">
        <v>22</v>
      </c>
      <c r="Y30" s="19">
        <v>0</v>
      </c>
      <c r="Z30" s="23">
        <v>0</v>
      </c>
      <c r="AA30" s="24">
        <v>0</v>
      </c>
      <c r="AB30" s="33">
        <v>0</v>
      </c>
      <c r="AC30" s="34">
        <v>0</v>
      </c>
      <c r="AD30" s="35">
        <v>0</v>
      </c>
      <c r="AE30" s="36">
        <v>0</v>
      </c>
      <c r="AF30" s="23">
        <v>0</v>
      </c>
      <c r="AG30" s="24">
        <v>0</v>
      </c>
      <c r="AH30" s="33">
        <v>0</v>
      </c>
      <c r="AI30" s="37">
        <v>0</v>
      </c>
      <c r="AJ30" s="35">
        <v>0</v>
      </c>
      <c r="AK30" s="36">
        <v>0</v>
      </c>
      <c r="AL30" s="38">
        <v>0</v>
      </c>
      <c r="AM30" s="35">
        <v>0</v>
      </c>
      <c r="AN30" s="19">
        <v>0</v>
      </c>
      <c r="AO30" s="23">
        <v>0</v>
      </c>
      <c r="AP30" s="24">
        <v>0</v>
      </c>
      <c r="AQ30" s="31">
        <f t="shared" si="4"/>
        <v>17.600000000000001</v>
      </c>
      <c r="AR30" s="32">
        <f t="shared" si="4"/>
        <v>44000</v>
      </c>
      <c r="AS30" s="30">
        <v>22</v>
      </c>
    </row>
    <row r="31" spans="1:45" ht="16" x14ac:dyDescent="0.2">
      <c r="A31" s="19">
        <v>28</v>
      </c>
      <c r="B31" s="21" t="s">
        <v>51</v>
      </c>
      <c r="C31" s="20" t="s">
        <v>53</v>
      </c>
      <c r="D31" s="345"/>
      <c r="E31" s="22">
        <v>18</v>
      </c>
      <c r="F31" s="23">
        <f t="shared" si="0"/>
        <v>45000</v>
      </c>
      <c r="G31" s="19">
        <v>0</v>
      </c>
      <c r="H31" s="23">
        <v>0</v>
      </c>
      <c r="I31" s="24">
        <v>0</v>
      </c>
      <c r="J31" s="19">
        <v>0</v>
      </c>
      <c r="K31" s="23">
        <v>0</v>
      </c>
      <c r="L31" s="24">
        <v>0</v>
      </c>
      <c r="M31" s="25">
        <v>3.2</v>
      </c>
      <c r="N31" s="26">
        <v>8000</v>
      </c>
      <c r="O31" s="27">
        <v>8</v>
      </c>
      <c r="P31" s="28">
        <f t="shared" si="1"/>
        <v>3.2</v>
      </c>
      <c r="Q31" s="29">
        <f t="shared" si="2"/>
        <v>8000</v>
      </c>
      <c r="R31" s="30">
        <v>8</v>
      </c>
      <c r="S31" s="19">
        <v>0</v>
      </c>
      <c r="T31" s="23">
        <v>0</v>
      </c>
      <c r="U31" s="24">
        <v>0</v>
      </c>
      <c r="V31" s="31">
        <f t="shared" si="3"/>
        <v>6.4</v>
      </c>
      <c r="W31" s="32">
        <v>16000</v>
      </c>
      <c r="X31" s="30">
        <v>16</v>
      </c>
      <c r="Y31" s="19">
        <v>0</v>
      </c>
      <c r="Z31" s="23">
        <v>0</v>
      </c>
      <c r="AA31" s="24">
        <v>0</v>
      </c>
      <c r="AB31" s="33">
        <v>0</v>
      </c>
      <c r="AC31" s="34">
        <v>0</v>
      </c>
      <c r="AD31" s="35">
        <v>0</v>
      </c>
      <c r="AE31" s="36">
        <v>0</v>
      </c>
      <c r="AF31" s="23">
        <v>0</v>
      </c>
      <c r="AG31" s="24">
        <v>0</v>
      </c>
      <c r="AH31" s="33">
        <v>0</v>
      </c>
      <c r="AI31" s="37">
        <v>0</v>
      </c>
      <c r="AJ31" s="35">
        <v>0</v>
      </c>
      <c r="AK31" s="36">
        <v>0</v>
      </c>
      <c r="AL31" s="38">
        <v>0</v>
      </c>
      <c r="AM31" s="35">
        <v>0</v>
      </c>
      <c r="AN31" s="19">
        <v>0</v>
      </c>
      <c r="AO31" s="23">
        <v>0</v>
      </c>
      <c r="AP31" s="24">
        <v>0</v>
      </c>
      <c r="AQ31" s="31">
        <f t="shared" si="4"/>
        <v>12.8</v>
      </c>
      <c r="AR31" s="32">
        <f t="shared" si="4"/>
        <v>32000</v>
      </c>
      <c r="AS31" s="30">
        <v>16</v>
      </c>
    </row>
    <row r="32" spans="1:45" ht="16" x14ac:dyDescent="0.2">
      <c r="A32" s="19">
        <v>29</v>
      </c>
      <c r="B32" s="21" t="s">
        <v>51</v>
      </c>
      <c r="C32" s="20" t="s">
        <v>54</v>
      </c>
      <c r="D32" s="345"/>
      <c r="E32" s="22">
        <v>16.399999999999999</v>
      </c>
      <c r="F32" s="23">
        <f t="shared" si="0"/>
        <v>41000</v>
      </c>
      <c r="G32" s="19">
        <v>0</v>
      </c>
      <c r="H32" s="23">
        <v>0</v>
      </c>
      <c r="I32" s="24">
        <v>0</v>
      </c>
      <c r="J32" s="19">
        <v>0</v>
      </c>
      <c r="K32" s="23">
        <v>0</v>
      </c>
      <c r="L32" s="24">
        <v>0</v>
      </c>
      <c r="M32" s="25">
        <v>5.2</v>
      </c>
      <c r="N32" s="26">
        <v>13000</v>
      </c>
      <c r="O32" s="27">
        <v>13</v>
      </c>
      <c r="P32" s="28">
        <f t="shared" si="1"/>
        <v>1.2</v>
      </c>
      <c r="Q32" s="29">
        <f t="shared" si="2"/>
        <v>3000</v>
      </c>
      <c r="R32" s="30">
        <v>3</v>
      </c>
      <c r="S32" s="19">
        <v>0</v>
      </c>
      <c r="T32" s="23">
        <v>0</v>
      </c>
      <c r="U32" s="24">
        <v>0</v>
      </c>
      <c r="V32" s="31">
        <f t="shared" si="3"/>
        <v>5.6</v>
      </c>
      <c r="W32" s="32">
        <v>14000</v>
      </c>
      <c r="X32" s="30">
        <v>14</v>
      </c>
      <c r="Y32" s="19">
        <v>0</v>
      </c>
      <c r="Z32" s="23">
        <v>0</v>
      </c>
      <c r="AA32" s="24">
        <v>0</v>
      </c>
      <c r="AB32" s="33">
        <v>0</v>
      </c>
      <c r="AC32" s="34">
        <v>0</v>
      </c>
      <c r="AD32" s="35">
        <v>0</v>
      </c>
      <c r="AE32" s="36">
        <v>0</v>
      </c>
      <c r="AF32" s="23">
        <v>0</v>
      </c>
      <c r="AG32" s="24">
        <v>0</v>
      </c>
      <c r="AH32" s="33">
        <v>0</v>
      </c>
      <c r="AI32" s="37">
        <v>0</v>
      </c>
      <c r="AJ32" s="35">
        <v>0</v>
      </c>
      <c r="AK32" s="36">
        <v>0</v>
      </c>
      <c r="AL32" s="38">
        <v>0</v>
      </c>
      <c r="AM32" s="35">
        <v>0</v>
      </c>
      <c r="AN32" s="19">
        <v>0</v>
      </c>
      <c r="AO32" s="23">
        <v>0</v>
      </c>
      <c r="AP32" s="24">
        <v>0</v>
      </c>
      <c r="AQ32" s="31">
        <f t="shared" si="4"/>
        <v>12</v>
      </c>
      <c r="AR32" s="32">
        <f t="shared" si="4"/>
        <v>30000</v>
      </c>
      <c r="AS32" s="30">
        <v>16</v>
      </c>
    </row>
    <row r="33" spans="1:45" ht="16" x14ac:dyDescent="0.2">
      <c r="A33" s="19">
        <v>30</v>
      </c>
      <c r="B33" s="21" t="s">
        <v>51</v>
      </c>
      <c r="C33" s="20" t="s">
        <v>55</v>
      </c>
      <c r="D33" s="345"/>
      <c r="E33" s="22">
        <v>19.599999999999998</v>
      </c>
      <c r="F33" s="23">
        <f t="shared" si="0"/>
        <v>48999.999999999993</v>
      </c>
      <c r="G33" s="19">
        <v>0</v>
      </c>
      <c r="H33" s="23">
        <v>0</v>
      </c>
      <c r="I33" s="24">
        <v>0</v>
      </c>
      <c r="J33" s="19">
        <v>0</v>
      </c>
      <c r="K33" s="23">
        <v>0</v>
      </c>
      <c r="L33" s="24">
        <v>0</v>
      </c>
      <c r="M33" s="25">
        <v>4</v>
      </c>
      <c r="N33" s="26">
        <v>10000</v>
      </c>
      <c r="O33" s="27">
        <v>10</v>
      </c>
      <c r="P33" s="28">
        <f t="shared" si="1"/>
        <v>4</v>
      </c>
      <c r="Q33" s="29">
        <f t="shared" si="2"/>
        <v>10000</v>
      </c>
      <c r="R33" s="30">
        <v>10</v>
      </c>
      <c r="S33" s="19">
        <v>0</v>
      </c>
      <c r="T33" s="23">
        <v>0</v>
      </c>
      <c r="U33" s="24">
        <v>0</v>
      </c>
      <c r="V33" s="31">
        <f t="shared" si="3"/>
        <v>8</v>
      </c>
      <c r="W33" s="32">
        <v>20000</v>
      </c>
      <c r="X33" s="30">
        <v>20</v>
      </c>
      <c r="Y33" s="19">
        <v>0</v>
      </c>
      <c r="Z33" s="23">
        <v>0</v>
      </c>
      <c r="AA33" s="24">
        <v>0</v>
      </c>
      <c r="AB33" s="33">
        <v>0</v>
      </c>
      <c r="AC33" s="34">
        <v>0</v>
      </c>
      <c r="AD33" s="35">
        <v>0</v>
      </c>
      <c r="AE33" s="36">
        <v>0</v>
      </c>
      <c r="AF33" s="23">
        <v>0</v>
      </c>
      <c r="AG33" s="24">
        <v>0</v>
      </c>
      <c r="AH33" s="33">
        <v>0</v>
      </c>
      <c r="AI33" s="37">
        <v>0</v>
      </c>
      <c r="AJ33" s="35">
        <v>0</v>
      </c>
      <c r="AK33" s="36">
        <v>0</v>
      </c>
      <c r="AL33" s="38">
        <v>0</v>
      </c>
      <c r="AM33" s="35">
        <v>0</v>
      </c>
      <c r="AN33" s="19">
        <v>0</v>
      </c>
      <c r="AO33" s="23">
        <v>0</v>
      </c>
      <c r="AP33" s="24">
        <v>0</v>
      </c>
      <c r="AQ33" s="31">
        <f t="shared" si="4"/>
        <v>16</v>
      </c>
      <c r="AR33" s="32">
        <f t="shared" si="4"/>
        <v>40000</v>
      </c>
      <c r="AS33" s="30">
        <v>22</v>
      </c>
    </row>
    <row r="34" spans="1:45" ht="16" x14ac:dyDescent="0.2">
      <c r="A34" s="19">
        <v>31</v>
      </c>
      <c r="B34" s="21" t="s">
        <v>51</v>
      </c>
      <c r="C34" s="20" t="s">
        <v>56</v>
      </c>
      <c r="D34" s="345"/>
      <c r="E34" s="22">
        <v>13.8</v>
      </c>
      <c r="F34" s="23">
        <f t="shared" si="0"/>
        <v>34500</v>
      </c>
      <c r="G34" s="19">
        <v>0</v>
      </c>
      <c r="H34" s="23">
        <v>0</v>
      </c>
      <c r="I34" s="24">
        <v>0</v>
      </c>
      <c r="J34" s="19">
        <v>0</v>
      </c>
      <c r="K34" s="23">
        <v>0</v>
      </c>
      <c r="L34" s="24">
        <v>0</v>
      </c>
      <c r="M34" s="25">
        <v>3.2</v>
      </c>
      <c r="N34" s="26">
        <v>8000</v>
      </c>
      <c r="O34" s="27">
        <v>8</v>
      </c>
      <c r="P34" s="28">
        <f t="shared" si="1"/>
        <v>1.6</v>
      </c>
      <c r="Q34" s="29">
        <f t="shared" si="2"/>
        <v>4000</v>
      </c>
      <c r="R34" s="30">
        <v>4</v>
      </c>
      <c r="S34" s="19">
        <v>0</v>
      </c>
      <c r="T34" s="23">
        <v>0</v>
      </c>
      <c r="U34" s="24">
        <v>0</v>
      </c>
      <c r="V34" s="31">
        <f t="shared" si="3"/>
        <v>4.8</v>
      </c>
      <c r="W34" s="32">
        <v>12000</v>
      </c>
      <c r="X34" s="30">
        <v>12</v>
      </c>
      <c r="Y34" s="19">
        <v>0</v>
      </c>
      <c r="Z34" s="23">
        <v>0</v>
      </c>
      <c r="AA34" s="24">
        <v>0</v>
      </c>
      <c r="AB34" s="33">
        <v>0</v>
      </c>
      <c r="AC34" s="34">
        <v>0</v>
      </c>
      <c r="AD34" s="35">
        <v>0</v>
      </c>
      <c r="AE34" s="36">
        <v>0</v>
      </c>
      <c r="AF34" s="23">
        <v>0</v>
      </c>
      <c r="AG34" s="24">
        <v>0</v>
      </c>
      <c r="AH34" s="33">
        <v>0</v>
      </c>
      <c r="AI34" s="37">
        <v>0</v>
      </c>
      <c r="AJ34" s="35">
        <v>0</v>
      </c>
      <c r="AK34" s="36">
        <v>0</v>
      </c>
      <c r="AL34" s="38">
        <v>0</v>
      </c>
      <c r="AM34" s="35">
        <v>0</v>
      </c>
      <c r="AN34" s="19">
        <v>0</v>
      </c>
      <c r="AO34" s="23">
        <v>0</v>
      </c>
      <c r="AP34" s="24">
        <v>0</v>
      </c>
      <c r="AQ34" s="31">
        <f t="shared" si="4"/>
        <v>9.6000000000000014</v>
      </c>
      <c r="AR34" s="32">
        <f t="shared" si="4"/>
        <v>24000</v>
      </c>
      <c r="AS34" s="30">
        <v>12</v>
      </c>
    </row>
    <row r="35" spans="1:45" ht="16" x14ac:dyDescent="0.2">
      <c r="A35" s="19">
        <v>32</v>
      </c>
      <c r="B35" s="21" t="s">
        <v>51</v>
      </c>
      <c r="C35" s="20" t="s">
        <v>57</v>
      </c>
      <c r="D35" s="345"/>
      <c r="E35" s="22">
        <v>19.399999999999999</v>
      </c>
      <c r="F35" s="23">
        <f t="shared" si="0"/>
        <v>48500</v>
      </c>
      <c r="G35" s="19">
        <v>0</v>
      </c>
      <c r="H35" s="23">
        <v>0</v>
      </c>
      <c r="I35" s="24">
        <v>0</v>
      </c>
      <c r="J35" s="19">
        <v>0</v>
      </c>
      <c r="K35" s="23">
        <v>0</v>
      </c>
      <c r="L35" s="24">
        <v>0</v>
      </c>
      <c r="M35" s="25">
        <v>4</v>
      </c>
      <c r="N35" s="26">
        <v>10000</v>
      </c>
      <c r="O35" s="27">
        <v>10</v>
      </c>
      <c r="P35" s="28">
        <f t="shared" si="1"/>
        <v>4</v>
      </c>
      <c r="Q35" s="29">
        <f t="shared" si="2"/>
        <v>10000</v>
      </c>
      <c r="R35" s="30">
        <v>10</v>
      </c>
      <c r="S35" s="19">
        <v>0</v>
      </c>
      <c r="T35" s="23">
        <v>0</v>
      </c>
      <c r="U35" s="24">
        <v>0</v>
      </c>
      <c r="V35" s="31">
        <f t="shared" si="3"/>
        <v>7.2</v>
      </c>
      <c r="W35" s="32">
        <v>18000</v>
      </c>
      <c r="X35" s="30">
        <v>18</v>
      </c>
      <c r="Y35" s="19">
        <v>0</v>
      </c>
      <c r="Z35" s="23">
        <v>0</v>
      </c>
      <c r="AA35" s="24">
        <v>0</v>
      </c>
      <c r="AB35" s="33">
        <v>0</v>
      </c>
      <c r="AC35" s="34">
        <v>0</v>
      </c>
      <c r="AD35" s="35">
        <v>0</v>
      </c>
      <c r="AE35" s="36">
        <v>0</v>
      </c>
      <c r="AF35" s="23">
        <v>0</v>
      </c>
      <c r="AG35" s="24">
        <v>0</v>
      </c>
      <c r="AH35" s="33">
        <v>0</v>
      </c>
      <c r="AI35" s="37">
        <v>0</v>
      </c>
      <c r="AJ35" s="35">
        <v>0</v>
      </c>
      <c r="AK35" s="36">
        <v>0</v>
      </c>
      <c r="AL35" s="38">
        <v>0</v>
      </c>
      <c r="AM35" s="35">
        <v>0</v>
      </c>
      <c r="AN35" s="19">
        <v>0</v>
      </c>
      <c r="AO35" s="23">
        <v>0</v>
      </c>
      <c r="AP35" s="24">
        <v>0</v>
      </c>
      <c r="AQ35" s="31">
        <f t="shared" si="4"/>
        <v>15.2</v>
      </c>
      <c r="AR35" s="32">
        <f t="shared" si="4"/>
        <v>38000</v>
      </c>
      <c r="AS35" s="30">
        <v>20</v>
      </c>
    </row>
    <row r="36" spans="1:45" ht="16" x14ac:dyDescent="0.2">
      <c r="A36" s="19">
        <v>33</v>
      </c>
      <c r="B36" s="21" t="s">
        <v>51</v>
      </c>
      <c r="C36" s="20" t="s">
        <v>58</v>
      </c>
      <c r="D36" s="345"/>
      <c r="E36" s="22">
        <v>25.400000000000002</v>
      </c>
      <c r="F36" s="23">
        <f t="shared" si="0"/>
        <v>63500.000000000007</v>
      </c>
      <c r="G36" s="19">
        <v>0</v>
      </c>
      <c r="H36" s="23">
        <v>0</v>
      </c>
      <c r="I36" s="24">
        <v>0</v>
      </c>
      <c r="J36" s="19">
        <v>0</v>
      </c>
      <c r="K36" s="23">
        <v>0</v>
      </c>
      <c r="L36" s="24">
        <v>0</v>
      </c>
      <c r="M36" s="25">
        <v>4.8</v>
      </c>
      <c r="N36" s="26">
        <v>12000</v>
      </c>
      <c r="O36" s="27">
        <v>12</v>
      </c>
      <c r="P36" s="28">
        <f t="shared" si="1"/>
        <v>6.4</v>
      </c>
      <c r="Q36" s="29">
        <f t="shared" si="2"/>
        <v>16000</v>
      </c>
      <c r="R36" s="30">
        <v>16</v>
      </c>
      <c r="S36" s="19">
        <v>0</v>
      </c>
      <c r="T36" s="23">
        <v>0</v>
      </c>
      <c r="U36" s="24">
        <v>0</v>
      </c>
      <c r="V36" s="31">
        <f t="shared" si="3"/>
        <v>9.6</v>
      </c>
      <c r="W36" s="32">
        <v>24000</v>
      </c>
      <c r="X36" s="30">
        <v>24</v>
      </c>
      <c r="Y36" s="19">
        <v>0</v>
      </c>
      <c r="Z36" s="23">
        <v>0</v>
      </c>
      <c r="AA36" s="24">
        <v>0</v>
      </c>
      <c r="AB36" s="33">
        <v>0</v>
      </c>
      <c r="AC36" s="34">
        <v>0</v>
      </c>
      <c r="AD36" s="35">
        <v>0</v>
      </c>
      <c r="AE36" s="36">
        <v>0</v>
      </c>
      <c r="AF36" s="23">
        <v>0</v>
      </c>
      <c r="AG36" s="24">
        <v>0</v>
      </c>
      <c r="AH36" s="33">
        <v>0</v>
      </c>
      <c r="AI36" s="37">
        <v>0</v>
      </c>
      <c r="AJ36" s="35">
        <v>0</v>
      </c>
      <c r="AK36" s="36">
        <v>0</v>
      </c>
      <c r="AL36" s="38">
        <v>0</v>
      </c>
      <c r="AM36" s="35">
        <v>0</v>
      </c>
      <c r="AN36" s="19">
        <v>0</v>
      </c>
      <c r="AO36" s="23">
        <v>0</v>
      </c>
      <c r="AP36" s="24">
        <v>0</v>
      </c>
      <c r="AQ36" s="31">
        <f t="shared" si="4"/>
        <v>20.799999999999997</v>
      </c>
      <c r="AR36" s="32">
        <f t="shared" si="4"/>
        <v>52000</v>
      </c>
      <c r="AS36" s="30">
        <v>28</v>
      </c>
    </row>
    <row r="37" spans="1:45" ht="16" x14ac:dyDescent="0.2">
      <c r="A37" s="19">
        <v>34</v>
      </c>
      <c r="B37" s="21" t="s">
        <v>51</v>
      </c>
      <c r="C37" s="20" t="s">
        <v>59</v>
      </c>
      <c r="D37" s="345"/>
      <c r="E37" s="22">
        <v>20</v>
      </c>
      <c r="F37" s="23">
        <f t="shared" si="0"/>
        <v>50000</v>
      </c>
      <c r="G37" s="19">
        <v>0</v>
      </c>
      <c r="H37" s="23">
        <v>0</v>
      </c>
      <c r="I37" s="24">
        <v>0</v>
      </c>
      <c r="J37" s="19">
        <v>0</v>
      </c>
      <c r="K37" s="23">
        <v>0</v>
      </c>
      <c r="L37" s="24">
        <v>0</v>
      </c>
      <c r="M37" s="25">
        <v>3.6</v>
      </c>
      <c r="N37" s="26">
        <v>9000</v>
      </c>
      <c r="O37" s="27">
        <v>9</v>
      </c>
      <c r="P37" s="28">
        <f t="shared" si="1"/>
        <v>4.4000000000000004</v>
      </c>
      <c r="Q37" s="29">
        <f t="shared" si="2"/>
        <v>11000</v>
      </c>
      <c r="R37" s="30">
        <v>11</v>
      </c>
      <c r="S37" s="19">
        <v>0</v>
      </c>
      <c r="T37" s="23">
        <v>0</v>
      </c>
      <c r="U37" s="24">
        <v>0</v>
      </c>
      <c r="V37" s="31">
        <f t="shared" si="3"/>
        <v>7.6</v>
      </c>
      <c r="W37" s="32">
        <v>19000</v>
      </c>
      <c r="X37" s="30">
        <v>19</v>
      </c>
      <c r="Y37" s="19">
        <v>0</v>
      </c>
      <c r="Z37" s="23">
        <v>0</v>
      </c>
      <c r="AA37" s="24">
        <v>0</v>
      </c>
      <c r="AB37" s="33">
        <v>0</v>
      </c>
      <c r="AC37" s="34">
        <v>0</v>
      </c>
      <c r="AD37" s="35">
        <v>0</v>
      </c>
      <c r="AE37" s="36">
        <v>0</v>
      </c>
      <c r="AF37" s="23">
        <v>0</v>
      </c>
      <c r="AG37" s="24">
        <v>0</v>
      </c>
      <c r="AH37" s="33">
        <v>0</v>
      </c>
      <c r="AI37" s="37">
        <v>0</v>
      </c>
      <c r="AJ37" s="35">
        <v>0</v>
      </c>
      <c r="AK37" s="36">
        <v>0</v>
      </c>
      <c r="AL37" s="38">
        <v>0</v>
      </c>
      <c r="AM37" s="35">
        <v>0</v>
      </c>
      <c r="AN37" s="19">
        <v>0</v>
      </c>
      <c r="AO37" s="23">
        <v>0</v>
      </c>
      <c r="AP37" s="24">
        <v>0</v>
      </c>
      <c r="AQ37" s="31">
        <f t="shared" si="4"/>
        <v>15.6</v>
      </c>
      <c r="AR37" s="32">
        <f t="shared" si="4"/>
        <v>39000</v>
      </c>
      <c r="AS37" s="30">
        <v>20</v>
      </c>
    </row>
    <row r="38" spans="1:45" ht="16" x14ac:dyDescent="0.2">
      <c r="A38" s="19">
        <v>35</v>
      </c>
      <c r="B38" s="21" t="s">
        <v>51</v>
      </c>
      <c r="C38" s="20" t="s">
        <v>60</v>
      </c>
      <c r="D38" s="345" t="s">
        <v>25</v>
      </c>
      <c r="E38" s="22">
        <v>14</v>
      </c>
      <c r="F38" s="23">
        <f t="shared" si="0"/>
        <v>35000</v>
      </c>
      <c r="G38" s="19">
        <v>0</v>
      </c>
      <c r="H38" s="23">
        <v>0</v>
      </c>
      <c r="I38" s="24">
        <v>0</v>
      </c>
      <c r="J38" s="19">
        <v>0</v>
      </c>
      <c r="K38" s="23">
        <v>0</v>
      </c>
      <c r="L38" s="24">
        <v>0</v>
      </c>
      <c r="M38" s="25">
        <v>2.8</v>
      </c>
      <c r="N38" s="26">
        <v>7000</v>
      </c>
      <c r="O38" s="27">
        <v>7</v>
      </c>
      <c r="P38" s="28">
        <f t="shared" si="1"/>
        <v>4.8</v>
      </c>
      <c r="Q38" s="29">
        <f t="shared" si="2"/>
        <v>12000</v>
      </c>
      <c r="R38" s="30">
        <v>12</v>
      </c>
      <c r="S38" s="19">
        <v>0</v>
      </c>
      <c r="T38" s="23">
        <v>0</v>
      </c>
      <c r="U38" s="24">
        <v>0</v>
      </c>
      <c r="V38" s="31">
        <f t="shared" si="3"/>
        <v>7.6</v>
      </c>
      <c r="W38" s="32">
        <v>19000</v>
      </c>
      <c r="X38" s="30">
        <v>19</v>
      </c>
      <c r="Y38" s="19">
        <v>0</v>
      </c>
      <c r="Z38" s="23">
        <v>0</v>
      </c>
      <c r="AA38" s="24">
        <v>0</v>
      </c>
      <c r="AB38" s="33">
        <v>0</v>
      </c>
      <c r="AC38" s="34">
        <v>0</v>
      </c>
      <c r="AD38" s="35">
        <v>0</v>
      </c>
      <c r="AE38" s="36">
        <v>0</v>
      </c>
      <c r="AF38" s="23">
        <v>0</v>
      </c>
      <c r="AG38" s="24">
        <v>0</v>
      </c>
      <c r="AH38" s="33">
        <v>0</v>
      </c>
      <c r="AI38" s="37">
        <v>0</v>
      </c>
      <c r="AJ38" s="35">
        <v>0</v>
      </c>
      <c r="AK38" s="36">
        <v>0</v>
      </c>
      <c r="AL38" s="38">
        <v>0</v>
      </c>
      <c r="AM38" s="35">
        <v>0</v>
      </c>
      <c r="AN38" s="19">
        <v>0</v>
      </c>
      <c r="AO38" s="23">
        <v>0</v>
      </c>
      <c r="AP38" s="24">
        <v>0</v>
      </c>
      <c r="AQ38" s="31">
        <f t="shared" si="4"/>
        <v>15.2</v>
      </c>
      <c r="AR38" s="32">
        <f t="shared" si="4"/>
        <v>38000</v>
      </c>
      <c r="AS38" s="30">
        <v>19</v>
      </c>
    </row>
    <row r="39" spans="1:45" ht="16" x14ac:dyDescent="0.2">
      <c r="A39" s="19">
        <v>36</v>
      </c>
      <c r="B39" s="21" t="s">
        <v>51</v>
      </c>
      <c r="C39" s="20" t="s">
        <v>61</v>
      </c>
      <c r="D39" s="345"/>
      <c r="E39" s="22">
        <v>8.4</v>
      </c>
      <c r="F39" s="23">
        <f t="shared" si="0"/>
        <v>21000</v>
      </c>
      <c r="G39" s="19">
        <v>0</v>
      </c>
      <c r="H39" s="23">
        <v>0</v>
      </c>
      <c r="I39" s="24">
        <v>0</v>
      </c>
      <c r="J39" s="19">
        <v>0</v>
      </c>
      <c r="K39" s="23">
        <v>0</v>
      </c>
      <c r="L39" s="24">
        <v>0</v>
      </c>
      <c r="M39" s="25">
        <v>2.4</v>
      </c>
      <c r="N39" s="26">
        <v>6000</v>
      </c>
      <c r="O39" s="27">
        <v>6</v>
      </c>
      <c r="P39" s="28">
        <f t="shared" si="1"/>
        <v>0</v>
      </c>
      <c r="Q39" s="29">
        <f t="shared" si="2"/>
        <v>0</v>
      </c>
      <c r="R39" s="30">
        <v>0</v>
      </c>
      <c r="S39" s="19">
        <v>0</v>
      </c>
      <c r="T39" s="23">
        <v>0</v>
      </c>
      <c r="U39" s="24">
        <v>0</v>
      </c>
      <c r="V39" s="31">
        <f t="shared" si="3"/>
        <v>2.4</v>
      </c>
      <c r="W39" s="32">
        <v>6000</v>
      </c>
      <c r="X39" s="30">
        <v>6</v>
      </c>
      <c r="Y39" s="19">
        <v>0</v>
      </c>
      <c r="Z39" s="23">
        <v>0</v>
      </c>
      <c r="AA39" s="24">
        <v>0</v>
      </c>
      <c r="AB39" s="33">
        <v>0</v>
      </c>
      <c r="AC39" s="34">
        <v>0</v>
      </c>
      <c r="AD39" s="35">
        <v>0</v>
      </c>
      <c r="AE39" s="36">
        <v>0</v>
      </c>
      <c r="AF39" s="23">
        <v>0</v>
      </c>
      <c r="AG39" s="24">
        <v>0</v>
      </c>
      <c r="AH39" s="33">
        <v>0</v>
      </c>
      <c r="AI39" s="37">
        <v>0</v>
      </c>
      <c r="AJ39" s="35">
        <v>0</v>
      </c>
      <c r="AK39" s="36">
        <v>0</v>
      </c>
      <c r="AL39" s="38">
        <v>0</v>
      </c>
      <c r="AM39" s="35">
        <v>0</v>
      </c>
      <c r="AN39" s="19">
        <v>0</v>
      </c>
      <c r="AO39" s="23">
        <v>0</v>
      </c>
      <c r="AP39" s="24">
        <v>0</v>
      </c>
      <c r="AQ39" s="31">
        <f t="shared" si="4"/>
        <v>4.8</v>
      </c>
      <c r="AR39" s="32">
        <f t="shared" si="4"/>
        <v>12000</v>
      </c>
      <c r="AS39" s="30">
        <v>6</v>
      </c>
    </row>
    <row r="40" spans="1:45" ht="16" x14ac:dyDescent="0.2">
      <c r="A40" s="19">
        <v>37</v>
      </c>
      <c r="B40" s="21" t="s">
        <v>51</v>
      </c>
      <c r="C40" s="20" t="s">
        <v>62</v>
      </c>
      <c r="D40" s="345"/>
      <c r="E40" s="22">
        <v>17.200000000000003</v>
      </c>
      <c r="F40" s="23">
        <f t="shared" si="0"/>
        <v>43000.000000000007</v>
      </c>
      <c r="G40" s="19">
        <v>0</v>
      </c>
      <c r="H40" s="23">
        <v>0</v>
      </c>
      <c r="I40" s="24">
        <v>0</v>
      </c>
      <c r="J40" s="19">
        <v>0</v>
      </c>
      <c r="K40" s="23">
        <v>0</v>
      </c>
      <c r="L40" s="24">
        <v>0</v>
      </c>
      <c r="M40" s="25">
        <v>5.2</v>
      </c>
      <c r="N40" s="26">
        <v>13000</v>
      </c>
      <c r="O40" s="27">
        <v>13</v>
      </c>
      <c r="P40" s="28">
        <f t="shared" si="1"/>
        <v>0</v>
      </c>
      <c r="Q40" s="29">
        <f t="shared" si="2"/>
        <v>0</v>
      </c>
      <c r="R40" s="30">
        <v>0</v>
      </c>
      <c r="S40" s="19">
        <v>0</v>
      </c>
      <c r="T40" s="23">
        <v>0</v>
      </c>
      <c r="U40" s="24">
        <v>0</v>
      </c>
      <c r="V40" s="31">
        <f t="shared" si="3"/>
        <v>5.2</v>
      </c>
      <c r="W40" s="32">
        <v>13000</v>
      </c>
      <c r="X40" s="30">
        <v>13</v>
      </c>
      <c r="Y40" s="19">
        <v>0</v>
      </c>
      <c r="Z40" s="23">
        <v>0</v>
      </c>
      <c r="AA40" s="24">
        <v>0</v>
      </c>
      <c r="AB40" s="33">
        <v>0</v>
      </c>
      <c r="AC40" s="34">
        <v>0</v>
      </c>
      <c r="AD40" s="35">
        <v>0</v>
      </c>
      <c r="AE40" s="36">
        <v>0</v>
      </c>
      <c r="AF40" s="23">
        <v>0</v>
      </c>
      <c r="AG40" s="24">
        <v>0</v>
      </c>
      <c r="AH40" s="33">
        <v>0</v>
      </c>
      <c r="AI40" s="37">
        <v>0</v>
      </c>
      <c r="AJ40" s="35">
        <v>0</v>
      </c>
      <c r="AK40" s="36">
        <v>0</v>
      </c>
      <c r="AL40" s="38">
        <v>0</v>
      </c>
      <c r="AM40" s="35">
        <v>0</v>
      </c>
      <c r="AN40" s="19">
        <v>0</v>
      </c>
      <c r="AO40" s="23">
        <v>0</v>
      </c>
      <c r="AP40" s="24">
        <v>0</v>
      </c>
      <c r="AQ40" s="31">
        <f t="shared" si="4"/>
        <v>10.4</v>
      </c>
      <c r="AR40" s="32">
        <f t="shared" si="4"/>
        <v>26000</v>
      </c>
      <c r="AS40" s="30">
        <v>13</v>
      </c>
    </row>
    <row r="41" spans="1:45" ht="16" x14ac:dyDescent="0.2">
      <c r="A41" s="19">
        <v>38</v>
      </c>
      <c r="B41" s="21" t="s">
        <v>51</v>
      </c>
      <c r="C41" s="20" t="s">
        <v>63</v>
      </c>
      <c r="D41" s="345"/>
      <c r="E41" s="22">
        <v>14.8</v>
      </c>
      <c r="F41" s="23">
        <f t="shared" si="0"/>
        <v>37000</v>
      </c>
      <c r="G41" s="19">
        <v>0</v>
      </c>
      <c r="H41" s="23">
        <v>0</v>
      </c>
      <c r="I41" s="24">
        <v>0</v>
      </c>
      <c r="J41" s="19">
        <v>0</v>
      </c>
      <c r="K41" s="23">
        <v>0</v>
      </c>
      <c r="L41" s="24">
        <v>0</v>
      </c>
      <c r="M41" s="25">
        <v>4.4000000000000004</v>
      </c>
      <c r="N41" s="26">
        <v>11000</v>
      </c>
      <c r="O41" s="27">
        <v>11</v>
      </c>
      <c r="P41" s="28">
        <f t="shared" si="1"/>
        <v>1.6</v>
      </c>
      <c r="Q41" s="29">
        <f t="shared" si="2"/>
        <v>4000</v>
      </c>
      <c r="R41" s="30">
        <v>4</v>
      </c>
      <c r="S41" s="19">
        <v>0</v>
      </c>
      <c r="T41" s="23">
        <v>0</v>
      </c>
      <c r="U41" s="24">
        <v>0</v>
      </c>
      <c r="V41" s="31">
        <f t="shared" si="3"/>
        <v>6</v>
      </c>
      <c r="W41" s="32">
        <v>15000</v>
      </c>
      <c r="X41" s="30">
        <v>15</v>
      </c>
      <c r="Y41" s="19">
        <v>0</v>
      </c>
      <c r="Z41" s="23">
        <v>0</v>
      </c>
      <c r="AA41" s="24">
        <v>0</v>
      </c>
      <c r="AB41" s="33">
        <v>0</v>
      </c>
      <c r="AC41" s="34">
        <v>0</v>
      </c>
      <c r="AD41" s="35">
        <v>0</v>
      </c>
      <c r="AE41" s="36">
        <v>0</v>
      </c>
      <c r="AF41" s="23">
        <v>0</v>
      </c>
      <c r="AG41" s="24">
        <v>0</v>
      </c>
      <c r="AH41" s="33">
        <v>0</v>
      </c>
      <c r="AI41" s="37">
        <v>0</v>
      </c>
      <c r="AJ41" s="35">
        <v>0</v>
      </c>
      <c r="AK41" s="36">
        <v>0</v>
      </c>
      <c r="AL41" s="38">
        <v>0</v>
      </c>
      <c r="AM41" s="35">
        <v>0</v>
      </c>
      <c r="AN41" s="19">
        <v>0</v>
      </c>
      <c r="AO41" s="23">
        <v>0</v>
      </c>
      <c r="AP41" s="24">
        <v>0</v>
      </c>
      <c r="AQ41" s="31">
        <f t="shared" si="4"/>
        <v>12</v>
      </c>
      <c r="AR41" s="32">
        <f t="shared" si="4"/>
        <v>30000</v>
      </c>
      <c r="AS41" s="30">
        <v>15</v>
      </c>
    </row>
    <row r="42" spans="1:45" ht="16" x14ac:dyDescent="0.2">
      <c r="A42" s="19">
        <v>39</v>
      </c>
      <c r="B42" s="21" t="s">
        <v>51</v>
      </c>
      <c r="C42" s="20" t="s">
        <v>64</v>
      </c>
      <c r="D42" s="345"/>
      <c r="E42" s="22">
        <v>9.9999999999999982</v>
      </c>
      <c r="F42" s="23">
        <f t="shared" si="0"/>
        <v>24999.999999999996</v>
      </c>
      <c r="G42" s="19">
        <v>0</v>
      </c>
      <c r="H42" s="23">
        <v>0</v>
      </c>
      <c r="I42" s="24">
        <v>0</v>
      </c>
      <c r="J42" s="19">
        <v>0</v>
      </c>
      <c r="K42" s="23">
        <v>0</v>
      </c>
      <c r="L42" s="24">
        <v>0</v>
      </c>
      <c r="M42" s="25">
        <v>3.2</v>
      </c>
      <c r="N42" s="26">
        <v>8000</v>
      </c>
      <c r="O42" s="27">
        <v>8</v>
      </c>
      <c r="P42" s="28">
        <f t="shared" si="1"/>
        <v>1.6</v>
      </c>
      <c r="Q42" s="29">
        <f t="shared" si="2"/>
        <v>4000</v>
      </c>
      <c r="R42" s="30">
        <v>4</v>
      </c>
      <c r="S42" s="19">
        <v>0</v>
      </c>
      <c r="T42" s="23">
        <v>0</v>
      </c>
      <c r="U42" s="24">
        <v>0</v>
      </c>
      <c r="V42" s="31">
        <f t="shared" si="3"/>
        <v>4.4000000000000004</v>
      </c>
      <c r="W42" s="32">
        <v>11000</v>
      </c>
      <c r="X42" s="30">
        <v>11</v>
      </c>
      <c r="Y42" s="19">
        <v>0</v>
      </c>
      <c r="Z42" s="23">
        <v>0</v>
      </c>
      <c r="AA42" s="24">
        <v>0</v>
      </c>
      <c r="AB42" s="33">
        <v>0</v>
      </c>
      <c r="AC42" s="34">
        <v>0</v>
      </c>
      <c r="AD42" s="35">
        <v>0</v>
      </c>
      <c r="AE42" s="36">
        <v>0</v>
      </c>
      <c r="AF42" s="23">
        <v>0</v>
      </c>
      <c r="AG42" s="24">
        <v>0</v>
      </c>
      <c r="AH42" s="33">
        <v>0</v>
      </c>
      <c r="AI42" s="37">
        <v>0</v>
      </c>
      <c r="AJ42" s="35">
        <v>0</v>
      </c>
      <c r="AK42" s="36">
        <v>0</v>
      </c>
      <c r="AL42" s="38">
        <v>0</v>
      </c>
      <c r="AM42" s="35">
        <v>0</v>
      </c>
      <c r="AN42" s="19">
        <v>0</v>
      </c>
      <c r="AO42" s="23">
        <v>0</v>
      </c>
      <c r="AP42" s="24">
        <v>0</v>
      </c>
      <c r="AQ42" s="31">
        <f t="shared" si="4"/>
        <v>9.2000000000000011</v>
      </c>
      <c r="AR42" s="32">
        <f t="shared" si="4"/>
        <v>23000</v>
      </c>
      <c r="AS42" s="30">
        <v>12</v>
      </c>
    </row>
    <row r="43" spans="1:45" ht="16" x14ac:dyDescent="0.2">
      <c r="A43" s="19">
        <v>40</v>
      </c>
      <c r="B43" s="21" t="s">
        <v>51</v>
      </c>
      <c r="C43" s="20" t="s">
        <v>65</v>
      </c>
      <c r="D43" s="345"/>
      <c r="E43" s="22">
        <v>16.8</v>
      </c>
      <c r="F43" s="23">
        <f t="shared" si="0"/>
        <v>42000</v>
      </c>
      <c r="G43" s="19">
        <v>0</v>
      </c>
      <c r="H43" s="23">
        <v>0</v>
      </c>
      <c r="I43" s="24">
        <v>0</v>
      </c>
      <c r="J43" s="19">
        <v>0</v>
      </c>
      <c r="K43" s="23">
        <v>0</v>
      </c>
      <c r="L43" s="24">
        <v>0</v>
      </c>
      <c r="M43" s="25">
        <v>5.2</v>
      </c>
      <c r="N43" s="26">
        <v>13000</v>
      </c>
      <c r="O43" s="27">
        <v>13</v>
      </c>
      <c r="P43" s="28">
        <f t="shared" si="1"/>
        <v>1.6</v>
      </c>
      <c r="Q43" s="29">
        <f t="shared" si="2"/>
        <v>4000</v>
      </c>
      <c r="R43" s="30">
        <v>4</v>
      </c>
      <c r="S43" s="19">
        <v>0</v>
      </c>
      <c r="T43" s="23">
        <v>0</v>
      </c>
      <c r="U43" s="24">
        <v>0</v>
      </c>
      <c r="V43" s="31">
        <f t="shared" si="3"/>
        <v>6.8</v>
      </c>
      <c r="W43" s="32">
        <v>17000</v>
      </c>
      <c r="X43" s="30">
        <v>17</v>
      </c>
      <c r="Y43" s="19">
        <v>0</v>
      </c>
      <c r="Z43" s="23">
        <v>0</v>
      </c>
      <c r="AA43" s="24">
        <v>0</v>
      </c>
      <c r="AB43" s="33">
        <v>0</v>
      </c>
      <c r="AC43" s="34">
        <v>0</v>
      </c>
      <c r="AD43" s="35">
        <v>0</v>
      </c>
      <c r="AE43" s="36">
        <v>0</v>
      </c>
      <c r="AF43" s="23">
        <v>0</v>
      </c>
      <c r="AG43" s="24">
        <v>0</v>
      </c>
      <c r="AH43" s="33">
        <v>0</v>
      </c>
      <c r="AI43" s="37">
        <v>0</v>
      </c>
      <c r="AJ43" s="35">
        <v>0</v>
      </c>
      <c r="AK43" s="36">
        <v>0</v>
      </c>
      <c r="AL43" s="38">
        <v>0</v>
      </c>
      <c r="AM43" s="35">
        <v>0</v>
      </c>
      <c r="AN43" s="19">
        <v>0</v>
      </c>
      <c r="AO43" s="23">
        <v>0</v>
      </c>
      <c r="AP43" s="24">
        <v>0</v>
      </c>
      <c r="AQ43" s="31">
        <f t="shared" si="4"/>
        <v>13.600000000000001</v>
      </c>
      <c r="AR43" s="32">
        <f t="shared" si="4"/>
        <v>34000</v>
      </c>
      <c r="AS43" s="30">
        <v>17</v>
      </c>
    </row>
    <row r="44" spans="1:45" ht="16" x14ac:dyDescent="0.2">
      <c r="A44" s="19">
        <v>41</v>
      </c>
      <c r="B44" s="21" t="s">
        <v>51</v>
      </c>
      <c r="C44" s="20" t="s">
        <v>66</v>
      </c>
      <c r="D44" s="345"/>
      <c r="E44" s="22">
        <v>11.8</v>
      </c>
      <c r="F44" s="23">
        <f t="shared" si="0"/>
        <v>29500</v>
      </c>
      <c r="G44" s="19">
        <v>0</v>
      </c>
      <c r="H44" s="23">
        <v>0</v>
      </c>
      <c r="I44" s="24">
        <v>0</v>
      </c>
      <c r="J44" s="19">
        <v>0</v>
      </c>
      <c r="K44" s="23">
        <v>0</v>
      </c>
      <c r="L44" s="24">
        <v>0</v>
      </c>
      <c r="M44" s="25">
        <v>2.4</v>
      </c>
      <c r="N44" s="26">
        <v>6000</v>
      </c>
      <c r="O44" s="27">
        <v>6</v>
      </c>
      <c r="P44" s="28">
        <f t="shared" si="1"/>
        <v>1.6</v>
      </c>
      <c r="Q44" s="29">
        <f t="shared" si="2"/>
        <v>4000</v>
      </c>
      <c r="R44" s="30">
        <v>4</v>
      </c>
      <c r="S44" s="19">
        <v>0</v>
      </c>
      <c r="T44" s="23">
        <v>0</v>
      </c>
      <c r="U44" s="24">
        <v>0</v>
      </c>
      <c r="V44" s="31">
        <f t="shared" si="3"/>
        <v>4</v>
      </c>
      <c r="W44" s="32">
        <v>10000</v>
      </c>
      <c r="X44" s="30">
        <v>10</v>
      </c>
      <c r="Y44" s="19">
        <v>0</v>
      </c>
      <c r="Z44" s="23">
        <v>0</v>
      </c>
      <c r="AA44" s="24">
        <v>0</v>
      </c>
      <c r="AB44" s="33">
        <v>0</v>
      </c>
      <c r="AC44" s="34">
        <v>0</v>
      </c>
      <c r="AD44" s="35">
        <v>0</v>
      </c>
      <c r="AE44" s="36">
        <v>0</v>
      </c>
      <c r="AF44" s="23">
        <v>0</v>
      </c>
      <c r="AG44" s="24">
        <v>0</v>
      </c>
      <c r="AH44" s="33">
        <v>0</v>
      </c>
      <c r="AI44" s="37">
        <v>0</v>
      </c>
      <c r="AJ44" s="35">
        <v>0</v>
      </c>
      <c r="AK44" s="36">
        <v>0</v>
      </c>
      <c r="AL44" s="38">
        <v>0</v>
      </c>
      <c r="AM44" s="35">
        <v>0</v>
      </c>
      <c r="AN44" s="19">
        <v>0</v>
      </c>
      <c r="AO44" s="23">
        <v>0</v>
      </c>
      <c r="AP44" s="24">
        <v>0</v>
      </c>
      <c r="AQ44" s="31">
        <f t="shared" si="4"/>
        <v>8</v>
      </c>
      <c r="AR44" s="32">
        <f t="shared" si="4"/>
        <v>20000</v>
      </c>
      <c r="AS44" s="30">
        <v>10</v>
      </c>
    </row>
    <row r="45" spans="1:45" ht="16" x14ac:dyDescent="0.2">
      <c r="A45" s="19">
        <v>42</v>
      </c>
      <c r="B45" s="21" t="s">
        <v>67</v>
      </c>
      <c r="C45" s="20" t="s">
        <v>68</v>
      </c>
      <c r="D45" s="345"/>
      <c r="E45" s="22">
        <v>35.800000000000026</v>
      </c>
      <c r="F45" s="23">
        <f t="shared" si="0"/>
        <v>89500.000000000058</v>
      </c>
      <c r="G45" s="19">
        <v>0</v>
      </c>
      <c r="H45" s="23">
        <v>0</v>
      </c>
      <c r="I45" s="24">
        <v>0</v>
      </c>
      <c r="J45" s="19">
        <v>0</v>
      </c>
      <c r="K45" s="23">
        <v>0</v>
      </c>
      <c r="L45" s="24">
        <v>0</v>
      </c>
      <c r="M45" s="25">
        <v>15.2</v>
      </c>
      <c r="N45" s="26">
        <v>38000</v>
      </c>
      <c r="O45" s="27">
        <v>38</v>
      </c>
      <c r="P45" s="28">
        <f t="shared" si="1"/>
        <v>2</v>
      </c>
      <c r="Q45" s="29">
        <f t="shared" si="2"/>
        <v>5000</v>
      </c>
      <c r="R45" s="30">
        <v>5</v>
      </c>
      <c r="S45" s="19">
        <v>0</v>
      </c>
      <c r="T45" s="23">
        <v>0</v>
      </c>
      <c r="U45" s="24">
        <v>0</v>
      </c>
      <c r="V45" s="31">
        <f t="shared" si="3"/>
        <v>16.8</v>
      </c>
      <c r="W45" s="32">
        <v>42000</v>
      </c>
      <c r="X45" s="30">
        <v>42</v>
      </c>
      <c r="Y45" s="19">
        <v>0</v>
      </c>
      <c r="Z45" s="23">
        <v>0</v>
      </c>
      <c r="AA45" s="24">
        <v>0</v>
      </c>
      <c r="AB45" s="33">
        <v>0</v>
      </c>
      <c r="AC45" s="34">
        <v>0</v>
      </c>
      <c r="AD45" s="35">
        <v>0</v>
      </c>
      <c r="AE45" s="36">
        <v>0</v>
      </c>
      <c r="AF45" s="23">
        <v>0</v>
      </c>
      <c r="AG45" s="24">
        <v>0</v>
      </c>
      <c r="AH45" s="33">
        <v>0</v>
      </c>
      <c r="AI45" s="37">
        <v>0</v>
      </c>
      <c r="AJ45" s="35">
        <v>0</v>
      </c>
      <c r="AK45" s="36">
        <v>0</v>
      </c>
      <c r="AL45" s="38">
        <v>0</v>
      </c>
      <c r="AM45" s="35">
        <v>0</v>
      </c>
      <c r="AN45" s="19">
        <v>0</v>
      </c>
      <c r="AO45" s="23">
        <v>0</v>
      </c>
      <c r="AP45" s="24">
        <v>0</v>
      </c>
      <c r="AQ45" s="31">
        <f t="shared" si="4"/>
        <v>34</v>
      </c>
      <c r="AR45" s="32">
        <f t="shared" si="4"/>
        <v>85000</v>
      </c>
      <c r="AS45" s="30">
        <v>43</v>
      </c>
    </row>
    <row r="46" spans="1:45" ht="16" x14ac:dyDescent="0.2">
      <c r="A46" s="19">
        <v>43</v>
      </c>
      <c r="B46" s="21" t="s">
        <v>67</v>
      </c>
      <c r="C46" s="20" t="s">
        <v>67</v>
      </c>
      <c r="D46" s="345"/>
      <c r="E46" s="22">
        <v>41</v>
      </c>
      <c r="F46" s="23">
        <f t="shared" si="0"/>
        <v>102500</v>
      </c>
      <c r="G46" s="19">
        <v>0</v>
      </c>
      <c r="H46" s="23">
        <v>0</v>
      </c>
      <c r="I46" s="24">
        <v>0</v>
      </c>
      <c r="J46" s="19">
        <v>0</v>
      </c>
      <c r="K46" s="23">
        <v>0</v>
      </c>
      <c r="L46" s="24">
        <v>0</v>
      </c>
      <c r="M46" s="25">
        <v>11.6</v>
      </c>
      <c r="N46" s="26">
        <v>29000</v>
      </c>
      <c r="O46" s="27">
        <v>29</v>
      </c>
      <c r="P46" s="28">
        <f t="shared" si="1"/>
        <v>6.8</v>
      </c>
      <c r="Q46" s="29">
        <f t="shared" si="2"/>
        <v>17000</v>
      </c>
      <c r="R46" s="30">
        <v>17</v>
      </c>
      <c r="S46" s="19">
        <v>0</v>
      </c>
      <c r="T46" s="23">
        <v>0</v>
      </c>
      <c r="U46" s="24">
        <v>0</v>
      </c>
      <c r="V46" s="31">
        <f t="shared" si="3"/>
        <v>18.8</v>
      </c>
      <c r="W46" s="32">
        <v>47000</v>
      </c>
      <c r="X46" s="30">
        <v>47</v>
      </c>
      <c r="Y46" s="19">
        <v>0</v>
      </c>
      <c r="Z46" s="23">
        <v>0</v>
      </c>
      <c r="AA46" s="24">
        <v>0</v>
      </c>
      <c r="AB46" s="33">
        <v>0</v>
      </c>
      <c r="AC46" s="34">
        <v>0</v>
      </c>
      <c r="AD46" s="35">
        <v>0</v>
      </c>
      <c r="AE46" s="36">
        <v>0</v>
      </c>
      <c r="AF46" s="23">
        <v>0</v>
      </c>
      <c r="AG46" s="24">
        <v>0</v>
      </c>
      <c r="AH46" s="33">
        <v>0</v>
      </c>
      <c r="AI46" s="37">
        <v>0</v>
      </c>
      <c r="AJ46" s="35">
        <v>0</v>
      </c>
      <c r="AK46" s="36">
        <v>0</v>
      </c>
      <c r="AL46" s="38">
        <v>0</v>
      </c>
      <c r="AM46" s="35">
        <v>0</v>
      </c>
      <c r="AN46" s="19">
        <v>0</v>
      </c>
      <c r="AO46" s="23">
        <v>0</v>
      </c>
      <c r="AP46" s="24">
        <v>0</v>
      </c>
      <c r="AQ46" s="31">
        <f t="shared" si="4"/>
        <v>37.200000000000003</v>
      </c>
      <c r="AR46" s="32">
        <f t="shared" si="4"/>
        <v>93000</v>
      </c>
      <c r="AS46" s="30">
        <v>47</v>
      </c>
    </row>
    <row r="47" spans="1:45" ht="16" x14ac:dyDescent="0.2">
      <c r="A47" s="19">
        <v>44</v>
      </c>
      <c r="B47" s="21" t="s">
        <v>67</v>
      </c>
      <c r="C47" s="20" t="s">
        <v>69</v>
      </c>
      <c r="D47" s="345"/>
      <c r="E47" s="22">
        <v>10</v>
      </c>
      <c r="F47" s="23">
        <f t="shared" si="0"/>
        <v>25000</v>
      </c>
      <c r="G47" s="19">
        <v>0</v>
      </c>
      <c r="H47" s="23">
        <v>0</v>
      </c>
      <c r="I47" s="24">
        <v>0</v>
      </c>
      <c r="J47" s="19">
        <v>0</v>
      </c>
      <c r="K47" s="23">
        <v>0</v>
      </c>
      <c r="L47" s="24">
        <v>0</v>
      </c>
      <c r="M47" s="25">
        <v>3.6</v>
      </c>
      <c r="N47" s="26">
        <v>9000</v>
      </c>
      <c r="O47" s="27">
        <v>9</v>
      </c>
      <c r="P47" s="28">
        <f t="shared" si="1"/>
        <v>1.2</v>
      </c>
      <c r="Q47" s="29">
        <f t="shared" si="2"/>
        <v>3000</v>
      </c>
      <c r="R47" s="30">
        <v>3</v>
      </c>
      <c r="S47" s="19">
        <v>0</v>
      </c>
      <c r="T47" s="23">
        <v>0</v>
      </c>
      <c r="U47" s="24">
        <v>0</v>
      </c>
      <c r="V47" s="31">
        <f t="shared" si="3"/>
        <v>5.6</v>
      </c>
      <c r="W47" s="32">
        <v>14000</v>
      </c>
      <c r="X47" s="30">
        <v>14</v>
      </c>
      <c r="Y47" s="19">
        <v>0</v>
      </c>
      <c r="Z47" s="23">
        <v>0</v>
      </c>
      <c r="AA47" s="24">
        <v>0</v>
      </c>
      <c r="AB47" s="33">
        <v>0</v>
      </c>
      <c r="AC47" s="34">
        <v>0</v>
      </c>
      <c r="AD47" s="35">
        <v>0</v>
      </c>
      <c r="AE47" s="36">
        <v>0</v>
      </c>
      <c r="AF47" s="23">
        <v>0</v>
      </c>
      <c r="AG47" s="24">
        <v>0</v>
      </c>
      <c r="AH47" s="33">
        <v>0</v>
      </c>
      <c r="AI47" s="37">
        <v>0</v>
      </c>
      <c r="AJ47" s="35">
        <v>0</v>
      </c>
      <c r="AK47" s="36">
        <v>0</v>
      </c>
      <c r="AL47" s="38">
        <v>0</v>
      </c>
      <c r="AM47" s="35">
        <v>0</v>
      </c>
      <c r="AN47" s="19">
        <v>0</v>
      </c>
      <c r="AO47" s="23">
        <v>0</v>
      </c>
      <c r="AP47" s="24">
        <v>0</v>
      </c>
      <c r="AQ47" s="31">
        <f t="shared" si="4"/>
        <v>10.399999999999999</v>
      </c>
      <c r="AR47" s="32">
        <f t="shared" si="4"/>
        <v>26000</v>
      </c>
      <c r="AS47" s="30">
        <v>14</v>
      </c>
    </row>
    <row r="48" spans="1:45" ht="16" x14ac:dyDescent="0.2">
      <c r="A48" s="19">
        <v>45</v>
      </c>
      <c r="B48" s="21" t="s">
        <v>67</v>
      </c>
      <c r="C48" s="20" t="s">
        <v>70</v>
      </c>
      <c r="D48" s="345"/>
      <c r="E48" s="22">
        <v>17</v>
      </c>
      <c r="F48" s="23">
        <f t="shared" si="0"/>
        <v>42500</v>
      </c>
      <c r="G48" s="19">
        <v>0</v>
      </c>
      <c r="H48" s="23">
        <v>0</v>
      </c>
      <c r="I48" s="24">
        <v>0</v>
      </c>
      <c r="J48" s="19">
        <v>0</v>
      </c>
      <c r="K48" s="23">
        <v>0</v>
      </c>
      <c r="L48" s="24">
        <v>0</v>
      </c>
      <c r="M48" s="25">
        <v>5.6</v>
      </c>
      <c r="N48" s="26">
        <v>14000</v>
      </c>
      <c r="O48" s="27">
        <v>14</v>
      </c>
      <c r="P48" s="28">
        <f t="shared" si="1"/>
        <v>0.4</v>
      </c>
      <c r="Q48" s="29">
        <f t="shared" si="2"/>
        <v>1000</v>
      </c>
      <c r="R48" s="30">
        <v>1</v>
      </c>
      <c r="S48" s="19">
        <v>0</v>
      </c>
      <c r="T48" s="23">
        <v>0</v>
      </c>
      <c r="U48" s="24">
        <v>0</v>
      </c>
      <c r="V48" s="31">
        <f t="shared" si="3"/>
        <v>6</v>
      </c>
      <c r="W48" s="32">
        <v>15000</v>
      </c>
      <c r="X48" s="30">
        <v>15</v>
      </c>
      <c r="Y48" s="19">
        <v>0</v>
      </c>
      <c r="Z48" s="23">
        <v>0</v>
      </c>
      <c r="AA48" s="24">
        <v>0</v>
      </c>
      <c r="AB48" s="33">
        <v>0</v>
      </c>
      <c r="AC48" s="34">
        <v>0</v>
      </c>
      <c r="AD48" s="35">
        <v>0</v>
      </c>
      <c r="AE48" s="36">
        <v>0</v>
      </c>
      <c r="AF48" s="23">
        <v>0</v>
      </c>
      <c r="AG48" s="24">
        <v>0</v>
      </c>
      <c r="AH48" s="33">
        <v>0</v>
      </c>
      <c r="AI48" s="37">
        <v>0</v>
      </c>
      <c r="AJ48" s="35">
        <v>0</v>
      </c>
      <c r="AK48" s="36">
        <v>0</v>
      </c>
      <c r="AL48" s="38">
        <v>0</v>
      </c>
      <c r="AM48" s="35">
        <v>0</v>
      </c>
      <c r="AN48" s="19">
        <v>0</v>
      </c>
      <c r="AO48" s="23">
        <v>0</v>
      </c>
      <c r="AP48" s="24">
        <v>0</v>
      </c>
      <c r="AQ48" s="31">
        <f t="shared" si="4"/>
        <v>12</v>
      </c>
      <c r="AR48" s="32">
        <f t="shared" si="4"/>
        <v>30000</v>
      </c>
      <c r="AS48" s="30">
        <v>15</v>
      </c>
    </row>
    <row r="49" spans="1:45" ht="16" x14ac:dyDescent="0.2">
      <c r="A49" s="19">
        <v>46</v>
      </c>
      <c r="B49" s="21" t="s">
        <v>67</v>
      </c>
      <c r="C49" s="20" t="s">
        <v>71</v>
      </c>
      <c r="D49" s="345"/>
      <c r="E49" s="22">
        <v>2</v>
      </c>
      <c r="F49" s="23">
        <f t="shared" si="0"/>
        <v>5000</v>
      </c>
      <c r="G49" s="19">
        <v>0</v>
      </c>
      <c r="H49" s="23">
        <v>0</v>
      </c>
      <c r="I49" s="24">
        <v>0</v>
      </c>
      <c r="J49" s="19">
        <v>0</v>
      </c>
      <c r="K49" s="23">
        <v>0</v>
      </c>
      <c r="L49" s="24">
        <v>0</v>
      </c>
      <c r="M49" s="25">
        <v>0.8</v>
      </c>
      <c r="N49" s="26">
        <v>2000</v>
      </c>
      <c r="O49" s="27">
        <v>2</v>
      </c>
      <c r="P49" s="28">
        <f t="shared" si="1"/>
        <v>0</v>
      </c>
      <c r="Q49" s="29">
        <f t="shared" si="2"/>
        <v>0</v>
      </c>
      <c r="R49" s="30">
        <v>0</v>
      </c>
      <c r="S49" s="19">
        <v>0</v>
      </c>
      <c r="T49" s="23">
        <v>0</v>
      </c>
      <c r="U49" s="24">
        <v>0</v>
      </c>
      <c r="V49" s="31">
        <f t="shared" si="3"/>
        <v>0.8</v>
      </c>
      <c r="W49" s="32">
        <v>2000</v>
      </c>
      <c r="X49" s="30">
        <v>2</v>
      </c>
      <c r="Y49" s="19">
        <v>0</v>
      </c>
      <c r="Z49" s="23">
        <v>0</v>
      </c>
      <c r="AA49" s="24">
        <v>0</v>
      </c>
      <c r="AB49" s="33">
        <v>0</v>
      </c>
      <c r="AC49" s="34">
        <v>0</v>
      </c>
      <c r="AD49" s="35">
        <v>0</v>
      </c>
      <c r="AE49" s="36">
        <v>0</v>
      </c>
      <c r="AF49" s="23">
        <v>0</v>
      </c>
      <c r="AG49" s="24">
        <v>0</v>
      </c>
      <c r="AH49" s="33">
        <v>0</v>
      </c>
      <c r="AI49" s="37">
        <v>0</v>
      </c>
      <c r="AJ49" s="35">
        <v>0</v>
      </c>
      <c r="AK49" s="36">
        <v>0</v>
      </c>
      <c r="AL49" s="38">
        <v>0</v>
      </c>
      <c r="AM49" s="35">
        <v>0</v>
      </c>
      <c r="AN49" s="19">
        <v>0</v>
      </c>
      <c r="AO49" s="23">
        <v>0</v>
      </c>
      <c r="AP49" s="24">
        <v>0</v>
      </c>
      <c r="AQ49" s="31">
        <f t="shared" si="4"/>
        <v>1.6</v>
      </c>
      <c r="AR49" s="32">
        <f t="shared" si="4"/>
        <v>4000</v>
      </c>
      <c r="AS49" s="30">
        <v>2</v>
      </c>
    </row>
    <row r="50" spans="1:45" ht="16" x14ac:dyDescent="0.2">
      <c r="A50" s="19">
        <v>47</v>
      </c>
      <c r="B50" s="21" t="s">
        <v>67</v>
      </c>
      <c r="C50" s="20" t="s">
        <v>72</v>
      </c>
      <c r="D50" s="345"/>
      <c r="E50" s="22">
        <v>13.8</v>
      </c>
      <c r="F50" s="23">
        <f t="shared" si="0"/>
        <v>34500</v>
      </c>
      <c r="G50" s="19">
        <v>0</v>
      </c>
      <c r="H50" s="23">
        <v>0</v>
      </c>
      <c r="I50" s="24">
        <v>0</v>
      </c>
      <c r="J50" s="19">
        <v>0</v>
      </c>
      <c r="K50" s="23">
        <v>0</v>
      </c>
      <c r="L50" s="24">
        <v>0</v>
      </c>
      <c r="M50" s="25">
        <v>4</v>
      </c>
      <c r="N50" s="26">
        <v>10000</v>
      </c>
      <c r="O50" s="27">
        <v>10</v>
      </c>
      <c r="P50" s="28">
        <f t="shared" si="1"/>
        <v>2.8</v>
      </c>
      <c r="Q50" s="29">
        <f t="shared" si="2"/>
        <v>7000</v>
      </c>
      <c r="R50" s="30">
        <v>7</v>
      </c>
      <c r="S50" s="19">
        <v>0</v>
      </c>
      <c r="T50" s="23">
        <v>0</v>
      </c>
      <c r="U50" s="24">
        <v>0</v>
      </c>
      <c r="V50" s="31">
        <f t="shared" si="3"/>
        <v>6</v>
      </c>
      <c r="W50" s="32">
        <v>15000</v>
      </c>
      <c r="X50" s="30">
        <v>15</v>
      </c>
      <c r="Y50" s="19">
        <v>0</v>
      </c>
      <c r="Z50" s="23">
        <v>0</v>
      </c>
      <c r="AA50" s="24">
        <v>0</v>
      </c>
      <c r="AB50" s="33">
        <v>0</v>
      </c>
      <c r="AC50" s="34">
        <v>0</v>
      </c>
      <c r="AD50" s="35">
        <v>0</v>
      </c>
      <c r="AE50" s="36">
        <v>0</v>
      </c>
      <c r="AF50" s="23">
        <v>0</v>
      </c>
      <c r="AG50" s="24">
        <v>0</v>
      </c>
      <c r="AH50" s="33">
        <v>0</v>
      </c>
      <c r="AI50" s="37">
        <v>0</v>
      </c>
      <c r="AJ50" s="35">
        <v>0</v>
      </c>
      <c r="AK50" s="36">
        <v>0</v>
      </c>
      <c r="AL50" s="38">
        <v>0</v>
      </c>
      <c r="AM50" s="35">
        <v>0</v>
      </c>
      <c r="AN50" s="19">
        <v>0</v>
      </c>
      <c r="AO50" s="23">
        <v>0</v>
      </c>
      <c r="AP50" s="24">
        <v>0</v>
      </c>
      <c r="AQ50" s="31">
        <f t="shared" si="4"/>
        <v>12.8</v>
      </c>
      <c r="AR50" s="32">
        <f t="shared" si="4"/>
        <v>32000</v>
      </c>
      <c r="AS50" s="30">
        <v>17</v>
      </c>
    </row>
    <row r="51" spans="1:45" ht="16" x14ac:dyDescent="0.2">
      <c r="A51" s="19">
        <v>48</v>
      </c>
      <c r="B51" s="21" t="s">
        <v>67</v>
      </c>
      <c r="C51" s="20" t="s">
        <v>73</v>
      </c>
      <c r="D51" s="345"/>
      <c r="E51" s="22">
        <v>11</v>
      </c>
      <c r="F51" s="23">
        <f t="shared" si="0"/>
        <v>27500</v>
      </c>
      <c r="G51" s="19">
        <v>0</v>
      </c>
      <c r="H51" s="23">
        <v>0</v>
      </c>
      <c r="I51" s="24">
        <v>0</v>
      </c>
      <c r="J51" s="19">
        <v>0</v>
      </c>
      <c r="K51" s="23">
        <v>0</v>
      </c>
      <c r="L51" s="24">
        <v>0</v>
      </c>
      <c r="M51" s="25">
        <v>4</v>
      </c>
      <c r="N51" s="26">
        <v>10000</v>
      </c>
      <c r="O51" s="27">
        <v>10</v>
      </c>
      <c r="P51" s="28">
        <f t="shared" si="1"/>
        <v>2.4</v>
      </c>
      <c r="Q51" s="29">
        <f t="shared" si="2"/>
        <v>6000</v>
      </c>
      <c r="R51" s="30">
        <v>6</v>
      </c>
      <c r="S51" s="19">
        <v>0</v>
      </c>
      <c r="T51" s="23">
        <v>0</v>
      </c>
      <c r="U51" s="24">
        <v>0</v>
      </c>
      <c r="V51" s="31">
        <f t="shared" si="3"/>
        <v>5.6</v>
      </c>
      <c r="W51" s="32">
        <v>14000</v>
      </c>
      <c r="X51" s="30">
        <v>14</v>
      </c>
      <c r="Y51" s="19">
        <v>0</v>
      </c>
      <c r="Z51" s="23">
        <v>0</v>
      </c>
      <c r="AA51" s="24">
        <v>0</v>
      </c>
      <c r="AB51" s="33">
        <v>0</v>
      </c>
      <c r="AC51" s="34">
        <v>0</v>
      </c>
      <c r="AD51" s="35">
        <v>0</v>
      </c>
      <c r="AE51" s="36">
        <v>0</v>
      </c>
      <c r="AF51" s="23">
        <v>0</v>
      </c>
      <c r="AG51" s="24">
        <v>0</v>
      </c>
      <c r="AH51" s="33">
        <v>0</v>
      </c>
      <c r="AI51" s="37">
        <v>0</v>
      </c>
      <c r="AJ51" s="35">
        <v>0</v>
      </c>
      <c r="AK51" s="36">
        <v>0</v>
      </c>
      <c r="AL51" s="38">
        <v>0</v>
      </c>
      <c r="AM51" s="35">
        <v>0</v>
      </c>
      <c r="AN51" s="19">
        <v>0</v>
      </c>
      <c r="AO51" s="23">
        <v>0</v>
      </c>
      <c r="AP51" s="24">
        <v>0</v>
      </c>
      <c r="AQ51" s="31">
        <f t="shared" si="4"/>
        <v>12</v>
      </c>
      <c r="AR51" s="32">
        <f t="shared" si="4"/>
        <v>30000</v>
      </c>
      <c r="AS51" s="30">
        <v>16</v>
      </c>
    </row>
    <row r="52" spans="1:45" ht="16" x14ac:dyDescent="0.2">
      <c r="A52" s="19">
        <v>49</v>
      </c>
      <c r="B52" s="21" t="s">
        <v>67</v>
      </c>
      <c r="C52" s="20" t="s">
        <v>74</v>
      </c>
      <c r="D52" s="345"/>
      <c r="E52" s="22">
        <v>10.8</v>
      </c>
      <c r="F52" s="23">
        <f t="shared" si="0"/>
        <v>27000</v>
      </c>
      <c r="G52" s="19">
        <v>0</v>
      </c>
      <c r="H52" s="23">
        <v>0</v>
      </c>
      <c r="I52" s="24">
        <v>0</v>
      </c>
      <c r="J52" s="19">
        <v>0</v>
      </c>
      <c r="K52" s="23">
        <v>0</v>
      </c>
      <c r="L52" s="24">
        <v>0</v>
      </c>
      <c r="M52" s="25">
        <v>1.2</v>
      </c>
      <c r="N52" s="26">
        <v>3000</v>
      </c>
      <c r="O52" s="27">
        <v>3</v>
      </c>
      <c r="P52" s="28">
        <f t="shared" si="1"/>
        <v>2</v>
      </c>
      <c r="Q52" s="29">
        <f t="shared" si="2"/>
        <v>5000</v>
      </c>
      <c r="R52" s="30">
        <v>5</v>
      </c>
      <c r="S52" s="19">
        <v>0</v>
      </c>
      <c r="T52" s="23">
        <v>0</v>
      </c>
      <c r="U52" s="24">
        <v>0</v>
      </c>
      <c r="V52" s="31">
        <f t="shared" si="3"/>
        <v>3.2</v>
      </c>
      <c r="W52" s="32">
        <v>8000</v>
      </c>
      <c r="X52" s="30">
        <v>8</v>
      </c>
      <c r="Y52" s="19">
        <v>0</v>
      </c>
      <c r="Z52" s="23">
        <v>0</v>
      </c>
      <c r="AA52" s="24">
        <v>0</v>
      </c>
      <c r="AB52" s="33">
        <v>0</v>
      </c>
      <c r="AC52" s="34">
        <v>0</v>
      </c>
      <c r="AD52" s="35">
        <v>0</v>
      </c>
      <c r="AE52" s="36">
        <v>0</v>
      </c>
      <c r="AF52" s="23">
        <v>0</v>
      </c>
      <c r="AG52" s="24">
        <v>0</v>
      </c>
      <c r="AH52" s="33">
        <v>0</v>
      </c>
      <c r="AI52" s="37">
        <v>0</v>
      </c>
      <c r="AJ52" s="35">
        <v>0</v>
      </c>
      <c r="AK52" s="36">
        <v>0</v>
      </c>
      <c r="AL52" s="38">
        <v>0</v>
      </c>
      <c r="AM52" s="35">
        <v>0</v>
      </c>
      <c r="AN52" s="19">
        <v>0</v>
      </c>
      <c r="AO52" s="23">
        <v>0</v>
      </c>
      <c r="AP52" s="24">
        <v>0</v>
      </c>
      <c r="AQ52" s="31">
        <f t="shared" si="4"/>
        <v>6.4</v>
      </c>
      <c r="AR52" s="32">
        <f t="shared" si="4"/>
        <v>16000</v>
      </c>
      <c r="AS52" s="30">
        <v>8</v>
      </c>
    </row>
    <row r="53" spans="1:45" ht="16" x14ac:dyDescent="0.2">
      <c r="A53" s="19">
        <v>50</v>
      </c>
      <c r="B53" s="21" t="s">
        <v>67</v>
      </c>
      <c r="C53" s="20" t="s">
        <v>75</v>
      </c>
      <c r="D53" s="345"/>
      <c r="E53" s="22">
        <v>9</v>
      </c>
      <c r="F53" s="23">
        <f t="shared" si="0"/>
        <v>22500</v>
      </c>
      <c r="G53" s="19">
        <v>0</v>
      </c>
      <c r="H53" s="23">
        <v>0</v>
      </c>
      <c r="I53" s="24">
        <v>0</v>
      </c>
      <c r="J53" s="19">
        <v>0</v>
      </c>
      <c r="K53" s="23">
        <v>0</v>
      </c>
      <c r="L53" s="24">
        <v>0</v>
      </c>
      <c r="M53" s="25">
        <v>3.2</v>
      </c>
      <c r="N53" s="26">
        <v>8000</v>
      </c>
      <c r="O53" s="27">
        <v>8</v>
      </c>
      <c r="P53" s="28">
        <f t="shared" si="1"/>
        <v>2.4</v>
      </c>
      <c r="Q53" s="29">
        <f t="shared" si="2"/>
        <v>6000</v>
      </c>
      <c r="R53" s="30">
        <v>6</v>
      </c>
      <c r="S53" s="19">
        <v>0</v>
      </c>
      <c r="T53" s="23">
        <v>0</v>
      </c>
      <c r="U53" s="24">
        <v>0</v>
      </c>
      <c r="V53" s="31">
        <f t="shared" si="3"/>
        <v>5.6</v>
      </c>
      <c r="W53" s="32">
        <v>14000</v>
      </c>
      <c r="X53" s="30">
        <v>14</v>
      </c>
      <c r="Y53" s="19">
        <v>0</v>
      </c>
      <c r="Z53" s="23">
        <v>0</v>
      </c>
      <c r="AA53" s="24">
        <v>0</v>
      </c>
      <c r="AB53" s="33">
        <v>0</v>
      </c>
      <c r="AC53" s="34">
        <v>0</v>
      </c>
      <c r="AD53" s="35">
        <v>0</v>
      </c>
      <c r="AE53" s="36">
        <v>0</v>
      </c>
      <c r="AF53" s="23">
        <v>0</v>
      </c>
      <c r="AG53" s="24">
        <v>0</v>
      </c>
      <c r="AH53" s="33">
        <v>0</v>
      </c>
      <c r="AI53" s="37">
        <v>0</v>
      </c>
      <c r="AJ53" s="35">
        <v>0</v>
      </c>
      <c r="AK53" s="36">
        <v>0</v>
      </c>
      <c r="AL53" s="38">
        <v>0</v>
      </c>
      <c r="AM53" s="35">
        <v>0</v>
      </c>
      <c r="AN53" s="19">
        <v>0</v>
      </c>
      <c r="AO53" s="23">
        <v>0</v>
      </c>
      <c r="AP53" s="24">
        <v>0</v>
      </c>
      <c r="AQ53" s="31">
        <f t="shared" si="4"/>
        <v>11.2</v>
      </c>
      <c r="AR53" s="32">
        <f t="shared" si="4"/>
        <v>28000</v>
      </c>
      <c r="AS53" s="30">
        <v>14</v>
      </c>
    </row>
    <row r="54" spans="1:45" ht="16" x14ac:dyDescent="0.2">
      <c r="A54" s="19">
        <v>51</v>
      </c>
      <c r="B54" s="21" t="s">
        <v>67</v>
      </c>
      <c r="C54" s="20" t="s">
        <v>76</v>
      </c>
      <c r="D54" s="345"/>
      <c r="E54" s="22">
        <v>10</v>
      </c>
      <c r="F54" s="23">
        <f t="shared" si="0"/>
        <v>25000</v>
      </c>
      <c r="G54" s="19">
        <v>0</v>
      </c>
      <c r="H54" s="23">
        <v>0</v>
      </c>
      <c r="I54" s="24">
        <v>0</v>
      </c>
      <c r="J54" s="19">
        <v>0</v>
      </c>
      <c r="K54" s="23">
        <v>0</v>
      </c>
      <c r="L54" s="24">
        <v>0</v>
      </c>
      <c r="M54" s="25">
        <v>3.2</v>
      </c>
      <c r="N54" s="26">
        <v>8000</v>
      </c>
      <c r="O54" s="27">
        <v>8</v>
      </c>
      <c r="P54" s="28">
        <f t="shared" si="1"/>
        <v>1.6</v>
      </c>
      <c r="Q54" s="29">
        <f t="shared" si="2"/>
        <v>4000</v>
      </c>
      <c r="R54" s="30">
        <v>4</v>
      </c>
      <c r="S54" s="19">
        <v>0</v>
      </c>
      <c r="T54" s="23">
        <v>0</v>
      </c>
      <c r="U54" s="24">
        <v>0</v>
      </c>
      <c r="V54" s="31">
        <f t="shared" si="3"/>
        <v>4.8</v>
      </c>
      <c r="W54" s="32">
        <v>12000</v>
      </c>
      <c r="X54" s="30">
        <v>12</v>
      </c>
      <c r="Y54" s="19">
        <v>0</v>
      </c>
      <c r="Z54" s="23">
        <v>0</v>
      </c>
      <c r="AA54" s="24">
        <v>0</v>
      </c>
      <c r="AB54" s="33">
        <v>0</v>
      </c>
      <c r="AC54" s="34">
        <v>0</v>
      </c>
      <c r="AD54" s="35">
        <v>0</v>
      </c>
      <c r="AE54" s="36">
        <v>0</v>
      </c>
      <c r="AF54" s="23">
        <v>0</v>
      </c>
      <c r="AG54" s="24">
        <v>0</v>
      </c>
      <c r="AH54" s="33">
        <v>0</v>
      </c>
      <c r="AI54" s="37">
        <v>0</v>
      </c>
      <c r="AJ54" s="35">
        <v>0</v>
      </c>
      <c r="AK54" s="36">
        <v>0</v>
      </c>
      <c r="AL54" s="38">
        <v>0</v>
      </c>
      <c r="AM54" s="35">
        <v>0</v>
      </c>
      <c r="AN54" s="19">
        <v>0</v>
      </c>
      <c r="AO54" s="23">
        <v>0</v>
      </c>
      <c r="AP54" s="24">
        <v>0</v>
      </c>
      <c r="AQ54" s="31">
        <f t="shared" si="4"/>
        <v>9.6000000000000014</v>
      </c>
      <c r="AR54" s="32">
        <f t="shared" si="4"/>
        <v>24000</v>
      </c>
      <c r="AS54" s="30">
        <v>12</v>
      </c>
    </row>
    <row r="55" spans="1:45" ht="16" x14ac:dyDescent="0.2">
      <c r="A55" s="19">
        <v>52</v>
      </c>
      <c r="B55" s="21" t="s">
        <v>77</v>
      </c>
      <c r="C55" s="20" t="s">
        <v>78</v>
      </c>
      <c r="D55" s="345" t="s">
        <v>25</v>
      </c>
      <c r="E55" s="22">
        <v>8</v>
      </c>
      <c r="F55" s="23">
        <f t="shared" si="0"/>
        <v>20000</v>
      </c>
      <c r="G55" s="19">
        <v>0</v>
      </c>
      <c r="H55" s="23">
        <v>0</v>
      </c>
      <c r="I55" s="24">
        <v>0</v>
      </c>
      <c r="J55" s="19">
        <v>0</v>
      </c>
      <c r="K55" s="23">
        <v>0</v>
      </c>
      <c r="L55" s="24">
        <v>0</v>
      </c>
      <c r="M55" s="25">
        <v>2.4</v>
      </c>
      <c r="N55" s="26">
        <v>6000</v>
      </c>
      <c r="O55" s="27">
        <v>6</v>
      </c>
      <c r="P55" s="28">
        <f t="shared" si="1"/>
        <v>2.4</v>
      </c>
      <c r="Q55" s="29">
        <f t="shared" si="2"/>
        <v>6000</v>
      </c>
      <c r="R55" s="30">
        <v>6</v>
      </c>
      <c r="S55" s="19">
        <v>0</v>
      </c>
      <c r="T55" s="23">
        <v>0</v>
      </c>
      <c r="U55" s="24">
        <v>0</v>
      </c>
      <c r="V55" s="31">
        <f t="shared" si="3"/>
        <v>4.8</v>
      </c>
      <c r="W55" s="32">
        <v>12000</v>
      </c>
      <c r="X55" s="30">
        <v>12</v>
      </c>
      <c r="Y55" s="19">
        <v>0</v>
      </c>
      <c r="Z55" s="23">
        <v>0</v>
      </c>
      <c r="AA55" s="24">
        <v>0</v>
      </c>
      <c r="AB55" s="33">
        <v>0</v>
      </c>
      <c r="AC55" s="34">
        <v>0</v>
      </c>
      <c r="AD55" s="35">
        <v>0</v>
      </c>
      <c r="AE55" s="36">
        <v>0</v>
      </c>
      <c r="AF55" s="23">
        <v>0</v>
      </c>
      <c r="AG55" s="24">
        <v>0</v>
      </c>
      <c r="AH55" s="33">
        <v>0</v>
      </c>
      <c r="AI55" s="37">
        <v>0</v>
      </c>
      <c r="AJ55" s="35">
        <v>0</v>
      </c>
      <c r="AK55" s="36">
        <v>0</v>
      </c>
      <c r="AL55" s="38">
        <v>0</v>
      </c>
      <c r="AM55" s="35">
        <v>0</v>
      </c>
      <c r="AN55" s="19">
        <v>0</v>
      </c>
      <c r="AO55" s="23">
        <v>0</v>
      </c>
      <c r="AP55" s="24">
        <v>0</v>
      </c>
      <c r="AQ55" s="31">
        <f t="shared" si="4"/>
        <v>9.6</v>
      </c>
      <c r="AR55" s="32">
        <f t="shared" si="4"/>
        <v>24000</v>
      </c>
      <c r="AS55" s="30">
        <v>12</v>
      </c>
    </row>
    <row r="56" spans="1:45" ht="16" x14ac:dyDescent="0.2">
      <c r="A56" s="19">
        <v>53</v>
      </c>
      <c r="B56" s="21" t="s">
        <v>77</v>
      </c>
      <c r="C56" s="20" t="s">
        <v>79</v>
      </c>
      <c r="D56" s="345"/>
      <c r="E56" s="22">
        <v>6</v>
      </c>
      <c r="F56" s="23">
        <f t="shared" si="0"/>
        <v>15000</v>
      </c>
      <c r="G56" s="19">
        <v>0</v>
      </c>
      <c r="H56" s="23">
        <v>0</v>
      </c>
      <c r="I56" s="24">
        <v>0</v>
      </c>
      <c r="J56" s="19">
        <v>0</v>
      </c>
      <c r="K56" s="23">
        <v>0</v>
      </c>
      <c r="L56" s="24">
        <v>0</v>
      </c>
      <c r="M56" s="25">
        <v>1.6</v>
      </c>
      <c r="N56" s="26">
        <v>4000</v>
      </c>
      <c r="O56" s="27">
        <v>4</v>
      </c>
      <c r="P56" s="28">
        <f t="shared" si="1"/>
        <v>0.8</v>
      </c>
      <c r="Q56" s="29">
        <f t="shared" si="2"/>
        <v>2000</v>
      </c>
      <c r="R56" s="30">
        <v>2</v>
      </c>
      <c r="S56" s="19">
        <v>0</v>
      </c>
      <c r="T56" s="23">
        <v>0</v>
      </c>
      <c r="U56" s="24">
        <v>0</v>
      </c>
      <c r="V56" s="31">
        <f t="shared" si="3"/>
        <v>2.4</v>
      </c>
      <c r="W56" s="32">
        <v>6000</v>
      </c>
      <c r="X56" s="30">
        <v>6</v>
      </c>
      <c r="Y56" s="19">
        <v>0</v>
      </c>
      <c r="Z56" s="23">
        <v>0</v>
      </c>
      <c r="AA56" s="24">
        <v>0</v>
      </c>
      <c r="AB56" s="33">
        <v>0</v>
      </c>
      <c r="AC56" s="34">
        <v>0</v>
      </c>
      <c r="AD56" s="35">
        <v>0</v>
      </c>
      <c r="AE56" s="36">
        <v>0</v>
      </c>
      <c r="AF56" s="23">
        <v>0</v>
      </c>
      <c r="AG56" s="24">
        <v>0</v>
      </c>
      <c r="AH56" s="33">
        <v>0</v>
      </c>
      <c r="AI56" s="37">
        <v>0</v>
      </c>
      <c r="AJ56" s="35">
        <v>0</v>
      </c>
      <c r="AK56" s="36">
        <v>0</v>
      </c>
      <c r="AL56" s="38">
        <v>0</v>
      </c>
      <c r="AM56" s="35">
        <v>0</v>
      </c>
      <c r="AN56" s="19">
        <v>0</v>
      </c>
      <c r="AO56" s="23">
        <v>0</v>
      </c>
      <c r="AP56" s="24">
        <v>0</v>
      </c>
      <c r="AQ56" s="31">
        <f t="shared" si="4"/>
        <v>4.8000000000000007</v>
      </c>
      <c r="AR56" s="32">
        <f t="shared" si="4"/>
        <v>12000</v>
      </c>
      <c r="AS56" s="30">
        <v>6</v>
      </c>
    </row>
    <row r="57" spans="1:45" ht="16" x14ac:dyDescent="0.2">
      <c r="A57" s="19">
        <v>54</v>
      </c>
      <c r="B57" s="21" t="s">
        <v>77</v>
      </c>
      <c r="C57" s="20" t="s">
        <v>80</v>
      </c>
      <c r="D57" s="345"/>
      <c r="E57" s="22">
        <v>7</v>
      </c>
      <c r="F57" s="23">
        <f t="shared" si="0"/>
        <v>17500</v>
      </c>
      <c r="G57" s="19">
        <v>0</v>
      </c>
      <c r="H57" s="23">
        <v>0</v>
      </c>
      <c r="I57" s="24">
        <v>0</v>
      </c>
      <c r="J57" s="19">
        <v>0</v>
      </c>
      <c r="K57" s="23">
        <v>0</v>
      </c>
      <c r="L57" s="24">
        <v>0</v>
      </c>
      <c r="M57" s="25">
        <v>0.8</v>
      </c>
      <c r="N57" s="26">
        <v>2000</v>
      </c>
      <c r="O57" s="27">
        <v>2</v>
      </c>
      <c r="P57" s="28">
        <f t="shared" si="1"/>
        <v>2</v>
      </c>
      <c r="Q57" s="29">
        <f t="shared" si="2"/>
        <v>5000</v>
      </c>
      <c r="R57" s="30">
        <v>5</v>
      </c>
      <c r="S57" s="19">
        <v>0</v>
      </c>
      <c r="T57" s="23">
        <v>0</v>
      </c>
      <c r="U57" s="24">
        <v>0</v>
      </c>
      <c r="V57" s="31">
        <f t="shared" si="3"/>
        <v>2.8</v>
      </c>
      <c r="W57" s="32">
        <v>7000</v>
      </c>
      <c r="X57" s="30">
        <v>7</v>
      </c>
      <c r="Y57" s="19">
        <v>0</v>
      </c>
      <c r="Z57" s="23">
        <v>0</v>
      </c>
      <c r="AA57" s="24">
        <v>0</v>
      </c>
      <c r="AB57" s="33">
        <v>0</v>
      </c>
      <c r="AC57" s="34">
        <v>0</v>
      </c>
      <c r="AD57" s="35">
        <v>0</v>
      </c>
      <c r="AE57" s="36">
        <v>0</v>
      </c>
      <c r="AF57" s="23">
        <v>0</v>
      </c>
      <c r="AG57" s="24">
        <v>0</v>
      </c>
      <c r="AH57" s="33">
        <v>0</v>
      </c>
      <c r="AI57" s="37">
        <v>0</v>
      </c>
      <c r="AJ57" s="35">
        <v>0</v>
      </c>
      <c r="AK57" s="36">
        <v>0</v>
      </c>
      <c r="AL57" s="38">
        <v>0</v>
      </c>
      <c r="AM57" s="35">
        <v>0</v>
      </c>
      <c r="AN57" s="19">
        <v>0</v>
      </c>
      <c r="AO57" s="23">
        <v>0</v>
      </c>
      <c r="AP57" s="24">
        <v>0</v>
      </c>
      <c r="AQ57" s="31">
        <f t="shared" si="4"/>
        <v>5.6</v>
      </c>
      <c r="AR57" s="32">
        <f t="shared" si="4"/>
        <v>14000</v>
      </c>
      <c r="AS57" s="30">
        <v>7</v>
      </c>
    </row>
    <row r="58" spans="1:45" ht="16" x14ac:dyDescent="0.2">
      <c r="A58" s="19">
        <v>55</v>
      </c>
      <c r="B58" s="21" t="s">
        <v>77</v>
      </c>
      <c r="C58" s="20" t="s">
        <v>81</v>
      </c>
      <c r="D58" s="345"/>
      <c r="E58" s="22">
        <v>17.2</v>
      </c>
      <c r="F58" s="23">
        <f t="shared" si="0"/>
        <v>43000</v>
      </c>
      <c r="G58" s="19">
        <v>0</v>
      </c>
      <c r="H58" s="23">
        <v>0</v>
      </c>
      <c r="I58" s="24">
        <v>0</v>
      </c>
      <c r="J58" s="19">
        <v>0</v>
      </c>
      <c r="K58" s="23">
        <v>0</v>
      </c>
      <c r="L58" s="24">
        <v>0</v>
      </c>
      <c r="M58" s="25">
        <v>4.8</v>
      </c>
      <c r="N58" s="26">
        <v>12000</v>
      </c>
      <c r="O58" s="27">
        <v>12</v>
      </c>
      <c r="P58" s="28">
        <f t="shared" si="1"/>
        <v>2.4</v>
      </c>
      <c r="Q58" s="29">
        <f t="shared" si="2"/>
        <v>6000</v>
      </c>
      <c r="R58" s="30">
        <v>6</v>
      </c>
      <c r="S58" s="19">
        <v>0</v>
      </c>
      <c r="T58" s="23">
        <v>0</v>
      </c>
      <c r="U58" s="24">
        <v>0</v>
      </c>
      <c r="V58" s="31">
        <f t="shared" si="3"/>
        <v>6.8</v>
      </c>
      <c r="W58" s="32">
        <v>17000</v>
      </c>
      <c r="X58" s="30">
        <v>17</v>
      </c>
      <c r="Y58" s="19">
        <v>0</v>
      </c>
      <c r="Z58" s="23">
        <v>0</v>
      </c>
      <c r="AA58" s="24">
        <v>0</v>
      </c>
      <c r="AB58" s="33">
        <v>0</v>
      </c>
      <c r="AC58" s="34">
        <v>0</v>
      </c>
      <c r="AD58" s="35">
        <v>0</v>
      </c>
      <c r="AE58" s="36">
        <v>0</v>
      </c>
      <c r="AF58" s="23">
        <v>0</v>
      </c>
      <c r="AG58" s="24">
        <v>0</v>
      </c>
      <c r="AH58" s="33">
        <v>0</v>
      </c>
      <c r="AI58" s="37">
        <v>0</v>
      </c>
      <c r="AJ58" s="35">
        <v>0</v>
      </c>
      <c r="AK58" s="36">
        <v>0</v>
      </c>
      <c r="AL58" s="38">
        <v>0</v>
      </c>
      <c r="AM58" s="35">
        <v>0</v>
      </c>
      <c r="AN58" s="19">
        <v>0</v>
      </c>
      <c r="AO58" s="23">
        <v>0</v>
      </c>
      <c r="AP58" s="24">
        <v>0</v>
      </c>
      <c r="AQ58" s="31">
        <f t="shared" si="4"/>
        <v>14</v>
      </c>
      <c r="AR58" s="32">
        <f t="shared" si="4"/>
        <v>35000</v>
      </c>
      <c r="AS58" s="30">
        <v>18</v>
      </c>
    </row>
    <row r="59" spans="1:45" ht="16" x14ac:dyDescent="0.2">
      <c r="A59" s="19">
        <v>56</v>
      </c>
      <c r="B59" s="21" t="s">
        <v>77</v>
      </c>
      <c r="C59" s="20" t="s">
        <v>82</v>
      </c>
      <c r="D59" s="345"/>
      <c r="E59" s="22">
        <v>6.6</v>
      </c>
      <c r="F59" s="23">
        <f t="shared" si="0"/>
        <v>16500</v>
      </c>
      <c r="G59" s="19">
        <v>0</v>
      </c>
      <c r="H59" s="23">
        <v>0</v>
      </c>
      <c r="I59" s="24">
        <v>0</v>
      </c>
      <c r="J59" s="19">
        <v>0</v>
      </c>
      <c r="K59" s="23">
        <v>0</v>
      </c>
      <c r="L59" s="24">
        <v>0</v>
      </c>
      <c r="M59" s="25">
        <v>2.4</v>
      </c>
      <c r="N59" s="26">
        <v>6000</v>
      </c>
      <c r="O59" s="27">
        <v>6</v>
      </c>
      <c r="P59" s="28">
        <f t="shared" si="1"/>
        <v>2</v>
      </c>
      <c r="Q59" s="29">
        <f t="shared" si="2"/>
        <v>5000</v>
      </c>
      <c r="R59" s="30">
        <v>5</v>
      </c>
      <c r="S59" s="19">
        <v>0</v>
      </c>
      <c r="T59" s="23">
        <v>0</v>
      </c>
      <c r="U59" s="24">
        <v>0</v>
      </c>
      <c r="V59" s="31">
        <f t="shared" si="3"/>
        <v>4</v>
      </c>
      <c r="W59" s="32">
        <v>10000</v>
      </c>
      <c r="X59" s="30">
        <v>10</v>
      </c>
      <c r="Y59" s="19">
        <v>0</v>
      </c>
      <c r="Z59" s="23">
        <v>0</v>
      </c>
      <c r="AA59" s="24">
        <v>0</v>
      </c>
      <c r="AB59" s="33">
        <v>0</v>
      </c>
      <c r="AC59" s="34">
        <v>0</v>
      </c>
      <c r="AD59" s="35">
        <v>0</v>
      </c>
      <c r="AE59" s="36">
        <v>0</v>
      </c>
      <c r="AF59" s="23">
        <v>0</v>
      </c>
      <c r="AG59" s="24">
        <v>0</v>
      </c>
      <c r="AH59" s="33">
        <v>0</v>
      </c>
      <c r="AI59" s="37">
        <v>0</v>
      </c>
      <c r="AJ59" s="35">
        <v>0</v>
      </c>
      <c r="AK59" s="36">
        <v>0</v>
      </c>
      <c r="AL59" s="38">
        <v>0</v>
      </c>
      <c r="AM59" s="35">
        <v>0</v>
      </c>
      <c r="AN59" s="19">
        <v>0</v>
      </c>
      <c r="AO59" s="23">
        <v>0</v>
      </c>
      <c r="AP59" s="24">
        <v>0</v>
      </c>
      <c r="AQ59" s="31">
        <f t="shared" si="4"/>
        <v>8.4</v>
      </c>
      <c r="AR59" s="32">
        <f t="shared" si="4"/>
        <v>21000</v>
      </c>
      <c r="AS59" s="30">
        <v>11</v>
      </c>
    </row>
    <row r="60" spans="1:45" ht="16" x14ac:dyDescent="0.2">
      <c r="A60" s="19">
        <v>57</v>
      </c>
      <c r="B60" s="21" t="s">
        <v>77</v>
      </c>
      <c r="C60" s="20" t="s">
        <v>83</v>
      </c>
      <c r="D60" s="345"/>
      <c r="E60" s="22">
        <v>19.399999999999999</v>
      </c>
      <c r="F60" s="23">
        <f t="shared" si="0"/>
        <v>48500</v>
      </c>
      <c r="G60" s="19">
        <v>0</v>
      </c>
      <c r="H60" s="23">
        <v>0</v>
      </c>
      <c r="I60" s="24">
        <v>0</v>
      </c>
      <c r="J60" s="19">
        <v>0</v>
      </c>
      <c r="K60" s="23">
        <v>0</v>
      </c>
      <c r="L60" s="24">
        <v>0</v>
      </c>
      <c r="M60" s="25">
        <v>4.4000000000000004</v>
      </c>
      <c r="N60" s="26">
        <v>11000</v>
      </c>
      <c r="O60" s="27">
        <v>11</v>
      </c>
      <c r="P60" s="28">
        <f t="shared" si="1"/>
        <v>2.8</v>
      </c>
      <c r="Q60" s="29">
        <f t="shared" si="2"/>
        <v>7000</v>
      </c>
      <c r="R60" s="30">
        <v>7</v>
      </c>
      <c r="S60" s="19">
        <v>0</v>
      </c>
      <c r="T60" s="23">
        <v>0</v>
      </c>
      <c r="U60" s="24">
        <v>0</v>
      </c>
      <c r="V60" s="31">
        <f t="shared" si="3"/>
        <v>7.2</v>
      </c>
      <c r="W60" s="32">
        <v>18000</v>
      </c>
      <c r="X60" s="30">
        <v>18</v>
      </c>
      <c r="Y60" s="19">
        <v>0</v>
      </c>
      <c r="Z60" s="23">
        <v>0</v>
      </c>
      <c r="AA60" s="24">
        <v>0</v>
      </c>
      <c r="AB60" s="33">
        <v>0</v>
      </c>
      <c r="AC60" s="34">
        <v>0</v>
      </c>
      <c r="AD60" s="35">
        <v>0</v>
      </c>
      <c r="AE60" s="36">
        <v>0</v>
      </c>
      <c r="AF60" s="23">
        <v>0</v>
      </c>
      <c r="AG60" s="24">
        <v>0</v>
      </c>
      <c r="AH60" s="33">
        <v>0</v>
      </c>
      <c r="AI60" s="37">
        <v>0</v>
      </c>
      <c r="AJ60" s="35">
        <v>0</v>
      </c>
      <c r="AK60" s="36">
        <v>0</v>
      </c>
      <c r="AL60" s="38">
        <v>0</v>
      </c>
      <c r="AM60" s="35">
        <v>0</v>
      </c>
      <c r="AN60" s="19">
        <v>0</v>
      </c>
      <c r="AO60" s="23">
        <v>0</v>
      </c>
      <c r="AP60" s="24">
        <v>0</v>
      </c>
      <c r="AQ60" s="31">
        <f t="shared" si="4"/>
        <v>14.4</v>
      </c>
      <c r="AR60" s="32">
        <f t="shared" si="4"/>
        <v>36000</v>
      </c>
      <c r="AS60" s="30">
        <v>18</v>
      </c>
    </row>
    <row r="61" spans="1:45" ht="16" x14ac:dyDescent="0.2">
      <c r="A61" s="19">
        <v>58</v>
      </c>
      <c r="B61" s="21" t="s">
        <v>77</v>
      </c>
      <c r="C61" s="20" t="s">
        <v>84</v>
      </c>
      <c r="D61" s="345"/>
      <c r="E61" s="22">
        <v>15.799999999999999</v>
      </c>
      <c r="F61" s="23">
        <f t="shared" si="0"/>
        <v>39500</v>
      </c>
      <c r="G61" s="19">
        <v>0</v>
      </c>
      <c r="H61" s="23">
        <v>0</v>
      </c>
      <c r="I61" s="24">
        <v>0</v>
      </c>
      <c r="J61" s="19">
        <v>0</v>
      </c>
      <c r="K61" s="23">
        <v>0</v>
      </c>
      <c r="L61" s="24">
        <v>0</v>
      </c>
      <c r="M61" s="25">
        <v>4</v>
      </c>
      <c r="N61" s="26">
        <v>10000</v>
      </c>
      <c r="O61" s="27">
        <v>10</v>
      </c>
      <c r="P61" s="28">
        <f t="shared" si="1"/>
        <v>1.6</v>
      </c>
      <c r="Q61" s="29">
        <f t="shared" si="2"/>
        <v>4000</v>
      </c>
      <c r="R61" s="30">
        <v>4</v>
      </c>
      <c r="S61" s="19">
        <v>0</v>
      </c>
      <c r="T61" s="23">
        <v>0</v>
      </c>
      <c r="U61" s="24">
        <v>0</v>
      </c>
      <c r="V61" s="31">
        <f t="shared" si="3"/>
        <v>5.6</v>
      </c>
      <c r="W61" s="32">
        <v>14000</v>
      </c>
      <c r="X61" s="30">
        <v>14</v>
      </c>
      <c r="Y61" s="19">
        <v>0</v>
      </c>
      <c r="Z61" s="23">
        <v>0</v>
      </c>
      <c r="AA61" s="24">
        <v>0</v>
      </c>
      <c r="AB61" s="33">
        <v>0</v>
      </c>
      <c r="AC61" s="34">
        <v>0</v>
      </c>
      <c r="AD61" s="35">
        <v>0</v>
      </c>
      <c r="AE61" s="36">
        <v>0</v>
      </c>
      <c r="AF61" s="23">
        <v>0</v>
      </c>
      <c r="AG61" s="24">
        <v>0</v>
      </c>
      <c r="AH61" s="33">
        <v>0</v>
      </c>
      <c r="AI61" s="37">
        <v>0</v>
      </c>
      <c r="AJ61" s="35">
        <v>0</v>
      </c>
      <c r="AK61" s="36">
        <v>0</v>
      </c>
      <c r="AL61" s="38">
        <v>0</v>
      </c>
      <c r="AM61" s="35">
        <v>0</v>
      </c>
      <c r="AN61" s="19">
        <v>0</v>
      </c>
      <c r="AO61" s="23">
        <v>0</v>
      </c>
      <c r="AP61" s="24">
        <v>0</v>
      </c>
      <c r="AQ61" s="31">
        <f t="shared" si="4"/>
        <v>11.2</v>
      </c>
      <c r="AR61" s="32">
        <f t="shared" si="4"/>
        <v>28000</v>
      </c>
      <c r="AS61" s="30">
        <v>14</v>
      </c>
    </row>
    <row r="62" spans="1:45" ht="16" x14ac:dyDescent="0.2">
      <c r="A62" s="19">
        <v>59</v>
      </c>
      <c r="B62" s="21" t="s">
        <v>77</v>
      </c>
      <c r="C62" s="20" t="s">
        <v>85</v>
      </c>
      <c r="D62" s="345"/>
      <c r="E62" s="22">
        <v>13.399999999999999</v>
      </c>
      <c r="F62" s="23">
        <f t="shared" si="0"/>
        <v>33500</v>
      </c>
      <c r="G62" s="19">
        <v>0</v>
      </c>
      <c r="H62" s="23">
        <v>0</v>
      </c>
      <c r="I62" s="24">
        <v>0</v>
      </c>
      <c r="J62" s="19">
        <v>0</v>
      </c>
      <c r="K62" s="23">
        <v>0</v>
      </c>
      <c r="L62" s="24">
        <v>0</v>
      </c>
      <c r="M62" s="25">
        <v>4.4000000000000004</v>
      </c>
      <c r="N62" s="26">
        <v>11000</v>
      </c>
      <c r="O62" s="27">
        <v>11</v>
      </c>
      <c r="P62" s="28">
        <f t="shared" si="1"/>
        <v>2.4</v>
      </c>
      <c r="Q62" s="29">
        <f t="shared" si="2"/>
        <v>6000</v>
      </c>
      <c r="R62" s="30">
        <v>6</v>
      </c>
      <c r="S62" s="19">
        <v>0</v>
      </c>
      <c r="T62" s="23">
        <v>0</v>
      </c>
      <c r="U62" s="24">
        <v>0</v>
      </c>
      <c r="V62" s="31">
        <f t="shared" si="3"/>
        <v>6.8</v>
      </c>
      <c r="W62" s="32">
        <v>17000</v>
      </c>
      <c r="X62" s="30">
        <v>17</v>
      </c>
      <c r="Y62" s="19">
        <v>0</v>
      </c>
      <c r="Z62" s="23">
        <v>0</v>
      </c>
      <c r="AA62" s="24">
        <v>0</v>
      </c>
      <c r="AB62" s="33">
        <v>0</v>
      </c>
      <c r="AC62" s="34">
        <v>0</v>
      </c>
      <c r="AD62" s="35">
        <v>0</v>
      </c>
      <c r="AE62" s="36">
        <v>0</v>
      </c>
      <c r="AF62" s="23">
        <v>0</v>
      </c>
      <c r="AG62" s="24">
        <v>0</v>
      </c>
      <c r="AH62" s="33">
        <v>0</v>
      </c>
      <c r="AI62" s="37">
        <v>0</v>
      </c>
      <c r="AJ62" s="35">
        <v>0</v>
      </c>
      <c r="AK62" s="36">
        <v>0</v>
      </c>
      <c r="AL62" s="38">
        <v>0</v>
      </c>
      <c r="AM62" s="35">
        <v>0</v>
      </c>
      <c r="AN62" s="19">
        <v>0</v>
      </c>
      <c r="AO62" s="23">
        <v>0</v>
      </c>
      <c r="AP62" s="24">
        <v>0</v>
      </c>
      <c r="AQ62" s="31">
        <f t="shared" si="4"/>
        <v>13.600000000000001</v>
      </c>
      <c r="AR62" s="32">
        <f t="shared" si="4"/>
        <v>34000</v>
      </c>
      <c r="AS62" s="30">
        <v>17</v>
      </c>
    </row>
    <row r="63" spans="1:45" ht="16" x14ac:dyDescent="0.2">
      <c r="A63" s="19">
        <v>60</v>
      </c>
      <c r="B63" s="21" t="s">
        <v>86</v>
      </c>
      <c r="C63" s="20" t="s">
        <v>86</v>
      </c>
      <c r="D63" s="345"/>
      <c r="E63" s="22">
        <v>21.200000000000003</v>
      </c>
      <c r="F63" s="23">
        <f t="shared" si="0"/>
        <v>53000.000000000007</v>
      </c>
      <c r="G63" s="19">
        <v>0</v>
      </c>
      <c r="H63" s="23">
        <v>0</v>
      </c>
      <c r="I63" s="24">
        <v>0</v>
      </c>
      <c r="J63" s="19">
        <v>0</v>
      </c>
      <c r="K63" s="23">
        <v>0</v>
      </c>
      <c r="L63" s="24">
        <v>0</v>
      </c>
      <c r="M63" s="25">
        <v>4.4000000000000004</v>
      </c>
      <c r="N63" s="26">
        <v>11000</v>
      </c>
      <c r="O63" s="27">
        <v>11</v>
      </c>
      <c r="P63" s="28">
        <f t="shared" si="1"/>
        <v>3.2</v>
      </c>
      <c r="Q63" s="29">
        <f t="shared" si="2"/>
        <v>8000</v>
      </c>
      <c r="R63" s="30">
        <v>8</v>
      </c>
      <c r="S63" s="19">
        <v>0</v>
      </c>
      <c r="T63" s="23">
        <v>0</v>
      </c>
      <c r="U63" s="24">
        <v>0</v>
      </c>
      <c r="V63" s="31">
        <f t="shared" si="3"/>
        <v>8</v>
      </c>
      <c r="W63" s="32">
        <v>20000</v>
      </c>
      <c r="X63" s="30">
        <v>20</v>
      </c>
      <c r="Y63" s="19">
        <v>0</v>
      </c>
      <c r="Z63" s="23">
        <v>0</v>
      </c>
      <c r="AA63" s="24">
        <v>0</v>
      </c>
      <c r="AB63" s="33">
        <v>0</v>
      </c>
      <c r="AC63" s="34">
        <v>0</v>
      </c>
      <c r="AD63" s="35">
        <v>0</v>
      </c>
      <c r="AE63" s="36">
        <v>0</v>
      </c>
      <c r="AF63" s="23">
        <v>0</v>
      </c>
      <c r="AG63" s="24">
        <v>0</v>
      </c>
      <c r="AH63" s="33">
        <v>0</v>
      </c>
      <c r="AI63" s="37">
        <v>0</v>
      </c>
      <c r="AJ63" s="35">
        <v>0</v>
      </c>
      <c r="AK63" s="36">
        <v>0</v>
      </c>
      <c r="AL63" s="38">
        <v>0</v>
      </c>
      <c r="AM63" s="35">
        <v>0</v>
      </c>
      <c r="AN63" s="19">
        <v>0</v>
      </c>
      <c r="AO63" s="23">
        <v>0</v>
      </c>
      <c r="AP63" s="24">
        <v>0</v>
      </c>
      <c r="AQ63" s="31">
        <f t="shared" si="4"/>
        <v>15.600000000000001</v>
      </c>
      <c r="AR63" s="32">
        <f t="shared" si="4"/>
        <v>39000</v>
      </c>
      <c r="AS63" s="30">
        <v>20</v>
      </c>
    </row>
    <row r="64" spans="1:45" ht="16" x14ac:dyDescent="0.2">
      <c r="A64" s="19">
        <v>61</v>
      </c>
      <c r="B64" s="21" t="s">
        <v>86</v>
      </c>
      <c r="C64" s="20" t="s">
        <v>87</v>
      </c>
      <c r="D64" s="345"/>
      <c r="E64" s="22">
        <v>52.8</v>
      </c>
      <c r="F64" s="23">
        <f t="shared" si="0"/>
        <v>132000</v>
      </c>
      <c r="G64" s="19">
        <v>0</v>
      </c>
      <c r="H64" s="23">
        <v>0</v>
      </c>
      <c r="I64" s="24">
        <v>0</v>
      </c>
      <c r="J64" s="19">
        <v>0</v>
      </c>
      <c r="K64" s="23">
        <v>0</v>
      </c>
      <c r="L64" s="24">
        <v>0</v>
      </c>
      <c r="M64" s="25">
        <v>10</v>
      </c>
      <c r="N64" s="26">
        <v>25000</v>
      </c>
      <c r="O64" s="27">
        <v>25</v>
      </c>
      <c r="P64" s="28">
        <f t="shared" si="1"/>
        <v>5.6</v>
      </c>
      <c r="Q64" s="29">
        <f t="shared" si="2"/>
        <v>14000</v>
      </c>
      <c r="R64" s="30">
        <v>14</v>
      </c>
      <c r="S64" s="19">
        <v>0</v>
      </c>
      <c r="T64" s="23">
        <v>0</v>
      </c>
      <c r="U64" s="24">
        <v>0</v>
      </c>
      <c r="V64" s="31">
        <f t="shared" si="3"/>
        <v>16.399999999999999</v>
      </c>
      <c r="W64" s="32">
        <v>41000</v>
      </c>
      <c r="X64" s="30">
        <v>41</v>
      </c>
      <c r="Y64" s="19">
        <v>0</v>
      </c>
      <c r="Z64" s="23">
        <v>0</v>
      </c>
      <c r="AA64" s="24">
        <v>0</v>
      </c>
      <c r="AB64" s="33">
        <v>0</v>
      </c>
      <c r="AC64" s="34">
        <v>0</v>
      </c>
      <c r="AD64" s="35">
        <v>0</v>
      </c>
      <c r="AE64" s="36">
        <v>0</v>
      </c>
      <c r="AF64" s="23">
        <v>0</v>
      </c>
      <c r="AG64" s="24">
        <v>0</v>
      </c>
      <c r="AH64" s="33">
        <v>0</v>
      </c>
      <c r="AI64" s="37">
        <v>0</v>
      </c>
      <c r="AJ64" s="35">
        <v>0</v>
      </c>
      <c r="AK64" s="36">
        <v>0</v>
      </c>
      <c r="AL64" s="38">
        <v>0</v>
      </c>
      <c r="AM64" s="35">
        <v>0</v>
      </c>
      <c r="AN64" s="19">
        <v>0</v>
      </c>
      <c r="AO64" s="23">
        <v>0</v>
      </c>
      <c r="AP64" s="24">
        <v>0</v>
      </c>
      <c r="AQ64" s="31">
        <f t="shared" si="4"/>
        <v>32</v>
      </c>
      <c r="AR64" s="32">
        <f t="shared" si="4"/>
        <v>80000</v>
      </c>
      <c r="AS64" s="30">
        <v>41</v>
      </c>
    </row>
    <row r="65" spans="1:45" ht="16" x14ac:dyDescent="0.2">
      <c r="A65" s="19">
        <v>62</v>
      </c>
      <c r="B65" s="21" t="s">
        <v>86</v>
      </c>
      <c r="C65" s="20" t="s">
        <v>88</v>
      </c>
      <c r="D65" s="345"/>
      <c r="E65" s="22">
        <v>10.399999999999999</v>
      </c>
      <c r="F65" s="23">
        <f t="shared" si="0"/>
        <v>25999.999999999996</v>
      </c>
      <c r="G65" s="19">
        <v>0</v>
      </c>
      <c r="H65" s="23">
        <v>0</v>
      </c>
      <c r="I65" s="24">
        <v>0</v>
      </c>
      <c r="J65" s="19">
        <v>0</v>
      </c>
      <c r="K65" s="23">
        <v>0</v>
      </c>
      <c r="L65" s="24">
        <v>0</v>
      </c>
      <c r="M65" s="25">
        <v>4.4000000000000004</v>
      </c>
      <c r="N65" s="26">
        <v>11000</v>
      </c>
      <c r="O65" s="27">
        <v>11</v>
      </c>
      <c r="P65" s="28">
        <f t="shared" si="1"/>
        <v>1.2</v>
      </c>
      <c r="Q65" s="29">
        <f t="shared" si="2"/>
        <v>3000</v>
      </c>
      <c r="R65" s="30">
        <v>3</v>
      </c>
      <c r="S65" s="19">
        <v>0</v>
      </c>
      <c r="T65" s="23">
        <v>0</v>
      </c>
      <c r="U65" s="24">
        <v>0</v>
      </c>
      <c r="V65" s="31">
        <f t="shared" si="3"/>
        <v>5.2</v>
      </c>
      <c r="W65" s="32">
        <v>13000</v>
      </c>
      <c r="X65" s="30">
        <v>13</v>
      </c>
      <c r="Y65" s="19">
        <v>0</v>
      </c>
      <c r="Z65" s="23">
        <v>0</v>
      </c>
      <c r="AA65" s="24">
        <v>0</v>
      </c>
      <c r="AB65" s="33">
        <v>0</v>
      </c>
      <c r="AC65" s="34">
        <v>0</v>
      </c>
      <c r="AD65" s="35">
        <v>0</v>
      </c>
      <c r="AE65" s="36">
        <v>0</v>
      </c>
      <c r="AF65" s="23">
        <v>0</v>
      </c>
      <c r="AG65" s="24">
        <v>0</v>
      </c>
      <c r="AH65" s="33">
        <v>0</v>
      </c>
      <c r="AI65" s="37">
        <v>0</v>
      </c>
      <c r="AJ65" s="35">
        <v>0</v>
      </c>
      <c r="AK65" s="36">
        <v>0</v>
      </c>
      <c r="AL65" s="38">
        <v>0</v>
      </c>
      <c r="AM65" s="35">
        <v>0</v>
      </c>
      <c r="AN65" s="19">
        <v>0</v>
      </c>
      <c r="AO65" s="23">
        <v>0</v>
      </c>
      <c r="AP65" s="24">
        <v>0</v>
      </c>
      <c r="AQ65" s="31">
        <f t="shared" si="4"/>
        <v>10.8</v>
      </c>
      <c r="AR65" s="32">
        <f t="shared" si="4"/>
        <v>27000</v>
      </c>
      <c r="AS65" s="30">
        <v>14</v>
      </c>
    </row>
    <row r="66" spans="1:45" ht="16" x14ac:dyDescent="0.2">
      <c r="A66" s="19">
        <v>63</v>
      </c>
      <c r="B66" s="21" t="s">
        <v>86</v>
      </c>
      <c r="C66" s="20" t="s">
        <v>89</v>
      </c>
      <c r="D66" s="345"/>
      <c r="E66" s="22">
        <v>14.6</v>
      </c>
      <c r="F66" s="23">
        <f t="shared" si="0"/>
        <v>36500</v>
      </c>
      <c r="G66" s="19">
        <v>0</v>
      </c>
      <c r="H66" s="23">
        <v>0</v>
      </c>
      <c r="I66" s="24">
        <v>0</v>
      </c>
      <c r="J66" s="19">
        <v>0</v>
      </c>
      <c r="K66" s="23">
        <v>0</v>
      </c>
      <c r="L66" s="24">
        <v>0</v>
      </c>
      <c r="M66" s="25">
        <v>4.8</v>
      </c>
      <c r="N66" s="26">
        <v>12000</v>
      </c>
      <c r="O66" s="27">
        <v>12</v>
      </c>
      <c r="P66" s="28">
        <f t="shared" si="1"/>
        <v>2.8</v>
      </c>
      <c r="Q66" s="29">
        <f t="shared" si="2"/>
        <v>7000</v>
      </c>
      <c r="R66" s="30">
        <v>7</v>
      </c>
      <c r="S66" s="19">
        <v>0</v>
      </c>
      <c r="T66" s="23">
        <v>0</v>
      </c>
      <c r="U66" s="24">
        <v>0</v>
      </c>
      <c r="V66" s="31">
        <f t="shared" si="3"/>
        <v>7.2</v>
      </c>
      <c r="W66" s="32">
        <v>18000</v>
      </c>
      <c r="X66" s="30">
        <v>18</v>
      </c>
      <c r="Y66" s="19">
        <v>0</v>
      </c>
      <c r="Z66" s="23">
        <v>0</v>
      </c>
      <c r="AA66" s="24">
        <v>0</v>
      </c>
      <c r="AB66" s="33">
        <v>0</v>
      </c>
      <c r="AC66" s="34">
        <v>0</v>
      </c>
      <c r="AD66" s="35">
        <v>0</v>
      </c>
      <c r="AE66" s="36">
        <v>0</v>
      </c>
      <c r="AF66" s="23">
        <v>0</v>
      </c>
      <c r="AG66" s="24">
        <v>0</v>
      </c>
      <c r="AH66" s="33">
        <v>0</v>
      </c>
      <c r="AI66" s="37">
        <v>0</v>
      </c>
      <c r="AJ66" s="35">
        <v>0</v>
      </c>
      <c r="AK66" s="36">
        <v>0</v>
      </c>
      <c r="AL66" s="38">
        <v>0</v>
      </c>
      <c r="AM66" s="35">
        <v>0</v>
      </c>
      <c r="AN66" s="19">
        <v>0</v>
      </c>
      <c r="AO66" s="23">
        <v>0</v>
      </c>
      <c r="AP66" s="24">
        <v>0</v>
      </c>
      <c r="AQ66" s="31">
        <f t="shared" si="4"/>
        <v>14.8</v>
      </c>
      <c r="AR66" s="32">
        <f t="shared" si="4"/>
        <v>37000</v>
      </c>
      <c r="AS66" s="30">
        <v>19</v>
      </c>
    </row>
    <row r="67" spans="1:45" ht="16" x14ac:dyDescent="0.2">
      <c r="A67" s="19">
        <v>64</v>
      </c>
      <c r="B67" s="21" t="s">
        <v>86</v>
      </c>
      <c r="C67" s="20" t="s">
        <v>90</v>
      </c>
      <c r="D67" s="345"/>
      <c r="E67" s="22">
        <v>25.600000000000005</v>
      </c>
      <c r="F67" s="23">
        <f t="shared" si="0"/>
        <v>64000.000000000015</v>
      </c>
      <c r="G67" s="19">
        <v>0</v>
      </c>
      <c r="H67" s="23">
        <v>0</v>
      </c>
      <c r="I67" s="24">
        <v>0</v>
      </c>
      <c r="J67" s="19">
        <v>0</v>
      </c>
      <c r="K67" s="23">
        <v>0</v>
      </c>
      <c r="L67" s="24">
        <v>0</v>
      </c>
      <c r="M67" s="25">
        <v>8.4</v>
      </c>
      <c r="N67" s="26">
        <v>21000</v>
      </c>
      <c r="O67" s="27">
        <v>21</v>
      </c>
      <c r="P67" s="28">
        <f t="shared" si="1"/>
        <v>2</v>
      </c>
      <c r="Q67" s="29">
        <f t="shared" si="2"/>
        <v>5000</v>
      </c>
      <c r="R67" s="30">
        <v>5</v>
      </c>
      <c r="S67" s="19">
        <v>0</v>
      </c>
      <c r="T67" s="23">
        <v>0</v>
      </c>
      <c r="U67" s="24">
        <v>0</v>
      </c>
      <c r="V67" s="31">
        <f t="shared" si="3"/>
        <v>10.4</v>
      </c>
      <c r="W67" s="32">
        <v>26000</v>
      </c>
      <c r="X67" s="30">
        <v>26</v>
      </c>
      <c r="Y67" s="19">
        <v>0</v>
      </c>
      <c r="Z67" s="23">
        <v>0</v>
      </c>
      <c r="AA67" s="24">
        <v>0</v>
      </c>
      <c r="AB67" s="33">
        <v>0</v>
      </c>
      <c r="AC67" s="34">
        <v>0</v>
      </c>
      <c r="AD67" s="35">
        <v>0</v>
      </c>
      <c r="AE67" s="36">
        <v>0</v>
      </c>
      <c r="AF67" s="23">
        <v>0</v>
      </c>
      <c r="AG67" s="24">
        <v>0</v>
      </c>
      <c r="AH67" s="33">
        <v>0</v>
      </c>
      <c r="AI67" s="37">
        <v>0</v>
      </c>
      <c r="AJ67" s="35">
        <v>0</v>
      </c>
      <c r="AK67" s="36">
        <v>0</v>
      </c>
      <c r="AL67" s="38">
        <v>0</v>
      </c>
      <c r="AM67" s="35">
        <v>0</v>
      </c>
      <c r="AN67" s="19">
        <v>0</v>
      </c>
      <c r="AO67" s="23">
        <v>0</v>
      </c>
      <c r="AP67" s="24">
        <v>0</v>
      </c>
      <c r="AQ67" s="31">
        <f t="shared" si="4"/>
        <v>20.8</v>
      </c>
      <c r="AR67" s="32">
        <f t="shared" si="4"/>
        <v>52000</v>
      </c>
      <c r="AS67" s="30">
        <v>26</v>
      </c>
    </row>
    <row r="68" spans="1:45" ht="16" x14ac:dyDescent="0.2">
      <c r="A68" s="19">
        <v>65</v>
      </c>
      <c r="B68" s="21" t="s">
        <v>86</v>
      </c>
      <c r="C68" s="20" t="s">
        <v>91</v>
      </c>
      <c r="D68" s="345"/>
      <c r="E68" s="22">
        <v>33.4</v>
      </c>
      <c r="F68" s="23">
        <f t="shared" si="0"/>
        <v>83500</v>
      </c>
      <c r="G68" s="19">
        <v>0</v>
      </c>
      <c r="H68" s="23">
        <v>0</v>
      </c>
      <c r="I68" s="24">
        <v>0</v>
      </c>
      <c r="J68" s="19">
        <v>0</v>
      </c>
      <c r="K68" s="23">
        <v>0</v>
      </c>
      <c r="L68" s="24">
        <v>0</v>
      </c>
      <c r="M68" s="25">
        <v>7.2</v>
      </c>
      <c r="N68" s="26">
        <v>18000</v>
      </c>
      <c r="O68" s="27">
        <v>18</v>
      </c>
      <c r="P68" s="28">
        <f t="shared" si="1"/>
        <v>5.6</v>
      </c>
      <c r="Q68" s="29">
        <f t="shared" si="2"/>
        <v>14000</v>
      </c>
      <c r="R68" s="30">
        <v>14</v>
      </c>
      <c r="S68" s="19">
        <v>0</v>
      </c>
      <c r="T68" s="23">
        <v>0</v>
      </c>
      <c r="U68" s="24">
        <v>0</v>
      </c>
      <c r="V68" s="31">
        <f t="shared" si="3"/>
        <v>12.4</v>
      </c>
      <c r="W68" s="32">
        <v>31000</v>
      </c>
      <c r="X68" s="30">
        <v>31</v>
      </c>
      <c r="Y68" s="19">
        <v>0</v>
      </c>
      <c r="Z68" s="23">
        <v>0</v>
      </c>
      <c r="AA68" s="24">
        <v>0</v>
      </c>
      <c r="AB68" s="33">
        <v>0</v>
      </c>
      <c r="AC68" s="34">
        <v>0</v>
      </c>
      <c r="AD68" s="35">
        <v>0</v>
      </c>
      <c r="AE68" s="36">
        <v>0</v>
      </c>
      <c r="AF68" s="23">
        <v>0</v>
      </c>
      <c r="AG68" s="24">
        <v>0</v>
      </c>
      <c r="AH68" s="33">
        <v>0</v>
      </c>
      <c r="AI68" s="37">
        <v>0</v>
      </c>
      <c r="AJ68" s="35">
        <v>0</v>
      </c>
      <c r="AK68" s="36">
        <v>0</v>
      </c>
      <c r="AL68" s="38">
        <v>0</v>
      </c>
      <c r="AM68" s="35">
        <v>0</v>
      </c>
      <c r="AN68" s="19">
        <v>0</v>
      </c>
      <c r="AO68" s="23">
        <v>0</v>
      </c>
      <c r="AP68" s="24">
        <v>0</v>
      </c>
      <c r="AQ68" s="31">
        <f t="shared" si="4"/>
        <v>25.200000000000003</v>
      </c>
      <c r="AR68" s="32">
        <f t="shared" si="4"/>
        <v>63000</v>
      </c>
      <c r="AS68" s="30">
        <v>32</v>
      </c>
    </row>
    <row r="69" spans="1:45" ht="16" x14ac:dyDescent="0.2">
      <c r="A69" s="19">
        <v>66</v>
      </c>
      <c r="B69" s="21" t="s">
        <v>86</v>
      </c>
      <c r="C69" s="20" t="s">
        <v>92</v>
      </c>
      <c r="D69" s="345"/>
      <c r="E69" s="22">
        <v>21</v>
      </c>
      <c r="F69" s="23">
        <f t="shared" ref="F69:F132" si="5">E69*2500</f>
        <v>52500</v>
      </c>
      <c r="G69" s="19">
        <v>0</v>
      </c>
      <c r="H69" s="23">
        <v>0</v>
      </c>
      <c r="I69" s="24">
        <v>0</v>
      </c>
      <c r="J69" s="19">
        <v>0</v>
      </c>
      <c r="K69" s="23">
        <v>0</v>
      </c>
      <c r="L69" s="24">
        <v>0</v>
      </c>
      <c r="M69" s="25">
        <v>7.6</v>
      </c>
      <c r="N69" s="26">
        <v>19000</v>
      </c>
      <c r="O69" s="27">
        <v>19</v>
      </c>
      <c r="P69" s="28">
        <f t="shared" ref="P69:P132" si="6">Q69/2500</f>
        <v>1.6</v>
      </c>
      <c r="Q69" s="29">
        <f t="shared" ref="Q69:Q132" si="7">R69*1000</f>
        <v>4000</v>
      </c>
      <c r="R69" s="30">
        <v>4</v>
      </c>
      <c r="S69" s="19">
        <v>0</v>
      </c>
      <c r="T69" s="23">
        <v>0</v>
      </c>
      <c r="U69" s="24">
        <v>0</v>
      </c>
      <c r="V69" s="31">
        <f t="shared" ref="V69:V132" si="8">W69/2500</f>
        <v>8.8000000000000007</v>
      </c>
      <c r="W69" s="32">
        <v>22000</v>
      </c>
      <c r="X69" s="30">
        <v>22</v>
      </c>
      <c r="Y69" s="19">
        <v>0</v>
      </c>
      <c r="Z69" s="23">
        <v>0</v>
      </c>
      <c r="AA69" s="24">
        <v>0</v>
      </c>
      <c r="AB69" s="33">
        <v>0</v>
      </c>
      <c r="AC69" s="34">
        <v>0</v>
      </c>
      <c r="AD69" s="35">
        <v>0</v>
      </c>
      <c r="AE69" s="36">
        <v>0</v>
      </c>
      <c r="AF69" s="23">
        <v>0</v>
      </c>
      <c r="AG69" s="24">
        <v>0</v>
      </c>
      <c r="AH69" s="33">
        <v>0</v>
      </c>
      <c r="AI69" s="37">
        <v>0</v>
      </c>
      <c r="AJ69" s="35">
        <v>0</v>
      </c>
      <c r="AK69" s="36">
        <v>0</v>
      </c>
      <c r="AL69" s="38">
        <v>0</v>
      </c>
      <c r="AM69" s="35">
        <v>0</v>
      </c>
      <c r="AN69" s="19">
        <v>0</v>
      </c>
      <c r="AO69" s="23">
        <v>0</v>
      </c>
      <c r="AP69" s="24">
        <v>0</v>
      </c>
      <c r="AQ69" s="31">
        <f t="shared" ref="AQ69:AR132" si="9">G69+J69+M69+P69+S69+V69+Y69+AB69+AE69+AH69+AK69+AN69</f>
        <v>18</v>
      </c>
      <c r="AR69" s="32">
        <f t="shared" si="9"/>
        <v>45000</v>
      </c>
      <c r="AS69" s="30">
        <v>23</v>
      </c>
    </row>
    <row r="70" spans="1:45" ht="16" x14ac:dyDescent="0.2">
      <c r="A70" s="19">
        <v>67</v>
      </c>
      <c r="B70" s="21" t="s">
        <v>86</v>
      </c>
      <c r="C70" s="20" t="s">
        <v>93</v>
      </c>
      <c r="D70" s="345"/>
      <c r="E70" s="22">
        <v>14.2</v>
      </c>
      <c r="F70" s="23">
        <f t="shared" si="5"/>
        <v>35500</v>
      </c>
      <c r="G70" s="19">
        <v>0</v>
      </c>
      <c r="H70" s="23">
        <v>0</v>
      </c>
      <c r="I70" s="24">
        <v>0</v>
      </c>
      <c r="J70" s="19">
        <v>0</v>
      </c>
      <c r="K70" s="23">
        <v>0</v>
      </c>
      <c r="L70" s="24">
        <v>0</v>
      </c>
      <c r="M70" s="25">
        <v>4.8</v>
      </c>
      <c r="N70" s="26">
        <v>12000</v>
      </c>
      <c r="O70" s="27">
        <v>12</v>
      </c>
      <c r="P70" s="28">
        <f t="shared" si="6"/>
        <v>1.6</v>
      </c>
      <c r="Q70" s="29">
        <f t="shared" si="7"/>
        <v>4000</v>
      </c>
      <c r="R70" s="30">
        <v>4</v>
      </c>
      <c r="S70" s="19">
        <v>0</v>
      </c>
      <c r="T70" s="23">
        <v>0</v>
      </c>
      <c r="U70" s="24">
        <v>0</v>
      </c>
      <c r="V70" s="31">
        <f t="shared" si="8"/>
        <v>6</v>
      </c>
      <c r="W70" s="32">
        <v>15000</v>
      </c>
      <c r="X70" s="30">
        <v>15</v>
      </c>
      <c r="Y70" s="19">
        <v>0</v>
      </c>
      <c r="Z70" s="23">
        <v>0</v>
      </c>
      <c r="AA70" s="24">
        <v>0</v>
      </c>
      <c r="AB70" s="33">
        <v>0</v>
      </c>
      <c r="AC70" s="34">
        <v>0</v>
      </c>
      <c r="AD70" s="35">
        <v>0</v>
      </c>
      <c r="AE70" s="36">
        <v>0</v>
      </c>
      <c r="AF70" s="23">
        <v>0</v>
      </c>
      <c r="AG70" s="24">
        <v>0</v>
      </c>
      <c r="AH70" s="33">
        <v>0</v>
      </c>
      <c r="AI70" s="37">
        <v>0</v>
      </c>
      <c r="AJ70" s="35">
        <v>0</v>
      </c>
      <c r="AK70" s="36">
        <v>0</v>
      </c>
      <c r="AL70" s="38">
        <v>0</v>
      </c>
      <c r="AM70" s="35">
        <v>0</v>
      </c>
      <c r="AN70" s="19">
        <v>0</v>
      </c>
      <c r="AO70" s="23">
        <v>0</v>
      </c>
      <c r="AP70" s="24">
        <v>0</v>
      </c>
      <c r="AQ70" s="31">
        <f t="shared" si="9"/>
        <v>12.4</v>
      </c>
      <c r="AR70" s="32">
        <f t="shared" si="9"/>
        <v>31000</v>
      </c>
      <c r="AS70" s="30">
        <v>16</v>
      </c>
    </row>
    <row r="71" spans="1:45" ht="16" x14ac:dyDescent="0.2">
      <c r="A71" s="19">
        <v>68</v>
      </c>
      <c r="B71" s="21" t="s">
        <v>86</v>
      </c>
      <c r="C71" s="20" t="s">
        <v>94</v>
      </c>
      <c r="D71" s="345"/>
      <c r="E71" s="22">
        <v>21.4</v>
      </c>
      <c r="F71" s="23">
        <f t="shared" si="5"/>
        <v>53500</v>
      </c>
      <c r="G71" s="19">
        <v>0</v>
      </c>
      <c r="H71" s="23">
        <v>0</v>
      </c>
      <c r="I71" s="24">
        <v>0</v>
      </c>
      <c r="J71" s="19">
        <v>0</v>
      </c>
      <c r="K71" s="23">
        <v>0</v>
      </c>
      <c r="L71" s="24">
        <v>0</v>
      </c>
      <c r="M71" s="25">
        <v>5.6</v>
      </c>
      <c r="N71" s="26">
        <v>14000</v>
      </c>
      <c r="O71" s="27">
        <v>14</v>
      </c>
      <c r="P71" s="28">
        <f t="shared" si="6"/>
        <v>1.2</v>
      </c>
      <c r="Q71" s="29">
        <f t="shared" si="7"/>
        <v>3000</v>
      </c>
      <c r="R71" s="30">
        <v>3</v>
      </c>
      <c r="S71" s="19">
        <v>0</v>
      </c>
      <c r="T71" s="23">
        <v>0</v>
      </c>
      <c r="U71" s="24">
        <v>0</v>
      </c>
      <c r="V71" s="31">
        <f t="shared" si="8"/>
        <v>6.4</v>
      </c>
      <c r="W71" s="32">
        <v>16000</v>
      </c>
      <c r="X71" s="30">
        <v>16</v>
      </c>
      <c r="Y71" s="19">
        <v>0</v>
      </c>
      <c r="Z71" s="23">
        <v>0</v>
      </c>
      <c r="AA71" s="24">
        <v>0</v>
      </c>
      <c r="AB71" s="33">
        <v>0</v>
      </c>
      <c r="AC71" s="34">
        <v>0</v>
      </c>
      <c r="AD71" s="35">
        <v>0</v>
      </c>
      <c r="AE71" s="36">
        <v>0</v>
      </c>
      <c r="AF71" s="23">
        <v>0</v>
      </c>
      <c r="AG71" s="24">
        <v>0</v>
      </c>
      <c r="AH71" s="33">
        <v>0</v>
      </c>
      <c r="AI71" s="37">
        <v>0</v>
      </c>
      <c r="AJ71" s="35">
        <v>0</v>
      </c>
      <c r="AK71" s="36">
        <v>0</v>
      </c>
      <c r="AL71" s="38">
        <v>0</v>
      </c>
      <c r="AM71" s="35">
        <v>0</v>
      </c>
      <c r="AN71" s="19">
        <v>0</v>
      </c>
      <c r="AO71" s="23">
        <v>0</v>
      </c>
      <c r="AP71" s="24">
        <v>0</v>
      </c>
      <c r="AQ71" s="31">
        <f t="shared" si="9"/>
        <v>13.2</v>
      </c>
      <c r="AR71" s="32">
        <f t="shared" si="9"/>
        <v>33000</v>
      </c>
      <c r="AS71" s="30">
        <v>17</v>
      </c>
    </row>
    <row r="72" spans="1:45" ht="16" x14ac:dyDescent="0.2">
      <c r="A72" s="19">
        <v>69</v>
      </c>
      <c r="B72" s="21" t="s">
        <v>86</v>
      </c>
      <c r="C72" s="20" t="s">
        <v>95</v>
      </c>
      <c r="D72" s="345" t="s">
        <v>25</v>
      </c>
      <c r="E72" s="22">
        <v>9</v>
      </c>
      <c r="F72" s="23">
        <f t="shared" si="5"/>
        <v>22500</v>
      </c>
      <c r="G72" s="19">
        <v>0</v>
      </c>
      <c r="H72" s="23">
        <v>0</v>
      </c>
      <c r="I72" s="24">
        <v>0</v>
      </c>
      <c r="J72" s="19">
        <v>0</v>
      </c>
      <c r="K72" s="23">
        <v>0</v>
      </c>
      <c r="L72" s="24">
        <v>0</v>
      </c>
      <c r="M72" s="25">
        <v>3.2</v>
      </c>
      <c r="N72" s="26">
        <v>8000</v>
      </c>
      <c r="O72" s="27">
        <v>8</v>
      </c>
      <c r="P72" s="28">
        <f t="shared" si="6"/>
        <v>2</v>
      </c>
      <c r="Q72" s="29">
        <f t="shared" si="7"/>
        <v>5000</v>
      </c>
      <c r="R72" s="30">
        <v>5</v>
      </c>
      <c r="S72" s="19">
        <v>0</v>
      </c>
      <c r="T72" s="23">
        <v>0</v>
      </c>
      <c r="U72" s="24">
        <v>0</v>
      </c>
      <c r="V72" s="31">
        <f t="shared" si="8"/>
        <v>5.6</v>
      </c>
      <c r="W72" s="32">
        <v>14000</v>
      </c>
      <c r="X72" s="30">
        <v>14</v>
      </c>
      <c r="Y72" s="19">
        <v>0</v>
      </c>
      <c r="Z72" s="23">
        <v>0</v>
      </c>
      <c r="AA72" s="24">
        <v>0</v>
      </c>
      <c r="AB72" s="33">
        <v>0</v>
      </c>
      <c r="AC72" s="34">
        <v>0</v>
      </c>
      <c r="AD72" s="35">
        <v>0</v>
      </c>
      <c r="AE72" s="36">
        <v>0</v>
      </c>
      <c r="AF72" s="23">
        <v>0</v>
      </c>
      <c r="AG72" s="24">
        <v>0</v>
      </c>
      <c r="AH72" s="33">
        <v>0</v>
      </c>
      <c r="AI72" s="37">
        <v>0</v>
      </c>
      <c r="AJ72" s="35">
        <v>0</v>
      </c>
      <c r="AK72" s="36">
        <v>0</v>
      </c>
      <c r="AL72" s="38">
        <v>0</v>
      </c>
      <c r="AM72" s="35">
        <v>0</v>
      </c>
      <c r="AN72" s="19">
        <v>0</v>
      </c>
      <c r="AO72" s="23">
        <v>0</v>
      </c>
      <c r="AP72" s="24">
        <v>0</v>
      </c>
      <c r="AQ72" s="31">
        <f t="shared" si="9"/>
        <v>10.8</v>
      </c>
      <c r="AR72" s="32">
        <f t="shared" si="9"/>
        <v>27000</v>
      </c>
      <c r="AS72" s="30">
        <v>14</v>
      </c>
    </row>
    <row r="73" spans="1:45" ht="16" x14ac:dyDescent="0.2">
      <c r="A73" s="19">
        <v>70</v>
      </c>
      <c r="B73" s="21" t="s">
        <v>86</v>
      </c>
      <c r="C73" s="20" t="s">
        <v>96</v>
      </c>
      <c r="D73" s="345"/>
      <c r="E73" s="22">
        <v>9.6</v>
      </c>
      <c r="F73" s="23">
        <f t="shared" si="5"/>
        <v>24000</v>
      </c>
      <c r="G73" s="19">
        <v>0</v>
      </c>
      <c r="H73" s="23">
        <v>0</v>
      </c>
      <c r="I73" s="24">
        <v>0</v>
      </c>
      <c r="J73" s="19">
        <v>0</v>
      </c>
      <c r="K73" s="23">
        <v>0</v>
      </c>
      <c r="L73" s="24">
        <v>0</v>
      </c>
      <c r="M73" s="25">
        <v>3.2</v>
      </c>
      <c r="N73" s="26">
        <v>8000</v>
      </c>
      <c r="O73" s="27">
        <v>8</v>
      </c>
      <c r="P73" s="28">
        <f t="shared" si="6"/>
        <v>2.4</v>
      </c>
      <c r="Q73" s="29">
        <f t="shared" si="7"/>
        <v>6000</v>
      </c>
      <c r="R73" s="30">
        <v>6</v>
      </c>
      <c r="S73" s="19">
        <v>0</v>
      </c>
      <c r="T73" s="23">
        <v>0</v>
      </c>
      <c r="U73" s="24">
        <v>0</v>
      </c>
      <c r="V73" s="31">
        <f t="shared" si="8"/>
        <v>5.2</v>
      </c>
      <c r="W73" s="32">
        <v>13000</v>
      </c>
      <c r="X73" s="30">
        <v>13</v>
      </c>
      <c r="Y73" s="19">
        <v>0</v>
      </c>
      <c r="Z73" s="23">
        <v>0</v>
      </c>
      <c r="AA73" s="24">
        <v>0</v>
      </c>
      <c r="AB73" s="33">
        <v>0</v>
      </c>
      <c r="AC73" s="34">
        <v>0</v>
      </c>
      <c r="AD73" s="35">
        <v>0</v>
      </c>
      <c r="AE73" s="36">
        <v>0</v>
      </c>
      <c r="AF73" s="23">
        <v>0</v>
      </c>
      <c r="AG73" s="24">
        <v>0</v>
      </c>
      <c r="AH73" s="33">
        <v>0</v>
      </c>
      <c r="AI73" s="37">
        <v>0</v>
      </c>
      <c r="AJ73" s="35">
        <v>0</v>
      </c>
      <c r="AK73" s="36">
        <v>0</v>
      </c>
      <c r="AL73" s="38">
        <v>0</v>
      </c>
      <c r="AM73" s="35">
        <v>0</v>
      </c>
      <c r="AN73" s="19">
        <v>0</v>
      </c>
      <c r="AO73" s="23">
        <v>0</v>
      </c>
      <c r="AP73" s="24">
        <v>0</v>
      </c>
      <c r="AQ73" s="31">
        <f t="shared" si="9"/>
        <v>10.8</v>
      </c>
      <c r="AR73" s="32">
        <f t="shared" si="9"/>
        <v>27000</v>
      </c>
      <c r="AS73" s="30">
        <v>14</v>
      </c>
    </row>
    <row r="74" spans="1:45" ht="16" x14ac:dyDescent="0.2">
      <c r="A74" s="19">
        <v>71</v>
      </c>
      <c r="B74" s="21" t="s">
        <v>86</v>
      </c>
      <c r="C74" s="20" t="s">
        <v>97</v>
      </c>
      <c r="D74" s="345"/>
      <c r="E74" s="22">
        <v>22.000000000000004</v>
      </c>
      <c r="F74" s="23">
        <f t="shared" si="5"/>
        <v>55000.000000000007</v>
      </c>
      <c r="G74" s="19">
        <v>0</v>
      </c>
      <c r="H74" s="23">
        <v>0</v>
      </c>
      <c r="I74" s="24">
        <v>0</v>
      </c>
      <c r="J74" s="19">
        <v>0</v>
      </c>
      <c r="K74" s="23">
        <v>0</v>
      </c>
      <c r="L74" s="24">
        <v>0</v>
      </c>
      <c r="M74" s="25">
        <v>6.8</v>
      </c>
      <c r="N74" s="26">
        <v>17000</v>
      </c>
      <c r="O74" s="27">
        <v>17</v>
      </c>
      <c r="P74" s="28">
        <f t="shared" si="6"/>
        <v>3.2</v>
      </c>
      <c r="Q74" s="29">
        <f t="shared" si="7"/>
        <v>8000</v>
      </c>
      <c r="R74" s="30">
        <v>8</v>
      </c>
      <c r="S74" s="19">
        <v>0</v>
      </c>
      <c r="T74" s="23">
        <v>0</v>
      </c>
      <c r="U74" s="24">
        <v>0</v>
      </c>
      <c r="V74" s="31">
        <f t="shared" si="8"/>
        <v>10</v>
      </c>
      <c r="W74" s="32">
        <v>25000</v>
      </c>
      <c r="X74" s="30">
        <v>25</v>
      </c>
      <c r="Y74" s="19">
        <v>0</v>
      </c>
      <c r="Z74" s="23">
        <v>0</v>
      </c>
      <c r="AA74" s="24">
        <v>0</v>
      </c>
      <c r="AB74" s="33">
        <v>0</v>
      </c>
      <c r="AC74" s="34">
        <v>0</v>
      </c>
      <c r="AD74" s="35">
        <v>0</v>
      </c>
      <c r="AE74" s="36">
        <v>0</v>
      </c>
      <c r="AF74" s="23">
        <v>0</v>
      </c>
      <c r="AG74" s="24">
        <v>0</v>
      </c>
      <c r="AH74" s="33">
        <v>0</v>
      </c>
      <c r="AI74" s="37">
        <v>0</v>
      </c>
      <c r="AJ74" s="35">
        <v>0</v>
      </c>
      <c r="AK74" s="36">
        <v>0</v>
      </c>
      <c r="AL74" s="38">
        <v>0</v>
      </c>
      <c r="AM74" s="35">
        <v>0</v>
      </c>
      <c r="AN74" s="19">
        <v>0</v>
      </c>
      <c r="AO74" s="23">
        <v>0</v>
      </c>
      <c r="AP74" s="24">
        <v>0</v>
      </c>
      <c r="AQ74" s="31">
        <f t="shared" si="9"/>
        <v>20</v>
      </c>
      <c r="AR74" s="32">
        <f t="shared" si="9"/>
        <v>50000</v>
      </c>
      <c r="AS74" s="30">
        <v>25</v>
      </c>
    </row>
    <row r="75" spans="1:45" ht="16" x14ac:dyDescent="0.2">
      <c r="A75" s="19">
        <v>72</v>
      </c>
      <c r="B75" s="21" t="s">
        <v>86</v>
      </c>
      <c r="C75" s="20" t="s">
        <v>98</v>
      </c>
      <c r="D75" s="345"/>
      <c r="E75" s="22">
        <v>18.999999999999996</v>
      </c>
      <c r="F75" s="23">
        <f t="shared" si="5"/>
        <v>47499.999999999993</v>
      </c>
      <c r="G75" s="19">
        <v>0</v>
      </c>
      <c r="H75" s="23">
        <v>0</v>
      </c>
      <c r="I75" s="24">
        <v>0</v>
      </c>
      <c r="J75" s="19">
        <v>0</v>
      </c>
      <c r="K75" s="23">
        <v>0</v>
      </c>
      <c r="L75" s="24">
        <v>0</v>
      </c>
      <c r="M75" s="25">
        <v>6.8</v>
      </c>
      <c r="N75" s="26">
        <v>17000</v>
      </c>
      <c r="O75" s="27">
        <v>17</v>
      </c>
      <c r="P75" s="28">
        <f t="shared" si="6"/>
        <v>1.2</v>
      </c>
      <c r="Q75" s="29">
        <f t="shared" si="7"/>
        <v>3000</v>
      </c>
      <c r="R75" s="30">
        <v>3</v>
      </c>
      <c r="S75" s="19">
        <v>0</v>
      </c>
      <c r="T75" s="23">
        <v>0</v>
      </c>
      <c r="U75" s="24">
        <v>0</v>
      </c>
      <c r="V75" s="31">
        <f t="shared" si="8"/>
        <v>7.2</v>
      </c>
      <c r="W75" s="32">
        <v>18000</v>
      </c>
      <c r="X75" s="30">
        <v>18</v>
      </c>
      <c r="Y75" s="19">
        <v>0</v>
      </c>
      <c r="Z75" s="23">
        <v>0</v>
      </c>
      <c r="AA75" s="24">
        <v>0</v>
      </c>
      <c r="AB75" s="33">
        <v>0</v>
      </c>
      <c r="AC75" s="34">
        <v>0</v>
      </c>
      <c r="AD75" s="35">
        <v>0</v>
      </c>
      <c r="AE75" s="36">
        <v>0</v>
      </c>
      <c r="AF75" s="23">
        <v>0</v>
      </c>
      <c r="AG75" s="24">
        <v>0</v>
      </c>
      <c r="AH75" s="33">
        <v>0</v>
      </c>
      <c r="AI75" s="37">
        <v>0</v>
      </c>
      <c r="AJ75" s="35">
        <v>0</v>
      </c>
      <c r="AK75" s="36">
        <v>0</v>
      </c>
      <c r="AL75" s="38">
        <v>0</v>
      </c>
      <c r="AM75" s="35">
        <v>0</v>
      </c>
      <c r="AN75" s="19">
        <v>0</v>
      </c>
      <c r="AO75" s="23">
        <v>0</v>
      </c>
      <c r="AP75" s="24">
        <v>0</v>
      </c>
      <c r="AQ75" s="31">
        <f t="shared" si="9"/>
        <v>15.2</v>
      </c>
      <c r="AR75" s="32">
        <f t="shared" si="9"/>
        <v>38000</v>
      </c>
      <c r="AS75" s="30">
        <v>20</v>
      </c>
    </row>
    <row r="76" spans="1:45" ht="16" x14ac:dyDescent="0.2">
      <c r="A76" s="19">
        <v>73</v>
      </c>
      <c r="B76" s="21" t="s">
        <v>86</v>
      </c>
      <c r="C76" s="20" t="s">
        <v>99</v>
      </c>
      <c r="D76" s="345"/>
      <c r="E76" s="22">
        <v>18.600000000000001</v>
      </c>
      <c r="F76" s="23">
        <f t="shared" si="5"/>
        <v>46500</v>
      </c>
      <c r="G76" s="19">
        <v>0</v>
      </c>
      <c r="H76" s="23">
        <v>0</v>
      </c>
      <c r="I76" s="24">
        <v>0</v>
      </c>
      <c r="J76" s="19">
        <v>0</v>
      </c>
      <c r="K76" s="23">
        <v>0</v>
      </c>
      <c r="L76" s="24">
        <v>0</v>
      </c>
      <c r="M76" s="25">
        <v>6.8</v>
      </c>
      <c r="N76" s="26">
        <v>17000</v>
      </c>
      <c r="O76" s="27">
        <v>17</v>
      </c>
      <c r="P76" s="28">
        <f t="shared" si="6"/>
        <v>0.4</v>
      </c>
      <c r="Q76" s="29">
        <f t="shared" si="7"/>
        <v>1000</v>
      </c>
      <c r="R76" s="30">
        <v>1</v>
      </c>
      <c r="S76" s="19">
        <v>0</v>
      </c>
      <c r="T76" s="23">
        <v>0</v>
      </c>
      <c r="U76" s="24">
        <v>0</v>
      </c>
      <c r="V76" s="31">
        <f t="shared" si="8"/>
        <v>6.8</v>
      </c>
      <c r="W76" s="32">
        <v>17000</v>
      </c>
      <c r="X76" s="30">
        <v>17</v>
      </c>
      <c r="Y76" s="19">
        <v>0</v>
      </c>
      <c r="Z76" s="23">
        <v>0</v>
      </c>
      <c r="AA76" s="24">
        <v>0</v>
      </c>
      <c r="AB76" s="33">
        <v>0</v>
      </c>
      <c r="AC76" s="34">
        <v>0</v>
      </c>
      <c r="AD76" s="35">
        <v>0</v>
      </c>
      <c r="AE76" s="36">
        <v>0</v>
      </c>
      <c r="AF76" s="23">
        <v>0</v>
      </c>
      <c r="AG76" s="24">
        <v>0</v>
      </c>
      <c r="AH76" s="33">
        <v>0</v>
      </c>
      <c r="AI76" s="37">
        <v>0</v>
      </c>
      <c r="AJ76" s="35">
        <v>0</v>
      </c>
      <c r="AK76" s="36">
        <v>0</v>
      </c>
      <c r="AL76" s="38">
        <v>0</v>
      </c>
      <c r="AM76" s="35">
        <v>0</v>
      </c>
      <c r="AN76" s="19">
        <v>0</v>
      </c>
      <c r="AO76" s="23">
        <v>0</v>
      </c>
      <c r="AP76" s="24">
        <v>0</v>
      </c>
      <c r="AQ76" s="31">
        <f t="shared" si="9"/>
        <v>14</v>
      </c>
      <c r="AR76" s="32">
        <f t="shared" si="9"/>
        <v>35000</v>
      </c>
      <c r="AS76" s="30">
        <v>18</v>
      </c>
    </row>
    <row r="77" spans="1:45" ht="16" x14ac:dyDescent="0.2">
      <c r="A77" s="19">
        <v>74</v>
      </c>
      <c r="B77" s="21" t="s">
        <v>100</v>
      </c>
      <c r="C77" s="20" t="s">
        <v>101</v>
      </c>
      <c r="D77" s="345"/>
      <c r="E77" s="22">
        <v>15.399999999999999</v>
      </c>
      <c r="F77" s="23">
        <f t="shared" si="5"/>
        <v>38500</v>
      </c>
      <c r="G77" s="19">
        <v>0</v>
      </c>
      <c r="H77" s="23">
        <v>0</v>
      </c>
      <c r="I77" s="24">
        <v>0</v>
      </c>
      <c r="J77" s="19">
        <v>0</v>
      </c>
      <c r="K77" s="23">
        <v>0</v>
      </c>
      <c r="L77" s="24">
        <v>0</v>
      </c>
      <c r="M77" s="25">
        <v>2</v>
      </c>
      <c r="N77" s="26">
        <v>5000</v>
      </c>
      <c r="O77" s="27">
        <v>5</v>
      </c>
      <c r="P77" s="28">
        <f t="shared" si="6"/>
        <v>1.6</v>
      </c>
      <c r="Q77" s="29">
        <f t="shared" si="7"/>
        <v>4000</v>
      </c>
      <c r="R77" s="30">
        <v>4</v>
      </c>
      <c r="S77" s="19">
        <v>0</v>
      </c>
      <c r="T77" s="23">
        <v>0</v>
      </c>
      <c r="U77" s="24">
        <v>0</v>
      </c>
      <c r="V77" s="31">
        <f t="shared" si="8"/>
        <v>3.6</v>
      </c>
      <c r="W77" s="32">
        <v>9000</v>
      </c>
      <c r="X77" s="30">
        <v>9</v>
      </c>
      <c r="Y77" s="19">
        <v>0</v>
      </c>
      <c r="Z77" s="23">
        <v>0</v>
      </c>
      <c r="AA77" s="24">
        <v>0</v>
      </c>
      <c r="AB77" s="33">
        <v>0</v>
      </c>
      <c r="AC77" s="34">
        <v>0</v>
      </c>
      <c r="AD77" s="35">
        <v>0</v>
      </c>
      <c r="AE77" s="36">
        <v>0</v>
      </c>
      <c r="AF77" s="23">
        <v>0</v>
      </c>
      <c r="AG77" s="24">
        <v>0</v>
      </c>
      <c r="AH77" s="33">
        <v>0</v>
      </c>
      <c r="AI77" s="37">
        <v>0</v>
      </c>
      <c r="AJ77" s="35">
        <v>0</v>
      </c>
      <c r="AK77" s="36">
        <v>0</v>
      </c>
      <c r="AL77" s="38">
        <v>0</v>
      </c>
      <c r="AM77" s="35">
        <v>0</v>
      </c>
      <c r="AN77" s="19">
        <v>0</v>
      </c>
      <c r="AO77" s="23">
        <v>0</v>
      </c>
      <c r="AP77" s="24">
        <v>0</v>
      </c>
      <c r="AQ77" s="31">
        <f t="shared" si="9"/>
        <v>7.2</v>
      </c>
      <c r="AR77" s="32">
        <f t="shared" si="9"/>
        <v>18000</v>
      </c>
      <c r="AS77" s="30">
        <v>9</v>
      </c>
    </row>
    <row r="78" spans="1:45" ht="16" x14ac:dyDescent="0.2">
      <c r="A78" s="19">
        <v>75</v>
      </c>
      <c r="B78" s="21" t="s">
        <v>100</v>
      </c>
      <c r="C78" s="20" t="s">
        <v>102</v>
      </c>
      <c r="D78" s="345"/>
      <c r="E78" s="22">
        <v>9</v>
      </c>
      <c r="F78" s="23">
        <f t="shared" si="5"/>
        <v>22500</v>
      </c>
      <c r="G78" s="19">
        <v>0</v>
      </c>
      <c r="H78" s="23">
        <v>0</v>
      </c>
      <c r="I78" s="24">
        <v>0</v>
      </c>
      <c r="J78" s="19">
        <v>0</v>
      </c>
      <c r="K78" s="23">
        <v>0</v>
      </c>
      <c r="L78" s="24">
        <v>0</v>
      </c>
      <c r="M78" s="25">
        <v>2.4</v>
      </c>
      <c r="N78" s="26">
        <v>6000</v>
      </c>
      <c r="O78" s="27">
        <v>6</v>
      </c>
      <c r="P78" s="28">
        <f t="shared" si="6"/>
        <v>1.6</v>
      </c>
      <c r="Q78" s="29">
        <f t="shared" si="7"/>
        <v>4000</v>
      </c>
      <c r="R78" s="30">
        <v>4</v>
      </c>
      <c r="S78" s="19">
        <v>0</v>
      </c>
      <c r="T78" s="23">
        <v>0</v>
      </c>
      <c r="U78" s="24">
        <v>0</v>
      </c>
      <c r="V78" s="31">
        <f t="shared" si="8"/>
        <v>4.4000000000000004</v>
      </c>
      <c r="W78" s="32">
        <v>11000</v>
      </c>
      <c r="X78" s="30">
        <v>11</v>
      </c>
      <c r="Y78" s="19">
        <v>0</v>
      </c>
      <c r="Z78" s="23">
        <v>0</v>
      </c>
      <c r="AA78" s="24">
        <v>0</v>
      </c>
      <c r="AB78" s="33">
        <v>0</v>
      </c>
      <c r="AC78" s="34">
        <v>0</v>
      </c>
      <c r="AD78" s="35">
        <v>0</v>
      </c>
      <c r="AE78" s="36">
        <v>0</v>
      </c>
      <c r="AF78" s="23">
        <v>0</v>
      </c>
      <c r="AG78" s="24">
        <v>0</v>
      </c>
      <c r="AH78" s="33">
        <v>0</v>
      </c>
      <c r="AI78" s="37">
        <v>0</v>
      </c>
      <c r="AJ78" s="35">
        <v>0</v>
      </c>
      <c r="AK78" s="36">
        <v>0</v>
      </c>
      <c r="AL78" s="38">
        <v>0</v>
      </c>
      <c r="AM78" s="35">
        <v>0</v>
      </c>
      <c r="AN78" s="19">
        <v>0</v>
      </c>
      <c r="AO78" s="23">
        <v>0</v>
      </c>
      <c r="AP78" s="24">
        <v>0</v>
      </c>
      <c r="AQ78" s="31">
        <f t="shared" si="9"/>
        <v>8.4</v>
      </c>
      <c r="AR78" s="32">
        <f t="shared" si="9"/>
        <v>21000</v>
      </c>
      <c r="AS78" s="30">
        <v>11</v>
      </c>
    </row>
    <row r="79" spans="1:45" ht="16" x14ac:dyDescent="0.2">
      <c r="A79" s="19">
        <v>76</v>
      </c>
      <c r="B79" s="21" t="s">
        <v>100</v>
      </c>
      <c r="C79" s="20" t="s">
        <v>103</v>
      </c>
      <c r="D79" s="345"/>
      <c r="E79" s="22">
        <v>6</v>
      </c>
      <c r="F79" s="23">
        <f t="shared" si="5"/>
        <v>15000</v>
      </c>
      <c r="G79" s="19">
        <v>0</v>
      </c>
      <c r="H79" s="23">
        <v>0</v>
      </c>
      <c r="I79" s="24">
        <v>0</v>
      </c>
      <c r="J79" s="19">
        <v>0</v>
      </c>
      <c r="K79" s="23">
        <v>0</v>
      </c>
      <c r="L79" s="24">
        <v>0</v>
      </c>
      <c r="M79" s="25">
        <v>2</v>
      </c>
      <c r="N79" s="26">
        <v>5000</v>
      </c>
      <c r="O79" s="27">
        <v>5</v>
      </c>
      <c r="P79" s="28">
        <f t="shared" si="6"/>
        <v>0.4</v>
      </c>
      <c r="Q79" s="29">
        <f t="shared" si="7"/>
        <v>1000</v>
      </c>
      <c r="R79" s="30">
        <v>1</v>
      </c>
      <c r="S79" s="19">
        <v>0</v>
      </c>
      <c r="T79" s="23">
        <v>0</v>
      </c>
      <c r="U79" s="24">
        <v>0</v>
      </c>
      <c r="V79" s="31">
        <f t="shared" si="8"/>
        <v>2.4</v>
      </c>
      <c r="W79" s="32">
        <v>6000</v>
      </c>
      <c r="X79" s="30">
        <v>6</v>
      </c>
      <c r="Y79" s="19">
        <v>0</v>
      </c>
      <c r="Z79" s="23">
        <v>0</v>
      </c>
      <c r="AA79" s="24">
        <v>0</v>
      </c>
      <c r="AB79" s="33">
        <v>0</v>
      </c>
      <c r="AC79" s="34">
        <v>0</v>
      </c>
      <c r="AD79" s="35">
        <v>0</v>
      </c>
      <c r="AE79" s="36">
        <v>0</v>
      </c>
      <c r="AF79" s="23">
        <v>0</v>
      </c>
      <c r="AG79" s="24">
        <v>0</v>
      </c>
      <c r="AH79" s="33">
        <v>0</v>
      </c>
      <c r="AI79" s="37">
        <v>0</v>
      </c>
      <c r="AJ79" s="35">
        <v>0</v>
      </c>
      <c r="AK79" s="36">
        <v>0</v>
      </c>
      <c r="AL79" s="38">
        <v>0</v>
      </c>
      <c r="AM79" s="35">
        <v>0</v>
      </c>
      <c r="AN79" s="19">
        <v>0</v>
      </c>
      <c r="AO79" s="23">
        <v>0</v>
      </c>
      <c r="AP79" s="24">
        <v>0</v>
      </c>
      <c r="AQ79" s="31">
        <f t="shared" si="9"/>
        <v>4.8</v>
      </c>
      <c r="AR79" s="32">
        <f t="shared" si="9"/>
        <v>12000</v>
      </c>
      <c r="AS79" s="30">
        <v>6</v>
      </c>
    </row>
    <row r="80" spans="1:45" ht="16" x14ac:dyDescent="0.2">
      <c r="A80" s="19">
        <v>77</v>
      </c>
      <c r="B80" s="21" t="s">
        <v>100</v>
      </c>
      <c r="C80" s="20" t="s">
        <v>104</v>
      </c>
      <c r="D80" s="345"/>
      <c r="E80" s="22">
        <v>9</v>
      </c>
      <c r="F80" s="23">
        <f t="shared" si="5"/>
        <v>22500</v>
      </c>
      <c r="G80" s="19">
        <v>0</v>
      </c>
      <c r="H80" s="23">
        <v>0</v>
      </c>
      <c r="I80" s="24">
        <v>0</v>
      </c>
      <c r="J80" s="19">
        <v>0</v>
      </c>
      <c r="K80" s="23">
        <v>0</v>
      </c>
      <c r="L80" s="24">
        <v>0</v>
      </c>
      <c r="M80" s="25">
        <v>3.6</v>
      </c>
      <c r="N80" s="26">
        <v>9000</v>
      </c>
      <c r="O80" s="27">
        <v>9</v>
      </c>
      <c r="P80" s="28">
        <f t="shared" si="6"/>
        <v>1.6</v>
      </c>
      <c r="Q80" s="29">
        <f t="shared" si="7"/>
        <v>4000</v>
      </c>
      <c r="R80" s="30">
        <v>4</v>
      </c>
      <c r="S80" s="19">
        <v>0</v>
      </c>
      <c r="T80" s="23">
        <v>0</v>
      </c>
      <c r="U80" s="24">
        <v>0</v>
      </c>
      <c r="V80" s="31">
        <f t="shared" si="8"/>
        <v>5.2</v>
      </c>
      <c r="W80" s="32">
        <v>13000</v>
      </c>
      <c r="X80" s="30">
        <v>13</v>
      </c>
      <c r="Y80" s="19">
        <v>0</v>
      </c>
      <c r="Z80" s="23">
        <v>0</v>
      </c>
      <c r="AA80" s="24">
        <v>0</v>
      </c>
      <c r="AB80" s="33">
        <v>0</v>
      </c>
      <c r="AC80" s="34">
        <v>0</v>
      </c>
      <c r="AD80" s="35">
        <v>0</v>
      </c>
      <c r="AE80" s="36">
        <v>0</v>
      </c>
      <c r="AF80" s="23">
        <v>0</v>
      </c>
      <c r="AG80" s="24">
        <v>0</v>
      </c>
      <c r="AH80" s="33">
        <v>0</v>
      </c>
      <c r="AI80" s="37">
        <v>0</v>
      </c>
      <c r="AJ80" s="35">
        <v>0</v>
      </c>
      <c r="AK80" s="36">
        <v>0</v>
      </c>
      <c r="AL80" s="38">
        <v>0</v>
      </c>
      <c r="AM80" s="35">
        <v>0</v>
      </c>
      <c r="AN80" s="19">
        <v>0</v>
      </c>
      <c r="AO80" s="23">
        <v>0</v>
      </c>
      <c r="AP80" s="24">
        <v>0</v>
      </c>
      <c r="AQ80" s="31">
        <f t="shared" si="9"/>
        <v>10.4</v>
      </c>
      <c r="AR80" s="32">
        <f t="shared" si="9"/>
        <v>26000</v>
      </c>
      <c r="AS80" s="30">
        <v>13</v>
      </c>
    </row>
    <row r="81" spans="1:45" ht="16" x14ac:dyDescent="0.2">
      <c r="A81" s="19">
        <v>78</v>
      </c>
      <c r="B81" s="21" t="s">
        <v>100</v>
      </c>
      <c r="C81" s="20" t="s">
        <v>100</v>
      </c>
      <c r="D81" s="345"/>
      <c r="E81" s="22">
        <v>20.400000000000002</v>
      </c>
      <c r="F81" s="23">
        <f t="shared" si="5"/>
        <v>51000.000000000007</v>
      </c>
      <c r="G81" s="19">
        <v>0</v>
      </c>
      <c r="H81" s="23">
        <v>0</v>
      </c>
      <c r="I81" s="24">
        <v>0</v>
      </c>
      <c r="J81" s="19">
        <v>0</v>
      </c>
      <c r="K81" s="23">
        <v>0</v>
      </c>
      <c r="L81" s="24">
        <v>0</v>
      </c>
      <c r="M81" s="25">
        <v>6.8</v>
      </c>
      <c r="N81" s="26">
        <v>17000</v>
      </c>
      <c r="O81" s="27">
        <v>17</v>
      </c>
      <c r="P81" s="28">
        <f t="shared" si="6"/>
        <v>2</v>
      </c>
      <c r="Q81" s="29">
        <f t="shared" si="7"/>
        <v>5000</v>
      </c>
      <c r="R81" s="30">
        <v>5</v>
      </c>
      <c r="S81" s="19">
        <v>0</v>
      </c>
      <c r="T81" s="23">
        <v>0</v>
      </c>
      <c r="U81" s="24">
        <v>0</v>
      </c>
      <c r="V81" s="31">
        <f t="shared" si="8"/>
        <v>8.8000000000000007</v>
      </c>
      <c r="W81" s="32">
        <v>22000</v>
      </c>
      <c r="X81" s="30">
        <v>22</v>
      </c>
      <c r="Y81" s="19">
        <v>0</v>
      </c>
      <c r="Z81" s="23">
        <v>0</v>
      </c>
      <c r="AA81" s="24">
        <v>0</v>
      </c>
      <c r="AB81" s="33">
        <v>0</v>
      </c>
      <c r="AC81" s="34">
        <v>0</v>
      </c>
      <c r="AD81" s="35">
        <v>0</v>
      </c>
      <c r="AE81" s="36">
        <v>0</v>
      </c>
      <c r="AF81" s="23">
        <v>0</v>
      </c>
      <c r="AG81" s="24">
        <v>0</v>
      </c>
      <c r="AH81" s="33">
        <v>0</v>
      </c>
      <c r="AI81" s="37">
        <v>0</v>
      </c>
      <c r="AJ81" s="35">
        <v>0</v>
      </c>
      <c r="AK81" s="36">
        <v>0</v>
      </c>
      <c r="AL81" s="38">
        <v>0</v>
      </c>
      <c r="AM81" s="35">
        <v>0</v>
      </c>
      <c r="AN81" s="19">
        <v>0</v>
      </c>
      <c r="AO81" s="23">
        <v>0</v>
      </c>
      <c r="AP81" s="24">
        <v>0</v>
      </c>
      <c r="AQ81" s="31">
        <f t="shared" si="9"/>
        <v>17.600000000000001</v>
      </c>
      <c r="AR81" s="32">
        <f t="shared" si="9"/>
        <v>44000</v>
      </c>
      <c r="AS81" s="30">
        <v>22</v>
      </c>
    </row>
    <row r="82" spans="1:45" ht="16" x14ac:dyDescent="0.2">
      <c r="A82" s="19">
        <v>79</v>
      </c>
      <c r="B82" s="21" t="s">
        <v>100</v>
      </c>
      <c r="C82" s="20" t="s">
        <v>105</v>
      </c>
      <c r="D82" s="345"/>
      <c r="E82" s="22">
        <v>17.600000000000001</v>
      </c>
      <c r="F82" s="23">
        <f t="shared" si="5"/>
        <v>44000</v>
      </c>
      <c r="G82" s="19">
        <v>0</v>
      </c>
      <c r="H82" s="23">
        <v>0</v>
      </c>
      <c r="I82" s="24">
        <v>0</v>
      </c>
      <c r="J82" s="19">
        <v>0</v>
      </c>
      <c r="K82" s="23">
        <v>0</v>
      </c>
      <c r="L82" s="24">
        <v>0</v>
      </c>
      <c r="M82" s="25">
        <v>4.8</v>
      </c>
      <c r="N82" s="26">
        <v>12000</v>
      </c>
      <c r="O82" s="27">
        <v>12</v>
      </c>
      <c r="P82" s="28">
        <f t="shared" si="6"/>
        <v>1.6</v>
      </c>
      <c r="Q82" s="29">
        <f t="shared" si="7"/>
        <v>4000</v>
      </c>
      <c r="R82" s="30">
        <v>4</v>
      </c>
      <c r="S82" s="19">
        <v>0</v>
      </c>
      <c r="T82" s="23">
        <v>0</v>
      </c>
      <c r="U82" s="24">
        <v>0</v>
      </c>
      <c r="V82" s="31">
        <f t="shared" si="8"/>
        <v>6.4</v>
      </c>
      <c r="W82" s="32">
        <v>16000</v>
      </c>
      <c r="X82" s="30">
        <v>16</v>
      </c>
      <c r="Y82" s="19">
        <v>0</v>
      </c>
      <c r="Z82" s="23">
        <v>0</v>
      </c>
      <c r="AA82" s="24">
        <v>0</v>
      </c>
      <c r="AB82" s="33">
        <v>0</v>
      </c>
      <c r="AC82" s="34">
        <v>0</v>
      </c>
      <c r="AD82" s="35">
        <v>0</v>
      </c>
      <c r="AE82" s="36">
        <v>0</v>
      </c>
      <c r="AF82" s="23">
        <v>0</v>
      </c>
      <c r="AG82" s="24">
        <v>0</v>
      </c>
      <c r="AH82" s="33">
        <v>0</v>
      </c>
      <c r="AI82" s="37">
        <v>0</v>
      </c>
      <c r="AJ82" s="35">
        <v>0</v>
      </c>
      <c r="AK82" s="36">
        <v>0</v>
      </c>
      <c r="AL82" s="38">
        <v>0</v>
      </c>
      <c r="AM82" s="35">
        <v>0</v>
      </c>
      <c r="AN82" s="19">
        <v>0</v>
      </c>
      <c r="AO82" s="23">
        <v>0</v>
      </c>
      <c r="AP82" s="24">
        <v>0</v>
      </c>
      <c r="AQ82" s="31">
        <f t="shared" si="9"/>
        <v>12.8</v>
      </c>
      <c r="AR82" s="32">
        <f t="shared" si="9"/>
        <v>32000</v>
      </c>
      <c r="AS82" s="30">
        <v>18</v>
      </c>
    </row>
    <row r="83" spans="1:45" ht="16" x14ac:dyDescent="0.2">
      <c r="A83" s="19">
        <v>80</v>
      </c>
      <c r="B83" s="21" t="s">
        <v>100</v>
      </c>
      <c r="C83" s="20" t="s">
        <v>106</v>
      </c>
      <c r="D83" s="345"/>
      <c r="E83" s="22">
        <v>14.4</v>
      </c>
      <c r="F83" s="23">
        <f t="shared" si="5"/>
        <v>36000</v>
      </c>
      <c r="G83" s="19">
        <v>0</v>
      </c>
      <c r="H83" s="23">
        <v>0</v>
      </c>
      <c r="I83" s="24">
        <v>0</v>
      </c>
      <c r="J83" s="19">
        <v>0</v>
      </c>
      <c r="K83" s="23">
        <v>0</v>
      </c>
      <c r="L83" s="24">
        <v>0</v>
      </c>
      <c r="M83" s="25">
        <v>4</v>
      </c>
      <c r="N83" s="26">
        <v>10000</v>
      </c>
      <c r="O83" s="27">
        <v>10</v>
      </c>
      <c r="P83" s="28">
        <f t="shared" si="6"/>
        <v>0.8</v>
      </c>
      <c r="Q83" s="29">
        <f t="shared" si="7"/>
        <v>2000</v>
      </c>
      <c r="R83" s="30">
        <v>2</v>
      </c>
      <c r="S83" s="19">
        <v>0</v>
      </c>
      <c r="T83" s="23">
        <v>0</v>
      </c>
      <c r="U83" s="24">
        <v>0</v>
      </c>
      <c r="V83" s="31">
        <f t="shared" si="8"/>
        <v>5.2</v>
      </c>
      <c r="W83" s="32">
        <v>13000</v>
      </c>
      <c r="X83" s="30">
        <v>13</v>
      </c>
      <c r="Y83" s="19">
        <v>0</v>
      </c>
      <c r="Z83" s="23">
        <v>0</v>
      </c>
      <c r="AA83" s="24">
        <v>0</v>
      </c>
      <c r="AB83" s="33">
        <v>0</v>
      </c>
      <c r="AC83" s="34">
        <v>0</v>
      </c>
      <c r="AD83" s="35">
        <v>0</v>
      </c>
      <c r="AE83" s="36">
        <v>0</v>
      </c>
      <c r="AF83" s="23">
        <v>0</v>
      </c>
      <c r="AG83" s="24">
        <v>0</v>
      </c>
      <c r="AH83" s="33">
        <v>0</v>
      </c>
      <c r="AI83" s="37">
        <v>0</v>
      </c>
      <c r="AJ83" s="35">
        <v>0</v>
      </c>
      <c r="AK83" s="36">
        <v>0</v>
      </c>
      <c r="AL83" s="38">
        <v>0</v>
      </c>
      <c r="AM83" s="35">
        <v>0</v>
      </c>
      <c r="AN83" s="19">
        <v>0</v>
      </c>
      <c r="AO83" s="23">
        <v>0</v>
      </c>
      <c r="AP83" s="24">
        <v>0</v>
      </c>
      <c r="AQ83" s="31">
        <f t="shared" si="9"/>
        <v>10</v>
      </c>
      <c r="AR83" s="32">
        <f t="shared" si="9"/>
        <v>25000</v>
      </c>
      <c r="AS83" s="30">
        <v>13</v>
      </c>
    </row>
    <row r="84" spans="1:45" ht="16" x14ac:dyDescent="0.2">
      <c r="A84" s="19">
        <v>81</v>
      </c>
      <c r="B84" s="21" t="s">
        <v>100</v>
      </c>
      <c r="C84" s="20" t="s">
        <v>107</v>
      </c>
      <c r="D84" s="345"/>
      <c r="E84" s="22">
        <v>8</v>
      </c>
      <c r="F84" s="23">
        <f t="shared" si="5"/>
        <v>20000</v>
      </c>
      <c r="G84" s="19">
        <v>0</v>
      </c>
      <c r="H84" s="23">
        <v>0</v>
      </c>
      <c r="I84" s="24">
        <v>0</v>
      </c>
      <c r="J84" s="19">
        <v>0</v>
      </c>
      <c r="K84" s="23">
        <v>0</v>
      </c>
      <c r="L84" s="24">
        <v>0</v>
      </c>
      <c r="M84" s="25">
        <v>3.2</v>
      </c>
      <c r="N84" s="26">
        <v>8000</v>
      </c>
      <c r="O84" s="27">
        <v>8</v>
      </c>
      <c r="P84" s="28">
        <f t="shared" si="6"/>
        <v>2</v>
      </c>
      <c r="Q84" s="29">
        <f t="shared" si="7"/>
        <v>5000</v>
      </c>
      <c r="R84" s="30">
        <v>5</v>
      </c>
      <c r="S84" s="19">
        <v>0</v>
      </c>
      <c r="T84" s="23">
        <v>0</v>
      </c>
      <c r="U84" s="24">
        <v>0</v>
      </c>
      <c r="V84" s="31">
        <f t="shared" si="8"/>
        <v>5.2</v>
      </c>
      <c r="W84" s="32">
        <v>13000</v>
      </c>
      <c r="X84" s="30">
        <v>13</v>
      </c>
      <c r="Y84" s="19">
        <v>0</v>
      </c>
      <c r="Z84" s="23">
        <v>0</v>
      </c>
      <c r="AA84" s="24">
        <v>0</v>
      </c>
      <c r="AB84" s="33">
        <v>0</v>
      </c>
      <c r="AC84" s="34">
        <v>0</v>
      </c>
      <c r="AD84" s="35">
        <v>0</v>
      </c>
      <c r="AE84" s="36">
        <v>0</v>
      </c>
      <c r="AF84" s="23">
        <v>0</v>
      </c>
      <c r="AG84" s="24">
        <v>0</v>
      </c>
      <c r="AH84" s="33">
        <v>0</v>
      </c>
      <c r="AI84" s="37">
        <v>0</v>
      </c>
      <c r="AJ84" s="35">
        <v>0</v>
      </c>
      <c r="AK84" s="36">
        <v>0</v>
      </c>
      <c r="AL84" s="38">
        <v>0</v>
      </c>
      <c r="AM84" s="35">
        <v>0</v>
      </c>
      <c r="AN84" s="19">
        <v>0</v>
      </c>
      <c r="AO84" s="23">
        <v>0</v>
      </c>
      <c r="AP84" s="24">
        <v>0</v>
      </c>
      <c r="AQ84" s="31">
        <f t="shared" si="9"/>
        <v>10.4</v>
      </c>
      <c r="AR84" s="32">
        <f t="shared" si="9"/>
        <v>26000</v>
      </c>
      <c r="AS84" s="30">
        <v>13</v>
      </c>
    </row>
    <row r="85" spans="1:45" ht="16" x14ac:dyDescent="0.2">
      <c r="A85" s="19">
        <v>82</v>
      </c>
      <c r="B85" s="21" t="s">
        <v>100</v>
      </c>
      <c r="C85" s="20" t="s">
        <v>108</v>
      </c>
      <c r="D85" s="345"/>
      <c r="E85" s="22">
        <v>5</v>
      </c>
      <c r="F85" s="23">
        <f t="shared" si="5"/>
        <v>12500</v>
      </c>
      <c r="G85" s="19">
        <v>0</v>
      </c>
      <c r="H85" s="23">
        <v>0</v>
      </c>
      <c r="I85" s="24">
        <v>0</v>
      </c>
      <c r="J85" s="19">
        <v>0</v>
      </c>
      <c r="K85" s="23">
        <v>0</v>
      </c>
      <c r="L85" s="24">
        <v>0</v>
      </c>
      <c r="M85" s="25">
        <v>2</v>
      </c>
      <c r="N85" s="26">
        <v>5000</v>
      </c>
      <c r="O85" s="27">
        <v>5</v>
      </c>
      <c r="P85" s="28">
        <f t="shared" si="6"/>
        <v>1.2</v>
      </c>
      <c r="Q85" s="29">
        <f t="shared" si="7"/>
        <v>3000</v>
      </c>
      <c r="R85" s="30">
        <v>3</v>
      </c>
      <c r="S85" s="19">
        <v>0</v>
      </c>
      <c r="T85" s="23">
        <v>0</v>
      </c>
      <c r="U85" s="24">
        <v>0</v>
      </c>
      <c r="V85" s="31">
        <f t="shared" si="8"/>
        <v>3.2</v>
      </c>
      <c r="W85" s="32">
        <v>8000</v>
      </c>
      <c r="X85" s="30">
        <v>8</v>
      </c>
      <c r="Y85" s="19">
        <v>0</v>
      </c>
      <c r="Z85" s="23">
        <v>0</v>
      </c>
      <c r="AA85" s="24">
        <v>0</v>
      </c>
      <c r="AB85" s="33">
        <v>0</v>
      </c>
      <c r="AC85" s="34">
        <v>0</v>
      </c>
      <c r="AD85" s="35">
        <v>0</v>
      </c>
      <c r="AE85" s="36">
        <v>0</v>
      </c>
      <c r="AF85" s="23">
        <v>0</v>
      </c>
      <c r="AG85" s="24">
        <v>0</v>
      </c>
      <c r="AH85" s="33">
        <v>0</v>
      </c>
      <c r="AI85" s="37">
        <v>0</v>
      </c>
      <c r="AJ85" s="35">
        <v>0</v>
      </c>
      <c r="AK85" s="36">
        <v>0</v>
      </c>
      <c r="AL85" s="38">
        <v>0</v>
      </c>
      <c r="AM85" s="35">
        <v>0</v>
      </c>
      <c r="AN85" s="19">
        <v>0</v>
      </c>
      <c r="AO85" s="23">
        <v>0</v>
      </c>
      <c r="AP85" s="24">
        <v>0</v>
      </c>
      <c r="AQ85" s="31">
        <f t="shared" si="9"/>
        <v>6.4</v>
      </c>
      <c r="AR85" s="32">
        <f t="shared" si="9"/>
        <v>16000</v>
      </c>
      <c r="AS85" s="30">
        <v>8</v>
      </c>
    </row>
    <row r="86" spans="1:45" ht="16" x14ac:dyDescent="0.2">
      <c r="A86" s="19">
        <v>83</v>
      </c>
      <c r="B86" s="21" t="s">
        <v>100</v>
      </c>
      <c r="C86" s="20" t="s">
        <v>109</v>
      </c>
      <c r="D86" s="345"/>
      <c r="E86" s="22">
        <v>14.999999999999998</v>
      </c>
      <c r="F86" s="23">
        <f t="shared" si="5"/>
        <v>37499.999999999993</v>
      </c>
      <c r="G86" s="19">
        <v>0</v>
      </c>
      <c r="H86" s="23">
        <v>0</v>
      </c>
      <c r="I86" s="24">
        <v>0</v>
      </c>
      <c r="J86" s="19">
        <v>0</v>
      </c>
      <c r="K86" s="23">
        <v>0</v>
      </c>
      <c r="L86" s="24">
        <v>0</v>
      </c>
      <c r="M86" s="25">
        <v>4.4000000000000004</v>
      </c>
      <c r="N86" s="26">
        <v>11000</v>
      </c>
      <c r="O86" s="27">
        <v>11</v>
      </c>
      <c r="P86" s="28">
        <f t="shared" si="6"/>
        <v>2.8</v>
      </c>
      <c r="Q86" s="29">
        <f t="shared" si="7"/>
        <v>7000</v>
      </c>
      <c r="R86" s="30">
        <v>7</v>
      </c>
      <c r="S86" s="19">
        <v>0</v>
      </c>
      <c r="T86" s="23">
        <v>0</v>
      </c>
      <c r="U86" s="24">
        <v>0</v>
      </c>
      <c r="V86" s="31">
        <f t="shared" si="8"/>
        <v>7.2</v>
      </c>
      <c r="W86" s="32">
        <v>18000</v>
      </c>
      <c r="X86" s="30">
        <v>18</v>
      </c>
      <c r="Y86" s="19">
        <v>0</v>
      </c>
      <c r="Z86" s="23">
        <v>0</v>
      </c>
      <c r="AA86" s="24">
        <v>0</v>
      </c>
      <c r="AB86" s="33">
        <v>0</v>
      </c>
      <c r="AC86" s="34">
        <v>0</v>
      </c>
      <c r="AD86" s="35">
        <v>0</v>
      </c>
      <c r="AE86" s="36">
        <v>0</v>
      </c>
      <c r="AF86" s="23">
        <v>0</v>
      </c>
      <c r="AG86" s="24">
        <v>0</v>
      </c>
      <c r="AH86" s="33">
        <v>0</v>
      </c>
      <c r="AI86" s="37">
        <v>0</v>
      </c>
      <c r="AJ86" s="35">
        <v>0</v>
      </c>
      <c r="AK86" s="36">
        <v>0</v>
      </c>
      <c r="AL86" s="38">
        <v>0</v>
      </c>
      <c r="AM86" s="35">
        <v>0</v>
      </c>
      <c r="AN86" s="19">
        <v>0</v>
      </c>
      <c r="AO86" s="23">
        <v>0</v>
      </c>
      <c r="AP86" s="24">
        <v>0</v>
      </c>
      <c r="AQ86" s="31">
        <f t="shared" si="9"/>
        <v>14.4</v>
      </c>
      <c r="AR86" s="32">
        <f t="shared" si="9"/>
        <v>36000</v>
      </c>
      <c r="AS86" s="30">
        <v>18</v>
      </c>
    </row>
    <row r="87" spans="1:45" ht="16" x14ac:dyDescent="0.2">
      <c r="A87" s="19">
        <v>84</v>
      </c>
      <c r="B87" s="21" t="s">
        <v>100</v>
      </c>
      <c r="C87" s="20" t="s">
        <v>110</v>
      </c>
      <c r="D87" s="345"/>
      <c r="E87" s="22">
        <v>8</v>
      </c>
      <c r="F87" s="23">
        <f t="shared" si="5"/>
        <v>20000</v>
      </c>
      <c r="G87" s="19">
        <v>0</v>
      </c>
      <c r="H87" s="23">
        <v>0</v>
      </c>
      <c r="I87" s="24">
        <v>0</v>
      </c>
      <c r="J87" s="19">
        <v>0</v>
      </c>
      <c r="K87" s="23">
        <v>0</v>
      </c>
      <c r="L87" s="24">
        <v>0</v>
      </c>
      <c r="M87" s="25">
        <v>2</v>
      </c>
      <c r="N87" s="26">
        <v>5000</v>
      </c>
      <c r="O87" s="27">
        <v>5</v>
      </c>
      <c r="P87" s="28">
        <f t="shared" si="6"/>
        <v>2</v>
      </c>
      <c r="Q87" s="29">
        <f t="shared" si="7"/>
        <v>5000</v>
      </c>
      <c r="R87" s="30">
        <v>5</v>
      </c>
      <c r="S87" s="19">
        <v>0</v>
      </c>
      <c r="T87" s="23">
        <v>0</v>
      </c>
      <c r="U87" s="24">
        <v>0</v>
      </c>
      <c r="V87" s="31">
        <f t="shared" si="8"/>
        <v>4.8</v>
      </c>
      <c r="W87" s="32">
        <v>12000</v>
      </c>
      <c r="X87" s="30">
        <v>12</v>
      </c>
      <c r="Y87" s="19">
        <v>0</v>
      </c>
      <c r="Z87" s="23">
        <v>0</v>
      </c>
      <c r="AA87" s="24">
        <v>0</v>
      </c>
      <c r="AB87" s="33">
        <v>0</v>
      </c>
      <c r="AC87" s="34">
        <v>0</v>
      </c>
      <c r="AD87" s="35">
        <v>0</v>
      </c>
      <c r="AE87" s="36">
        <v>0</v>
      </c>
      <c r="AF87" s="23">
        <v>0</v>
      </c>
      <c r="AG87" s="24">
        <v>0</v>
      </c>
      <c r="AH87" s="33">
        <v>0</v>
      </c>
      <c r="AI87" s="37">
        <v>0</v>
      </c>
      <c r="AJ87" s="35">
        <v>0</v>
      </c>
      <c r="AK87" s="36">
        <v>0</v>
      </c>
      <c r="AL87" s="38">
        <v>0</v>
      </c>
      <c r="AM87" s="35">
        <v>0</v>
      </c>
      <c r="AN87" s="19">
        <v>0</v>
      </c>
      <c r="AO87" s="23">
        <v>0</v>
      </c>
      <c r="AP87" s="24">
        <v>0</v>
      </c>
      <c r="AQ87" s="31">
        <f t="shared" si="9"/>
        <v>8.8000000000000007</v>
      </c>
      <c r="AR87" s="32">
        <f t="shared" si="9"/>
        <v>22000</v>
      </c>
      <c r="AS87" s="30">
        <v>12</v>
      </c>
    </row>
    <row r="88" spans="1:45" ht="16" x14ac:dyDescent="0.2">
      <c r="A88" s="19">
        <v>85</v>
      </c>
      <c r="B88" s="21" t="s">
        <v>100</v>
      </c>
      <c r="C88" s="20" t="s">
        <v>111</v>
      </c>
      <c r="D88" s="345"/>
      <c r="E88" s="22">
        <v>11</v>
      </c>
      <c r="F88" s="23">
        <f t="shared" si="5"/>
        <v>27500</v>
      </c>
      <c r="G88" s="19">
        <v>0</v>
      </c>
      <c r="H88" s="23">
        <v>0</v>
      </c>
      <c r="I88" s="24">
        <v>0</v>
      </c>
      <c r="J88" s="19">
        <v>0</v>
      </c>
      <c r="K88" s="23">
        <v>0</v>
      </c>
      <c r="L88" s="24">
        <v>0</v>
      </c>
      <c r="M88" s="25">
        <v>4.4000000000000004</v>
      </c>
      <c r="N88" s="26">
        <v>11000</v>
      </c>
      <c r="O88" s="27">
        <v>11</v>
      </c>
      <c r="P88" s="28">
        <f t="shared" si="6"/>
        <v>1.2</v>
      </c>
      <c r="Q88" s="29">
        <f t="shared" si="7"/>
        <v>3000</v>
      </c>
      <c r="R88" s="30">
        <v>3</v>
      </c>
      <c r="S88" s="19">
        <v>0</v>
      </c>
      <c r="T88" s="23">
        <v>0</v>
      </c>
      <c r="U88" s="24">
        <v>0</v>
      </c>
      <c r="V88" s="31">
        <f t="shared" si="8"/>
        <v>5.6</v>
      </c>
      <c r="W88" s="32">
        <v>14000</v>
      </c>
      <c r="X88" s="30">
        <v>14</v>
      </c>
      <c r="Y88" s="19">
        <v>0</v>
      </c>
      <c r="Z88" s="23">
        <v>0</v>
      </c>
      <c r="AA88" s="24">
        <v>0</v>
      </c>
      <c r="AB88" s="33">
        <v>0</v>
      </c>
      <c r="AC88" s="34">
        <v>0</v>
      </c>
      <c r="AD88" s="35">
        <v>0</v>
      </c>
      <c r="AE88" s="36">
        <v>0</v>
      </c>
      <c r="AF88" s="23">
        <v>0</v>
      </c>
      <c r="AG88" s="24">
        <v>0</v>
      </c>
      <c r="AH88" s="33">
        <v>0</v>
      </c>
      <c r="AI88" s="37">
        <v>0</v>
      </c>
      <c r="AJ88" s="35">
        <v>0</v>
      </c>
      <c r="AK88" s="36">
        <v>0</v>
      </c>
      <c r="AL88" s="38">
        <v>0</v>
      </c>
      <c r="AM88" s="35">
        <v>0</v>
      </c>
      <c r="AN88" s="19">
        <v>0</v>
      </c>
      <c r="AO88" s="23">
        <v>0</v>
      </c>
      <c r="AP88" s="24">
        <v>0</v>
      </c>
      <c r="AQ88" s="31">
        <f t="shared" si="9"/>
        <v>11.2</v>
      </c>
      <c r="AR88" s="32">
        <f t="shared" si="9"/>
        <v>28000</v>
      </c>
      <c r="AS88" s="30">
        <v>14</v>
      </c>
    </row>
    <row r="89" spans="1:45" ht="16" x14ac:dyDescent="0.2">
      <c r="A89" s="19">
        <v>86</v>
      </c>
      <c r="B89" s="21" t="s">
        <v>100</v>
      </c>
      <c r="C89" s="20" t="s">
        <v>112</v>
      </c>
      <c r="D89" s="345" t="s">
        <v>25</v>
      </c>
      <c r="E89" s="22">
        <v>9</v>
      </c>
      <c r="F89" s="23">
        <f t="shared" si="5"/>
        <v>22500</v>
      </c>
      <c r="G89" s="19">
        <v>0</v>
      </c>
      <c r="H89" s="23">
        <v>0</v>
      </c>
      <c r="I89" s="24">
        <v>0</v>
      </c>
      <c r="J89" s="19">
        <v>0</v>
      </c>
      <c r="K89" s="23">
        <v>0</v>
      </c>
      <c r="L89" s="24">
        <v>0</v>
      </c>
      <c r="M89" s="25">
        <v>2.8</v>
      </c>
      <c r="N89" s="26">
        <v>7000</v>
      </c>
      <c r="O89" s="27">
        <v>7</v>
      </c>
      <c r="P89" s="28">
        <f t="shared" si="6"/>
        <v>2.4</v>
      </c>
      <c r="Q89" s="29">
        <f t="shared" si="7"/>
        <v>6000</v>
      </c>
      <c r="R89" s="30">
        <v>6</v>
      </c>
      <c r="S89" s="19">
        <v>0</v>
      </c>
      <c r="T89" s="23">
        <v>0</v>
      </c>
      <c r="U89" s="24">
        <v>0</v>
      </c>
      <c r="V89" s="31">
        <f t="shared" si="8"/>
        <v>5.6</v>
      </c>
      <c r="W89" s="32">
        <v>14000</v>
      </c>
      <c r="X89" s="30">
        <v>14</v>
      </c>
      <c r="Y89" s="19">
        <v>0</v>
      </c>
      <c r="Z89" s="23">
        <v>0</v>
      </c>
      <c r="AA89" s="24">
        <v>0</v>
      </c>
      <c r="AB89" s="33">
        <v>0</v>
      </c>
      <c r="AC89" s="34">
        <v>0</v>
      </c>
      <c r="AD89" s="35">
        <v>0</v>
      </c>
      <c r="AE89" s="36">
        <v>0</v>
      </c>
      <c r="AF89" s="23">
        <v>0</v>
      </c>
      <c r="AG89" s="24">
        <v>0</v>
      </c>
      <c r="AH89" s="33">
        <v>0</v>
      </c>
      <c r="AI89" s="37">
        <v>0</v>
      </c>
      <c r="AJ89" s="35">
        <v>0</v>
      </c>
      <c r="AK89" s="36">
        <v>0</v>
      </c>
      <c r="AL89" s="38">
        <v>0</v>
      </c>
      <c r="AM89" s="35">
        <v>0</v>
      </c>
      <c r="AN89" s="19">
        <v>0</v>
      </c>
      <c r="AO89" s="23">
        <v>0</v>
      </c>
      <c r="AP89" s="24">
        <v>0</v>
      </c>
      <c r="AQ89" s="31">
        <f t="shared" si="9"/>
        <v>10.799999999999999</v>
      </c>
      <c r="AR89" s="32">
        <f t="shared" si="9"/>
        <v>27000</v>
      </c>
      <c r="AS89" s="30">
        <v>14</v>
      </c>
    </row>
    <row r="90" spans="1:45" ht="16" x14ac:dyDescent="0.2">
      <c r="A90" s="19">
        <v>87</v>
      </c>
      <c r="B90" s="21" t="s">
        <v>100</v>
      </c>
      <c r="C90" s="20" t="s">
        <v>113</v>
      </c>
      <c r="D90" s="345"/>
      <c r="E90" s="22">
        <v>12</v>
      </c>
      <c r="F90" s="23">
        <f t="shared" si="5"/>
        <v>30000</v>
      </c>
      <c r="G90" s="19">
        <v>0</v>
      </c>
      <c r="H90" s="23">
        <v>0</v>
      </c>
      <c r="I90" s="24">
        <v>0</v>
      </c>
      <c r="J90" s="19">
        <v>0</v>
      </c>
      <c r="K90" s="23">
        <v>0</v>
      </c>
      <c r="L90" s="24">
        <v>0</v>
      </c>
      <c r="M90" s="25">
        <v>4</v>
      </c>
      <c r="N90" s="26">
        <v>10000</v>
      </c>
      <c r="O90" s="27">
        <v>10</v>
      </c>
      <c r="P90" s="28">
        <f t="shared" si="6"/>
        <v>2</v>
      </c>
      <c r="Q90" s="29">
        <f t="shared" si="7"/>
        <v>5000</v>
      </c>
      <c r="R90" s="30">
        <v>5</v>
      </c>
      <c r="S90" s="19">
        <v>0</v>
      </c>
      <c r="T90" s="23">
        <v>0</v>
      </c>
      <c r="U90" s="24">
        <v>0</v>
      </c>
      <c r="V90" s="31">
        <f t="shared" si="8"/>
        <v>6.4</v>
      </c>
      <c r="W90" s="32">
        <v>16000</v>
      </c>
      <c r="X90" s="30">
        <v>16</v>
      </c>
      <c r="Y90" s="19">
        <v>0</v>
      </c>
      <c r="Z90" s="23">
        <v>0</v>
      </c>
      <c r="AA90" s="24">
        <v>0</v>
      </c>
      <c r="AB90" s="33">
        <v>0</v>
      </c>
      <c r="AC90" s="34">
        <v>0</v>
      </c>
      <c r="AD90" s="35">
        <v>0</v>
      </c>
      <c r="AE90" s="36">
        <v>0</v>
      </c>
      <c r="AF90" s="23">
        <v>0</v>
      </c>
      <c r="AG90" s="24">
        <v>0</v>
      </c>
      <c r="AH90" s="33">
        <v>0</v>
      </c>
      <c r="AI90" s="37">
        <v>0</v>
      </c>
      <c r="AJ90" s="35">
        <v>0</v>
      </c>
      <c r="AK90" s="36">
        <v>0</v>
      </c>
      <c r="AL90" s="38">
        <v>0</v>
      </c>
      <c r="AM90" s="35">
        <v>0</v>
      </c>
      <c r="AN90" s="19">
        <v>0</v>
      </c>
      <c r="AO90" s="23">
        <v>0</v>
      </c>
      <c r="AP90" s="24">
        <v>0</v>
      </c>
      <c r="AQ90" s="31">
        <f t="shared" si="9"/>
        <v>12.4</v>
      </c>
      <c r="AR90" s="32">
        <f t="shared" si="9"/>
        <v>31000</v>
      </c>
      <c r="AS90" s="30">
        <v>16</v>
      </c>
    </row>
    <row r="91" spans="1:45" ht="16" x14ac:dyDescent="0.2">
      <c r="A91" s="19">
        <v>88</v>
      </c>
      <c r="B91" s="21" t="s">
        <v>100</v>
      </c>
      <c r="C91" s="20" t="s">
        <v>114</v>
      </c>
      <c r="D91" s="345"/>
      <c r="E91" s="22">
        <v>13</v>
      </c>
      <c r="F91" s="23">
        <f t="shared" si="5"/>
        <v>32500</v>
      </c>
      <c r="G91" s="19">
        <v>0</v>
      </c>
      <c r="H91" s="23">
        <v>0</v>
      </c>
      <c r="I91" s="24">
        <v>0</v>
      </c>
      <c r="J91" s="19">
        <v>0</v>
      </c>
      <c r="K91" s="23">
        <v>0</v>
      </c>
      <c r="L91" s="24">
        <v>0</v>
      </c>
      <c r="M91" s="25">
        <v>3.2</v>
      </c>
      <c r="N91" s="26">
        <v>8000</v>
      </c>
      <c r="O91" s="27">
        <v>8</v>
      </c>
      <c r="P91" s="28">
        <f t="shared" si="6"/>
        <v>0.8</v>
      </c>
      <c r="Q91" s="29">
        <f t="shared" si="7"/>
        <v>2000</v>
      </c>
      <c r="R91" s="30">
        <v>2</v>
      </c>
      <c r="S91" s="19">
        <v>0</v>
      </c>
      <c r="T91" s="23">
        <v>0</v>
      </c>
      <c r="U91" s="24">
        <v>0</v>
      </c>
      <c r="V91" s="31">
        <f t="shared" si="8"/>
        <v>4</v>
      </c>
      <c r="W91" s="32">
        <v>10000</v>
      </c>
      <c r="X91" s="30">
        <v>10</v>
      </c>
      <c r="Y91" s="19">
        <v>0</v>
      </c>
      <c r="Z91" s="23">
        <v>0</v>
      </c>
      <c r="AA91" s="24">
        <v>0</v>
      </c>
      <c r="AB91" s="33">
        <v>0</v>
      </c>
      <c r="AC91" s="34">
        <v>0</v>
      </c>
      <c r="AD91" s="35">
        <v>0</v>
      </c>
      <c r="AE91" s="36">
        <v>0</v>
      </c>
      <c r="AF91" s="23">
        <v>0</v>
      </c>
      <c r="AG91" s="24">
        <v>0</v>
      </c>
      <c r="AH91" s="33">
        <v>0</v>
      </c>
      <c r="AI91" s="37">
        <v>0</v>
      </c>
      <c r="AJ91" s="35">
        <v>0</v>
      </c>
      <c r="AK91" s="36">
        <v>0</v>
      </c>
      <c r="AL91" s="38">
        <v>0</v>
      </c>
      <c r="AM91" s="35">
        <v>0</v>
      </c>
      <c r="AN91" s="19">
        <v>0</v>
      </c>
      <c r="AO91" s="23">
        <v>0</v>
      </c>
      <c r="AP91" s="24">
        <v>0</v>
      </c>
      <c r="AQ91" s="31">
        <f t="shared" si="9"/>
        <v>8</v>
      </c>
      <c r="AR91" s="32">
        <f t="shared" si="9"/>
        <v>20000</v>
      </c>
      <c r="AS91" s="30">
        <v>10</v>
      </c>
    </row>
    <row r="92" spans="1:45" ht="16" x14ac:dyDescent="0.2">
      <c r="A92" s="19">
        <v>89</v>
      </c>
      <c r="B92" s="21" t="s">
        <v>100</v>
      </c>
      <c r="C92" s="20" t="s">
        <v>115</v>
      </c>
      <c r="D92" s="345"/>
      <c r="E92" s="22">
        <v>14</v>
      </c>
      <c r="F92" s="23">
        <f t="shared" si="5"/>
        <v>35000</v>
      </c>
      <c r="G92" s="19">
        <v>0</v>
      </c>
      <c r="H92" s="23">
        <v>0</v>
      </c>
      <c r="I92" s="24">
        <v>0</v>
      </c>
      <c r="J92" s="19">
        <v>0</v>
      </c>
      <c r="K92" s="23">
        <v>0</v>
      </c>
      <c r="L92" s="24">
        <v>0</v>
      </c>
      <c r="M92" s="25">
        <v>2.8</v>
      </c>
      <c r="N92" s="26">
        <v>7000</v>
      </c>
      <c r="O92" s="27">
        <v>7</v>
      </c>
      <c r="P92" s="28">
        <f t="shared" si="6"/>
        <v>1.2</v>
      </c>
      <c r="Q92" s="29">
        <f t="shared" si="7"/>
        <v>3000</v>
      </c>
      <c r="R92" s="30">
        <v>3</v>
      </c>
      <c r="S92" s="19">
        <v>0</v>
      </c>
      <c r="T92" s="23">
        <v>0</v>
      </c>
      <c r="U92" s="24">
        <v>0</v>
      </c>
      <c r="V92" s="31">
        <f t="shared" si="8"/>
        <v>3.6</v>
      </c>
      <c r="W92" s="32">
        <v>9000</v>
      </c>
      <c r="X92" s="30">
        <v>9</v>
      </c>
      <c r="Y92" s="19">
        <v>0</v>
      </c>
      <c r="Z92" s="23">
        <v>0</v>
      </c>
      <c r="AA92" s="24">
        <v>0</v>
      </c>
      <c r="AB92" s="33">
        <v>0</v>
      </c>
      <c r="AC92" s="34">
        <v>0</v>
      </c>
      <c r="AD92" s="35">
        <v>0</v>
      </c>
      <c r="AE92" s="36">
        <v>0</v>
      </c>
      <c r="AF92" s="23">
        <v>0</v>
      </c>
      <c r="AG92" s="24">
        <v>0</v>
      </c>
      <c r="AH92" s="33">
        <v>0</v>
      </c>
      <c r="AI92" s="37">
        <v>0</v>
      </c>
      <c r="AJ92" s="35">
        <v>0</v>
      </c>
      <c r="AK92" s="36">
        <v>0</v>
      </c>
      <c r="AL92" s="38">
        <v>0</v>
      </c>
      <c r="AM92" s="35">
        <v>0</v>
      </c>
      <c r="AN92" s="19">
        <v>0</v>
      </c>
      <c r="AO92" s="23">
        <v>0</v>
      </c>
      <c r="AP92" s="24">
        <v>0</v>
      </c>
      <c r="AQ92" s="31">
        <f t="shared" si="9"/>
        <v>7.6</v>
      </c>
      <c r="AR92" s="32">
        <f t="shared" si="9"/>
        <v>19000</v>
      </c>
      <c r="AS92" s="30">
        <v>10</v>
      </c>
    </row>
    <row r="93" spans="1:45" ht="16" x14ac:dyDescent="0.2">
      <c r="A93" s="19">
        <v>90</v>
      </c>
      <c r="B93" s="21" t="s">
        <v>100</v>
      </c>
      <c r="C93" s="20" t="s">
        <v>116</v>
      </c>
      <c r="D93" s="345"/>
      <c r="E93" s="22">
        <v>20.200000000000003</v>
      </c>
      <c r="F93" s="23">
        <f t="shared" si="5"/>
        <v>50500.000000000007</v>
      </c>
      <c r="G93" s="19">
        <v>0</v>
      </c>
      <c r="H93" s="23">
        <v>0</v>
      </c>
      <c r="I93" s="24">
        <v>0</v>
      </c>
      <c r="J93" s="19">
        <v>0</v>
      </c>
      <c r="K93" s="23">
        <v>0</v>
      </c>
      <c r="L93" s="24">
        <v>0</v>
      </c>
      <c r="M93" s="25">
        <v>6.8</v>
      </c>
      <c r="N93" s="26">
        <v>17000</v>
      </c>
      <c r="O93" s="27">
        <v>17</v>
      </c>
      <c r="P93" s="28">
        <f t="shared" si="6"/>
        <v>3.6</v>
      </c>
      <c r="Q93" s="29">
        <f t="shared" si="7"/>
        <v>9000</v>
      </c>
      <c r="R93" s="30">
        <v>9</v>
      </c>
      <c r="S93" s="19">
        <v>0</v>
      </c>
      <c r="T93" s="23">
        <v>0</v>
      </c>
      <c r="U93" s="24">
        <v>0</v>
      </c>
      <c r="V93" s="31">
        <f t="shared" si="8"/>
        <v>9.6</v>
      </c>
      <c r="W93" s="32">
        <v>24000</v>
      </c>
      <c r="X93" s="30">
        <v>24</v>
      </c>
      <c r="Y93" s="19">
        <v>0</v>
      </c>
      <c r="Z93" s="23">
        <v>0</v>
      </c>
      <c r="AA93" s="24">
        <v>0</v>
      </c>
      <c r="AB93" s="33">
        <v>0</v>
      </c>
      <c r="AC93" s="34">
        <v>0</v>
      </c>
      <c r="AD93" s="35">
        <v>0</v>
      </c>
      <c r="AE93" s="36">
        <v>0</v>
      </c>
      <c r="AF93" s="23">
        <v>0</v>
      </c>
      <c r="AG93" s="24">
        <v>0</v>
      </c>
      <c r="AH93" s="33">
        <v>0</v>
      </c>
      <c r="AI93" s="37">
        <v>0</v>
      </c>
      <c r="AJ93" s="35">
        <v>0</v>
      </c>
      <c r="AK93" s="36">
        <v>0</v>
      </c>
      <c r="AL93" s="38">
        <v>0</v>
      </c>
      <c r="AM93" s="35">
        <v>0</v>
      </c>
      <c r="AN93" s="19">
        <v>0</v>
      </c>
      <c r="AO93" s="23">
        <v>0</v>
      </c>
      <c r="AP93" s="24">
        <v>0</v>
      </c>
      <c r="AQ93" s="31">
        <f t="shared" si="9"/>
        <v>20</v>
      </c>
      <c r="AR93" s="32">
        <f t="shared" si="9"/>
        <v>50000</v>
      </c>
      <c r="AS93" s="30">
        <v>26</v>
      </c>
    </row>
    <row r="94" spans="1:45" ht="16" x14ac:dyDescent="0.2">
      <c r="A94" s="19">
        <v>91</v>
      </c>
      <c r="B94" s="21" t="s">
        <v>117</v>
      </c>
      <c r="C94" s="20" t="s">
        <v>118</v>
      </c>
      <c r="D94" s="345"/>
      <c r="E94" s="22">
        <v>12.2</v>
      </c>
      <c r="F94" s="23">
        <f t="shared" si="5"/>
        <v>30500</v>
      </c>
      <c r="G94" s="19">
        <v>0</v>
      </c>
      <c r="H94" s="23">
        <v>0</v>
      </c>
      <c r="I94" s="24">
        <v>0</v>
      </c>
      <c r="J94" s="19">
        <v>0</v>
      </c>
      <c r="K94" s="23">
        <v>0</v>
      </c>
      <c r="L94" s="24">
        <v>0</v>
      </c>
      <c r="M94" s="25">
        <v>2</v>
      </c>
      <c r="N94" s="26">
        <v>5000</v>
      </c>
      <c r="O94" s="27">
        <v>5</v>
      </c>
      <c r="P94" s="28">
        <f t="shared" si="6"/>
        <v>1.2</v>
      </c>
      <c r="Q94" s="29">
        <f t="shared" si="7"/>
        <v>3000</v>
      </c>
      <c r="R94" s="30">
        <v>3</v>
      </c>
      <c r="S94" s="19">
        <v>0</v>
      </c>
      <c r="T94" s="23">
        <v>0</v>
      </c>
      <c r="U94" s="24">
        <v>0</v>
      </c>
      <c r="V94" s="31">
        <f t="shared" si="8"/>
        <v>3.2</v>
      </c>
      <c r="W94" s="32">
        <v>8000</v>
      </c>
      <c r="X94" s="30">
        <v>8</v>
      </c>
      <c r="Y94" s="19">
        <v>0</v>
      </c>
      <c r="Z94" s="23">
        <v>0</v>
      </c>
      <c r="AA94" s="24">
        <v>0</v>
      </c>
      <c r="AB94" s="33">
        <v>0</v>
      </c>
      <c r="AC94" s="34">
        <v>0</v>
      </c>
      <c r="AD94" s="35">
        <v>0</v>
      </c>
      <c r="AE94" s="36">
        <v>0</v>
      </c>
      <c r="AF94" s="23">
        <v>0</v>
      </c>
      <c r="AG94" s="24">
        <v>0</v>
      </c>
      <c r="AH94" s="33">
        <v>0</v>
      </c>
      <c r="AI94" s="37">
        <v>0</v>
      </c>
      <c r="AJ94" s="35">
        <v>0</v>
      </c>
      <c r="AK94" s="36">
        <v>0</v>
      </c>
      <c r="AL94" s="38">
        <v>0</v>
      </c>
      <c r="AM94" s="35">
        <v>0</v>
      </c>
      <c r="AN94" s="19">
        <v>0</v>
      </c>
      <c r="AO94" s="23">
        <v>0</v>
      </c>
      <c r="AP94" s="24">
        <v>0</v>
      </c>
      <c r="AQ94" s="31">
        <f t="shared" si="9"/>
        <v>6.4</v>
      </c>
      <c r="AR94" s="32">
        <f t="shared" si="9"/>
        <v>16000</v>
      </c>
      <c r="AS94" s="30">
        <v>8</v>
      </c>
    </row>
    <row r="95" spans="1:45" ht="16" x14ac:dyDescent="0.2">
      <c r="A95" s="19">
        <v>92</v>
      </c>
      <c r="B95" s="21" t="s">
        <v>117</v>
      </c>
      <c r="C95" s="20" t="s">
        <v>119</v>
      </c>
      <c r="D95" s="345"/>
      <c r="E95" s="22">
        <v>21.6</v>
      </c>
      <c r="F95" s="23">
        <f t="shared" si="5"/>
        <v>54000</v>
      </c>
      <c r="G95" s="19">
        <v>0</v>
      </c>
      <c r="H95" s="23">
        <v>0</v>
      </c>
      <c r="I95" s="24">
        <v>0</v>
      </c>
      <c r="J95" s="19">
        <v>0</v>
      </c>
      <c r="K95" s="23">
        <v>0</v>
      </c>
      <c r="L95" s="24">
        <v>0</v>
      </c>
      <c r="M95" s="25">
        <v>5.6</v>
      </c>
      <c r="N95" s="26">
        <v>14000</v>
      </c>
      <c r="O95" s="27">
        <v>14</v>
      </c>
      <c r="P95" s="28">
        <f t="shared" si="6"/>
        <v>4.8</v>
      </c>
      <c r="Q95" s="29">
        <f t="shared" si="7"/>
        <v>12000</v>
      </c>
      <c r="R95" s="30">
        <v>12</v>
      </c>
      <c r="S95" s="19">
        <v>0</v>
      </c>
      <c r="T95" s="23">
        <v>0</v>
      </c>
      <c r="U95" s="24">
        <v>0</v>
      </c>
      <c r="V95" s="31">
        <f t="shared" si="8"/>
        <v>10.4</v>
      </c>
      <c r="W95" s="32">
        <v>26000</v>
      </c>
      <c r="X95" s="30">
        <v>26</v>
      </c>
      <c r="Y95" s="19">
        <v>0</v>
      </c>
      <c r="Z95" s="23">
        <v>0</v>
      </c>
      <c r="AA95" s="24">
        <v>0</v>
      </c>
      <c r="AB95" s="33">
        <v>0</v>
      </c>
      <c r="AC95" s="34">
        <v>0</v>
      </c>
      <c r="AD95" s="35">
        <v>0</v>
      </c>
      <c r="AE95" s="36">
        <v>0</v>
      </c>
      <c r="AF95" s="23">
        <v>0</v>
      </c>
      <c r="AG95" s="24">
        <v>0</v>
      </c>
      <c r="AH95" s="33">
        <v>0</v>
      </c>
      <c r="AI95" s="37">
        <v>0</v>
      </c>
      <c r="AJ95" s="35">
        <v>0</v>
      </c>
      <c r="AK95" s="36">
        <v>0</v>
      </c>
      <c r="AL95" s="38">
        <v>0</v>
      </c>
      <c r="AM95" s="35">
        <v>0</v>
      </c>
      <c r="AN95" s="19">
        <v>0</v>
      </c>
      <c r="AO95" s="23">
        <v>0</v>
      </c>
      <c r="AP95" s="24">
        <v>0</v>
      </c>
      <c r="AQ95" s="31">
        <f t="shared" si="9"/>
        <v>20.799999999999997</v>
      </c>
      <c r="AR95" s="32">
        <f t="shared" si="9"/>
        <v>52000</v>
      </c>
      <c r="AS95" s="30">
        <v>26</v>
      </c>
    </row>
    <row r="96" spans="1:45" ht="16" x14ac:dyDescent="0.2">
      <c r="A96" s="19">
        <v>93</v>
      </c>
      <c r="B96" s="21" t="s">
        <v>117</v>
      </c>
      <c r="C96" s="20" t="s">
        <v>120</v>
      </c>
      <c r="D96" s="345"/>
      <c r="E96" s="22">
        <v>16.2</v>
      </c>
      <c r="F96" s="23">
        <f t="shared" si="5"/>
        <v>40500</v>
      </c>
      <c r="G96" s="19">
        <v>0</v>
      </c>
      <c r="H96" s="23">
        <v>0</v>
      </c>
      <c r="I96" s="24">
        <v>0</v>
      </c>
      <c r="J96" s="19">
        <v>0</v>
      </c>
      <c r="K96" s="23">
        <v>0</v>
      </c>
      <c r="L96" s="24">
        <v>0</v>
      </c>
      <c r="M96" s="25">
        <v>3.2</v>
      </c>
      <c r="N96" s="26">
        <v>8000</v>
      </c>
      <c r="O96" s="27">
        <v>8</v>
      </c>
      <c r="P96" s="28">
        <f t="shared" si="6"/>
        <v>2</v>
      </c>
      <c r="Q96" s="29">
        <f t="shared" si="7"/>
        <v>5000</v>
      </c>
      <c r="R96" s="30">
        <v>5</v>
      </c>
      <c r="S96" s="19">
        <v>0</v>
      </c>
      <c r="T96" s="23">
        <v>0</v>
      </c>
      <c r="U96" s="24">
        <v>0</v>
      </c>
      <c r="V96" s="31">
        <f t="shared" si="8"/>
        <v>5.2</v>
      </c>
      <c r="W96" s="32">
        <v>13000</v>
      </c>
      <c r="X96" s="30">
        <v>13</v>
      </c>
      <c r="Y96" s="19">
        <v>0</v>
      </c>
      <c r="Z96" s="23">
        <v>0</v>
      </c>
      <c r="AA96" s="24">
        <v>0</v>
      </c>
      <c r="AB96" s="33">
        <v>0</v>
      </c>
      <c r="AC96" s="34">
        <v>0</v>
      </c>
      <c r="AD96" s="35">
        <v>0</v>
      </c>
      <c r="AE96" s="36">
        <v>0</v>
      </c>
      <c r="AF96" s="23">
        <v>0</v>
      </c>
      <c r="AG96" s="24">
        <v>0</v>
      </c>
      <c r="AH96" s="33">
        <v>0</v>
      </c>
      <c r="AI96" s="37">
        <v>0</v>
      </c>
      <c r="AJ96" s="35">
        <v>0</v>
      </c>
      <c r="AK96" s="36">
        <v>0</v>
      </c>
      <c r="AL96" s="38">
        <v>0</v>
      </c>
      <c r="AM96" s="35">
        <v>0</v>
      </c>
      <c r="AN96" s="19">
        <v>0</v>
      </c>
      <c r="AO96" s="23">
        <v>0</v>
      </c>
      <c r="AP96" s="24">
        <v>0</v>
      </c>
      <c r="AQ96" s="31">
        <f t="shared" si="9"/>
        <v>10.4</v>
      </c>
      <c r="AR96" s="32">
        <f t="shared" si="9"/>
        <v>26000</v>
      </c>
      <c r="AS96" s="30">
        <v>13</v>
      </c>
    </row>
    <row r="97" spans="1:45" ht="16" x14ac:dyDescent="0.2">
      <c r="A97" s="19">
        <v>94</v>
      </c>
      <c r="B97" s="21" t="s">
        <v>117</v>
      </c>
      <c r="C97" s="20" t="s">
        <v>121</v>
      </c>
      <c r="D97" s="345"/>
      <c r="E97" s="22">
        <v>16.399999999999999</v>
      </c>
      <c r="F97" s="23">
        <f t="shared" si="5"/>
        <v>41000</v>
      </c>
      <c r="G97" s="19">
        <v>0</v>
      </c>
      <c r="H97" s="23">
        <v>0</v>
      </c>
      <c r="I97" s="24">
        <v>0</v>
      </c>
      <c r="J97" s="19">
        <v>0</v>
      </c>
      <c r="K97" s="23">
        <v>0</v>
      </c>
      <c r="L97" s="24">
        <v>0</v>
      </c>
      <c r="M97" s="25">
        <v>4</v>
      </c>
      <c r="N97" s="26">
        <v>10000</v>
      </c>
      <c r="O97" s="27">
        <v>10</v>
      </c>
      <c r="P97" s="28">
        <f t="shared" si="6"/>
        <v>1.6</v>
      </c>
      <c r="Q97" s="29">
        <f t="shared" si="7"/>
        <v>4000</v>
      </c>
      <c r="R97" s="30">
        <v>4</v>
      </c>
      <c r="S97" s="19">
        <v>0</v>
      </c>
      <c r="T97" s="23">
        <v>0</v>
      </c>
      <c r="U97" s="24">
        <v>0</v>
      </c>
      <c r="V97" s="31">
        <f t="shared" si="8"/>
        <v>5.6</v>
      </c>
      <c r="W97" s="32">
        <v>14000</v>
      </c>
      <c r="X97" s="30">
        <v>14</v>
      </c>
      <c r="Y97" s="19">
        <v>0</v>
      </c>
      <c r="Z97" s="23">
        <v>0</v>
      </c>
      <c r="AA97" s="24">
        <v>0</v>
      </c>
      <c r="AB97" s="33">
        <v>0</v>
      </c>
      <c r="AC97" s="34">
        <v>0</v>
      </c>
      <c r="AD97" s="35">
        <v>0</v>
      </c>
      <c r="AE97" s="36">
        <v>0</v>
      </c>
      <c r="AF97" s="23">
        <v>0</v>
      </c>
      <c r="AG97" s="24">
        <v>0</v>
      </c>
      <c r="AH97" s="33">
        <v>0</v>
      </c>
      <c r="AI97" s="37">
        <v>0</v>
      </c>
      <c r="AJ97" s="35">
        <v>0</v>
      </c>
      <c r="AK97" s="36">
        <v>0</v>
      </c>
      <c r="AL97" s="38">
        <v>0</v>
      </c>
      <c r="AM97" s="35">
        <v>0</v>
      </c>
      <c r="AN97" s="19">
        <v>0</v>
      </c>
      <c r="AO97" s="23">
        <v>0</v>
      </c>
      <c r="AP97" s="24">
        <v>0</v>
      </c>
      <c r="AQ97" s="31">
        <f t="shared" si="9"/>
        <v>11.2</v>
      </c>
      <c r="AR97" s="32">
        <f t="shared" si="9"/>
        <v>28000</v>
      </c>
      <c r="AS97" s="30">
        <v>14</v>
      </c>
    </row>
    <row r="98" spans="1:45" ht="16" x14ac:dyDescent="0.2">
      <c r="A98" s="19">
        <v>95</v>
      </c>
      <c r="B98" s="21" t="s">
        <v>117</v>
      </c>
      <c r="C98" s="20" t="s">
        <v>122</v>
      </c>
      <c r="D98" s="345"/>
      <c r="E98" s="22">
        <v>22.4</v>
      </c>
      <c r="F98" s="23">
        <f t="shared" si="5"/>
        <v>56000</v>
      </c>
      <c r="G98" s="19">
        <v>0</v>
      </c>
      <c r="H98" s="23">
        <v>0</v>
      </c>
      <c r="I98" s="24">
        <v>0</v>
      </c>
      <c r="J98" s="19">
        <v>0</v>
      </c>
      <c r="K98" s="23">
        <v>0</v>
      </c>
      <c r="L98" s="24">
        <v>0</v>
      </c>
      <c r="M98" s="25">
        <v>5.2</v>
      </c>
      <c r="N98" s="26">
        <v>13000</v>
      </c>
      <c r="O98" s="27">
        <v>13</v>
      </c>
      <c r="P98" s="28">
        <f t="shared" si="6"/>
        <v>2.8</v>
      </c>
      <c r="Q98" s="29">
        <f t="shared" si="7"/>
        <v>7000</v>
      </c>
      <c r="R98" s="30">
        <v>7</v>
      </c>
      <c r="S98" s="19">
        <v>0</v>
      </c>
      <c r="T98" s="23">
        <v>0</v>
      </c>
      <c r="U98" s="24">
        <v>0</v>
      </c>
      <c r="V98" s="31">
        <f t="shared" si="8"/>
        <v>8</v>
      </c>
      <c r="W98" s="32">
        <v>20000</v>
      </c>
      <c r="X98" s="30">
        <v>20</v>
      </c>
      <c r="Y98" s="19">
        <v>0</v>
      </c>
      <c r="Z98" s="23">
        <v>0</v>
      </c>
      <c r="AA98" s="24">
        <v>0</v>
      </c>
      <c r="AB98" s="33">
        <v>0</v>
      </c>
      <c r="AC98" s="34">
        <v>0</v>
      </c>
      <c r="AD98" s="35">
        <v>0</v>
      </c>
      <c r="AE98" s="36">
        <v>0</v>
      </c>
      <c r="AF98" s="23">
        <v>0</v>
      </c>
      <c r="AG98" s="24">
        <v>0</v>
      </c>
      <c r="AH98" s="33">
        <v>0</v>
      </c>
      <c r="AI98" s="37">
        <v>0</v>
      </c>
      <c r="AJ98" s="35">
        <v>0</v>
      </c>
      <c r="AK98" s="36">
        <v>0</v>
      </c>
      <c r="AL98" s="38">
        <v>0</v>
      </c>
      <c r="AM98" s="35">
        <v>0</v>
      </c>
      <c r="AN98" s="19">
        <v>0</v>
      </c>
      <c r="AO98" s="23">
        <v>0</v>
      </c>
      <c r="AP98" s="24">
        <v>0</v>
      </c>
      <c r="AQ98" s="31">
        <f t="shared" si="9"/>
        <v>16</v>
      </c>
      <c r="AR98" s="32">
        <f t="shared" si="9"/>
        <v>40000</v>
      </c>
      <c r="AS98" s="30">
        <v>20</v>
      </c>
    </row>
    <row r="99" spans="1:45" ht="16" x14ac:dyDescent="0.2">
      <c r="A99" s="19">
        <v>96</v>
      </c>
      <c r="B99" s="21" t="s">
        <v>117</v>
      </c>
      <c r="C99" s="20" t="s">
        <v>123</v>
      </c>
      <c r="D99" s="345"/>
      <c r="E99" s="22">
        <v>22</v>
      </c>
      <c r="F99" s="23">
        <f t="shared" si="5"/>
        <v>55000</v>
      </c>
      <c r="G99" s="19">
        <v>0</v>
      </c>
      <c r="H99" s="23">
        <v>0</v>
      </c>
      <c r="I99" s="24">
        <v>0</v>
      </c>
      <c r="J99" s="19">
        <v>0</v>
      </c>
      <c r="K99" s="23">
        <v>0</v>
      </c>
      <c r="L99" s="24">
        <v>0</v>
      </c>
      <c r="M99" s="25">
        <v>4</v>
      </c>
      <c r="N99" s="26">
        <v>10000</v>
      </c>
      <c r="O99" s="27">
        <v>10</v>
      </c>
      <c r="P99" s="28">
        <f t="shared" si="6"/>
        <v>4</v>
      </c>
      <c r="Q99" s="29">
        <f t="shared" si="7"/>
        <v>10000</v>
      </c>
      <c r="R99" s="30">
        <v>10</v>
      </c>
      <c r="S99" s="19">
        <v>0</v>
      </c>
      <c r="T99" s="23">
        <v>0</v>
      </c>
      <c r="U99" s="24">
        <v>0</v>
      </c>
      <c r="V99" s="31">
        <f t="shared" si="8"/>
        <v>7.6</v>
      </c>
      <c r="W99" s="32">
        <v>19000</v>
      </c>
      <c r="X99" s="30">
        <v>19</v>
      </c>
      <c r="Y99" s="19">
        <v>0</v>
      </c>
      <c r="Z99" s="23">
        <v>0</v>
      </c>
      <c r="AA99" s="24">
        <v>0</v>
      </c>
      <c r="AB99" s="33">
        <v>0</v>
      </c>
      <c r="AC99" s="34">
        <v>0</v>
      </c>
      <c r="AD99" s="35">
        <v>0</v>
      </c>
      <c r="AE99" s="36">
        <v>0</v>
      </c>
      <c r="AF99" s="23">
        <v>0</v>
      </c>
      <c r="AG99" s="24">
        <v>0</v>
      </c>
      <c r="AH99" s="33">
        <v>0</v>
      </c>
      <c r="AI99" s="37">
        <v>0</v>
      </c>
      <c r="AJ99" s="35">
        <v>0</v>
      </c>
      <c r="AK99" s="36">
        <v>0</v>
      </c>
      <c r="AL99" s="38">
        <v>0</v>
      </c>
      <c r="AM99" s="35">
        <v>0</v>
      </c>
      <c r="AN99" s="19">
        <v>0</v>
      </c>
      <c r="AO99" s="23">
        <v>0</v>
      </c>
      <c r="AP99" s="24">
        <v>0</v>
      </c>
      <c r="AQ99" s="31">
        <f t="shared" si="9"/>
        <v>15.6</v>
      </c>
      <c r="AR99" s="32">
        <f t="shared" si="9"/>
        <v>39000</v>
      </c>
      <c r="AS99" s="30">
        <v>20</v>
      </c>
    </row>
    <row r="100" spans="1:45" ht="16" x14ac:dyDescent="0.2">
      <c r="A100" s="19">
        <v>97</v>
      </c>
      <c r="B100" s="21" t="s">
        <v>117</v>
      </c>
      <c r="C100" s="20" t="s">
        <v>117</v>
      </c>
      <c r="D100" s="345"/>
      <c r="E100" s="22">
        <v>13</v>
      </c>
      <c r="F100" s="23">
        <f t="shared" si="5"/>
        <v>32500</v>
      </c>
      <c r="G100" s="19">
        <v>0</v>
      </c>
      <c r="H100" s="23">
        <v>0</v>
      </c>
      <c r="I100" s="24">
        <v>0</v>
      </c>
      <c r="J100" s="19">
        <v>0</v>
      </c>
      <c r="K100" s="23">
        <v>0</v>
      </c>
      <c r="L100" s="24">
        <v>0</v>
      </c>
      <c r="M100" s="25">
        <v>4</v>
      </c>
      <c r="N100" s="26">
        <v>10000</v>
      </c>
      <c r="O100" s="27">
        <v>10</v>
      </c>
      <c r="P100" s="28">
        <f t="shared" si="6"/>
        <v>1.2</v>
      </c>
      <c r="Q100" s="29">
        <f t="shared" si="7"/>
        <v>3000</v>
      </c>
      <c r="R100" s="30">
        <v>3</v>
      </c>
      <c r="S100" s="19">
        <v>0</v>
      </c>
      <c r="T100" s="23">
        <v>0</v>
      </c>
      <c r="U100" s="24">
        <v>0</v>
      </c>
      <c r="V100" s="31">
        <f t="shared" si="8"/>
        <v>5.2</v>
      </c>
      <c r="W100" s="32">
        <v>13000</v>
      </c>
      <c r="X100" s="30">
        <v>13</v>
      </c>
      <c r="Y100" s="19">
        <v>0</v>
      </c>
      <c r="Z100" s="23">
        <v>0</v>
      </c>
      <c r="AA100" s="24">
        <v>0</v>
      </c>
      <c r="AB100" s="33">
        <v>0</v>
      </c>
      <c r="AC100" s="34">
        <v>0</v>
      </c>
      <c r="AD100" s="35">
        <v>0</v>
      </c>
      <c r="AE100" s="36">
        <v>0</v>
      </c>
      <c r="AF100" s="23">
        <v>0</v>
      </c>
      <c r="AG100" s="24">
        <v>0</v>
      </c>
      <c r="AH100" s="33">
        <v>0</v>
      </c>
      <c r="AI100" s="37">
        <v>0</v>
      </c>
      <c r="AJ100" s="35">
        <v>0</v>
      </c>
      <c r="AK100" s="36">
        <v>0</v>
      </c>
      <c r="AL100" s="38">
        <v>0</v>
      </c>
      <c r="AM100" s="35">
        <v>0</v>
      </c>
      <c r="AN100" s="19">
        <v>0</v>
      </c>
      <c r="AO100" s="23">
        <v>0</v>
      </c>
      <c r="AP100" s="24">
        <v>0</v>
      </c>
      <c r="AQ100" s="31">
        <f t="shared" si="9"/>
        <v>10.4</v>
      </c>
      <c r="AR100" s="32">
        <f t="shared" si="9"/>
        <v>26000</v>
      </c>
      <c r="AS100" s="30">
        <v>13</v>
      </c>
    </row>
    <row r="101" spans="1:45" ht="16" x14ac:dyDescent="0.2">
      <c r="A101" s="19">
        <v>98</v>
      </c>
      <c r="B101" s="21" t="s">
        <v>117</v>
      </c>
      <c r="C101" s="20" t="s">
        <v>124</v>
      </c>
      <c r="D101" s="345"/>
      <c r="E101" s="22">
        <v>10</v>
      </c>
      <c r="F101" s="23">
        <f t="shared" si="5"/>
        <v>25000</v>
      </c>
      <c r="G101" s="19">
        <v>0</v>
      </c>
      <c r="H101" s="23">
        <v>0</v>
      </c>
      <c r="I101" s="24">
        <v>0</v>
      </c>
      <c r="J101" s="19">
        <v>0</v>
      </c>
      <c r="K101" s="23">
        <v>0</v>
      </c>
      <c r="L101" s="24">
        <v>0</v>
      </c>
      <c r="M101" s="25">
        <v>2.4</v>
      </c>
      <c r="N101" s="26">
        <v>6000</v>
      </c>
      <c r="O101" s="27">
        <v>6</v>
      </c>
      <c r="P101" s="28">
        <f t="shared" si="6"/>
        <v>1.2</v>
      </c>
      <c r="Q101" s="29">
        <f t="shared" si="7"/>
        <v>3000</v>
      </c>
      <c r="R101" s="30">
        <v>3</v>
      </c>
      <c r="S101" s="19">
        <v>0</v>
      </c>
      <c r="T101" s="23">
        <v>0</v>
      </c>
      <c r="U101" s="24">
        <v>0</v>
      </c>
      <c r="V101" s="31">
        <f t="shared" si="8"/>
        <v>3.6</v>
      </c>
      <c r="W101" s="32">
        <v>9000</v>
      </c>
      <c r="X101" s="30">
        <v>9</v>
      </c>
      <c r="Y101" s="19">
        <v>0</v>
      </c>
      <c r="Z101" s="23">
        <v>0</v>
      </c>
      <c r="AA101" s="24">
        <v>0</v>
      </c>
      <c r="AB101" s="33">
        <v>0</v>
      </c>
      <c r="AC101" s="34">
        <v>0</v>
      </c>
      <c r="AD101" s="35">
        <v>0</v>
      </c>
      <c r="AE101" s="36">
        <v>0</v>
      </c>
      <c r="AF101" s="23">
        <v>0</v>
      </c>
      <c r="AG101" s="24">
        <v>0</v>
      </c>
      <c r="AH101" s="33">
        <v>0</v>
      </c>
      <c r="AI101" s="37">
        <v>0</v>
      </c>
      <c r="AJ101" s="35">
        <v>0</v>
      </c>
      <c r="AK101" s="36">
        <v>0</v>
      </c>
      <c r="AL101" s="38">
        <v>0</v>
      </c>
      <c r="AM101" s="35">
        <v>0</v>
      </c>
      <c r="AN101" s="19">
        <v>0</v>
      </c>
      <c r="AO101" s="23">
        <v>0</v>
      </c>
      <c r="AP101" s="24">
        <v>0</v>
      </c>
      <c r="AQ101" s="31">
        <f t="shared" si="9"/>
        <v>7.1999999999999993</v>
      </c>
      <c r="AR101" s="32">
        <f t="shared" si="9"/>
        <v>18000</v>
      </c>
      <c r="AS101" s="30">
        <v>9</v>
      </c>
    </row>
    <row r="102" spans="1:45" ht="16" x14ac:dyDescent="0.2">
      <c r="A102" s="19">
        <v>99</v>
      </c>
      <c r="B102" s="21" t="s">
        <v>117</v>
      </c>
      <c r="C102" s="20" t="s">
        <v>89</v>
      </c>
      <c r="D102" s="345"/>
      <c r="E102" s="22">
        <v>13</v>
      </c>
      <c r="F102" s="23">
        <f t="shared" si="5"/>
        <v>32500</v>
      </c>
      <c r="G102" s="19">
        <v>0</v>
      </c>
      <c r="H102" s="23">
        <v>0</v>
      </c>
      <c r="I102" s="24">
        <v>0</v>
      </c>
      <c r="J102" s="19">
        <v>0</v>
      </c>
      <c r="K102" s="23">
        <v>0</v>
      </c>
      <c r="L102" s="24">
        <v>0</v>
      </c>
      <c r="M102" s="25">
        <v>2.4</v>
      </c>
      <c r="N102" s="26">
        <v>6000</v>
      </c>
      <c r="O102" s="27">
        <v>6</v>
      </c>
      <c r="P102" s="28">
        <f t="shared" si="6"/>
        <v>1.2</v>
      </c>
      <c r="Q102" s="29">
        <f t="shared" si="7"/>
        <v>3000</v>
      </c>
      <c r="R102" s="30">
        <v>3</v>
      </c>
      <c r="S102" s="19">
        <v>0</v>
      </c>
      <c r="T102" s="23">
        <v>0</v>
      </c>
      <c r="U102" s="24">
        <v>0</v>
      </c>
      <c r="V102" s="31">
        <f t="shared" si="8"/>
        <v>3.2</v>
      </c>
      <c r="W102" s="32">
        <v>8000</v>
      </c>
      <c r="X102" s="30">
        <v>8</v>
      </c>
      <c r="Y102" s="19">
        <v>0</v>
      </c>
      <c r="Z102" s="23">
        <v>0</v>
      </c>
      <c r="AA102" s="24">
        <v>0</v>
      </c>
      <c r="AB102" s="33">
        <v>0</v>
      </c>
      <c r="AC102" s="34">
        <v>0</v>
      </c>
      <c r="AD102" s="35">
        <v>0</v>
      </c>
      <c r="AE102" s="36">
        <v>0</v>
      </c>
      <c r="AF102" s="23">
        <v>0</v>
      </c>
      <c r="AG102" s="24">
        <v>0</v>
      </c>
      <c r="AH102" s="33">
        <v>0</v>
      </c>
      <c r="AI102" s="37">
        <v>0</v>
      </c>
      <c r="AJ102" s="35">
        <v>0</v>
      </c>
      <c r="AK102" s="36">
        <v>0</v>
      </c>
      <c r="AL102" s="38">
        <v>0</v>
      </c>
      <c r="AM102" s="35">
        <v>0</v>
      </c>
      <c r="AN102" s="19">
        <v>0</v>
      </c>
      <c r="AO102" s="23">
        <v>0</v>
      </c>
      <c r="AP102" s="24">
        <v>0</v>
      </c>
      <c r="AQ102" s="31">
        <f t="shared" si="9"/>
        <v>6.8</v>
      </c>
      <c r="AR102" s="32">
        <f t="shared" si="9"/>
        <v>17000</v>
      </c>
      <c r="AS102" s="30">
        <v>9</v>
      </c>
    </row>
    <row r="103" spans="1:45" ht="16" x14ac:dyDescent="0.2">
      <c r="A103" s="19">
        <v>100</v>
      </c>
      <c r="B103" s="21" t="s">
        <v>117</v>
      </c>
      <c r="C103" s="20" t="s">
        <v>125</v>
      </c>
      <c r="D103" s="345"/>
      <c r="E103" s="22">
        <v>18.8</v>
      </c>
      <c r="F103" s="23">
        <f t="shared" si="5"/>
        <v>47000</v>
      </c>
      <c r="G103" s="19">
        <v>0</v>
      </c>
      <c r="H103" s="23">
        <v>0</v>
      </c>
      <c r="I103" s="24">
        <v>0</v>
      </c>
      <c r="J103" s="19">
        <v>0</v>
      </c>
      <c r="K103" s="23">
        <v>0</v>
      </c>
      <c r="L103" s="24">
        <v>0</v>
      </c>
      <c r="M103" s="25">
        <v>4.4000000000000004</v>
      </c>
      <c r="N103" s="26">
        <v>11000</v>
      </c>
      <c r="O103" s="27">
        <v>11</v>
      </c>
      <c r="P103" s="28">
        <f t="shared" si="6"/>
        <v>2</v>
      </c>
      <c r="Q103" s="29">
        <f t="shared" si="7"/>
        <v>5000</v>
      </c>
      <c r="R103" s="30">
        <v>5</v>
      </c>
      <c r="S103" s="19">
        <v>0</v>
      </c>
      <c r="T103" s="23">
        <v>0</v>
      </c>
      <c r="U103" s="24">
        <v>0</v>
      </c>
      <c r="V103" s="31">
        <f t="shared" si="8"/>
        <v>6</v>
      </c>
      <c r="W103" s="32">
        <v>15000</v>
      </c>
      <c r="X103" s="30">
        <v>15</v>
      </c>
      <c r="Y103" s="19">
        <v>0</v>
      </c>
      <c r="Z103" s="23">
        <v>0</v>
      </c>
      <c r="AA103" s="24">
        <v>0</v>
      </c>
      <c r="AB103" s="33">
        <v>0</v>
      </c>
      <c r="AC103" s="34">
        <v>0</v>
      </c>
      <c r="AD103" s="35">
        <v>0</v>
      </c>
      <c r="AE103" s="36">
        <v>0</v>
      </c>
      <c r="AF103" s="23">
        <v>0</v>
      </c>
      <c r="AG103" s="24">
        <v>0</v>
      </c>
      <c r="AH103" s="33">
        <v>0</v>
      </c>
      <c r="AI103" s="37">
        <v>0</v>
      </c>
      <c r="AJ103" s="35">
        <v>0</v>
      </c>
      <c r="AK103" s="36">
        <v>0</v>
      </c>
      <c r="AL103" s="38">
        <v>0</v>
      </c>
      <c r="AM103" s="35">
        <v>0</v>
      </c>
      <c r="AN103" s="19">
        <v>0</v>
      </c>
      <c r="AO103" s="23">
        <v>0</v>
      </c>
      <c r="AP103" s="24">
        <v>0</v>
      </c>
      <c r="AQ103" s="31">
        <f t="shared" si="9"/>
        <v>12.4</v>
      </c>
      <c r="AR103" s="32">
        <f t="shared" si="9"/>
        <v>31000</v>
      </c>
      <c r="AS103" s="30">
        <v>16</v>
      </c>
    </row>
    <row r="104" spans="1:45" ht="16" x14ac:dyDescent="0.2">
      <c r="A104" s="19">
        <v>101</v>
      </c>
      <c r="B104" s="21" t="s">
        <v>117</v>
      </c>
      <c r="C104" s="20" t="s">
        <v>126</v>
      </c>
      <c r="D104" s="345"/>
      <c r="E104" s="22">
        <v>24.8</v>
      </c>
      <c r="F104" s="23">
        <f t="shared" si="5"/>
        <v>62000</v>
      </c>
      <c r="G104" s="19">
        <v>0</v>
      </c>
      <c r="H104" s="23">
        <v>0</v>
      </c>
      <c r="I104" s="24">
        <v>0</v>
      </c>
      <c r="J104" s="19">
        <v>0</v>
      </c>
      <c r="K104" s="23">
        <v>0</v>
      </c>
      <c r="L104" s="24">
        <v>0</v>
      </c>
      <c r="M104" s="25">
        <v>4.8</v>
      </c>
      <c r="N104" s="26">
        <v>12000</v>
      </c>
      <c r="O104" s="27">
        <v>12</v>
      </c>
      <c r="P104" s="28">
        <f t="shared" si="6"/>
        <v>4</v>
      </c>
      <c r="Q104" s="29">
        <f t="shared" si="7"/>
        <v>10000</v>
      </c>
      <c r="R104" s="30">
        <v>10</v>
      </c>
      <c r="S104" s="19">
        <v>0</v>
      </c>
      <c r="T104" s="23">
        <v>0</v>
      </c>
      <c r="U104" s="24">
        <v>0</v>
      </c>
      <c r="V104" s="31">
        <f t="shared" si="8"/>
        <v>8.8000000000000007</v>
      </c>
      <c r="W104" s="32">
        <v>22000</v>
      </c>
      <c r="X104" s="30">
        <v>22</v>
      </c>
      <c r="Y104" s="19">
        <v>0</v>
      </c>
      <c r="Z104" s="23">
        <v>0</v>
      </c>
      <c r="AA104" s="24">
        <v>0</v>
      </c>
      <c r="AB104" s="33">
        <v>0</v>
      </c>
      <c r="AC104" s="34">
        <v>0</v>
      </c>
      <c r="AD104" s="35">
        <v>0</v>
      </c>
      <c r="AE104" s="36">
        <v>0</v>
      </c>
      <c r="AF104" s="23">
        <v>0</v>
      </c>
      <c r="AG104" s="24">
        <v>0</v>
      </c>
      <c r="AH104" s="33">
        <v>0</v>
      </c>
      <c r="AI104" s="37">
        <v>0</v>
      </c>
      <c r="AJ104" s="35">
        <v>0</v>
      </c>
      <c r="AK104" s="36">
        <v>0</v>
      </c>
      <c r="AL104" s="38">
        <v>0</v>
      </c>
      <c r="AM104" s="35">
        <v>0</v>
      </c>
      <c r="AN104" s="19">
        <v>0</v>
      </c>
      <c r="AO104" s="23">
        <v>0</v>
      </c>
      <c r="AP104" s="24">
        <v>0</v>
      </c>
      <c r="AQ104" s="31">
        <f t="shared" si="9"/>
        <v>17.600000000000001</v>
      </c>
      <c r="AR104" s="32">
        <f t="shared" si="9"/>
        <v>44000</v>
      </c>
      <c r="AS104" s="30">
        <v>22</v>
      </c>
    </row>
    <row r="105" spans="1:45" ht="16" x14ac:dyDescent="0.2">
      <c r="A105" s="19">
        <v>102</v>
      </c>
      <c r="B105" s="21" t="s">
        <v>117</v>
      </c>
      <c r="C105" s="20" t="s">
        <v>127</v>
      </c>
      <c r="D105" s="345"/>
      <c r="E105" s="22">
        <v>24</v>
      </c>
      <c r="F105" s="23">
        <f t="shared" si="5"/>
        <v>60000</v>
      </c>
      <c r="G105" s="19">
        <v>0</v>
      </c>
      <c r="H105" s="23">
        <v>0</v>
      </c>
      <c r="I105" s="24">
        <v>0</v>
      </c>
      <c r="J105" s="19">
        <v>0</v>
      </c>
      <c r="K105" s="23">
        <v>0</v>
      </c>
      <c r="L105" s="24">
        <v>0</v>
      </c>
      <c r="M105" s="25">
        <v>3.6</v>
      </c>
      <c r="N105" s="26">
        <v>9000</v>
      </c>
      <c r="O105" s="27">
        <v>9</v>
      </c>
      <c r="P105" s="28">
        <f t="shared" si="6"/>
        <v>4</v>
      </c>
      <c r="Q105" s="29">
        <f t="shared" si="7"/>
        <v>10000</v>
      </c>
      <c r="R105" s="30">
        <v>10</v>
      </c>
      <c r="S105" s="19">
        <v>0</v>
      </c>
      <c r="T105" s="23">
        <v>0</v>
      </c>
      <c r="U105" s="24">
        <v>0</v>
      </c>
      <c r="V105" s="31">
        <f t="shared" si="8"/>
        <v>7.2</v>
      </c>
      <c r="W105" s="32">
        <v>18000</v>
      </c>
      <c r="X105" s="30">
        <v>18</v>
      </c>
      <c r="Y105" s="19">
        <v>0</v>
      </c>
      <c r="Z105" s="23">
        <v>0</v>
      </c>
      <c r="AA105" s="24">
        <v>0</v>
      </c>
      <c r="AB105" s="33">
        <v>0</v>
      </c>
      <c r="AC105" s="34">
        <v>0</v>
      </c>
      <c r="AD105" s="35">
        <v>0</v>
      </c>
      <c r="AE105" s="36">
        <v>0</v>
      </c>
      <c r="AF105" s="23">
        <v>0</v>
      </c>
      <c r="AG105" s="24">
        <v>0</v>
      </c>
      <c r="AH105" s="33">
        <v>0</v>
      </c>
      <c r="AI105" s="37">
        <v>0</v>
      </c>
      <c r="AJ105" s="35">
        <v>0</v>
      </c>
      <c r="AK105" s="36">
        <v>0</v>
      </c>
      <c r="AL105" s="38">
        <v>0</v>
      </c>
      <c r="AM105" s="35">
        <v>0</v>
      </c>
      <c r="AN105" s="19">
        <v>0</v>
      </c>
      <c r="AO105" s="23">
        <v>0</v>
      </c>
      <c r="AP105" s="24">
        <v>0</v>
      </c>
      <c r="AQ105" s="31">
        <f t="shared" si="9"/>
        <v>14.8</v>
      </c>
      <c r="AR105" s="32">
        <f t="shared" si="9"/>
        <v>37000</v>
      </c>
      <c r="AS105" s="30">
        <v>20</v>
      </c>
    </row>
    <row r="106" spans="1:45" ht="16" x14ac:dyDescent="0.2">
      <c r="A106" s="19">
        <v>103</v>
      </c>
      <c r="B106" s="21" t="s">
        <v>117</v>
      </c>
      <c r="C106" s="20" t="s">
        <v>128</v>
      </c>
      <c r="D106" s="345" t="s">
        <v>25</v>
      </c>
      <c r="E106" s="22">
        <v>11.2</v>
      </c>
      <c r="F106" s="23">
        <f t="shared" si="5"/>
        <v>28000</v>
      </c>
      <c r="G106" s="19">
        <v>0</v>
      </c>
      <c r="H106" s="23">
        <v>0</v>
      </c>
      <c r="I106" s="24">
        <v>0</v>
      </c>
      <c r="J106" s="19">
        <v>0</v>
      </c>
      <c r="K106" s="23">
        <v>0</v>
      </c>
      <c r="L106" s="24">
        <v>0</v>
      </c>
      <c r="M106" s="25">
        <v>3.6</v>
      </c>
      <c r="N106" s="26">
        <v>9000</v>
      </c>
      <c r="O106" s="27">
        <v>9</v>
      </c>
      <c r="P106" s="28">
        <f t="shared" si="6"/>
        <v>0.8</v>
      </c>
      <c r="Q106" s="29">
        <f t="shared" si="7"/>
        <v>2000</v>
      </c>
      <c r="R106" s="30">
        <v>2</v>
      </c>
      <c r="S106" s="19">
        <v>0</v>
      </c>
      <c r="T106" s="23">
        <v>0</v>
      </c>
      <c r="U106" s="24">
        <v>0</v>
      </c>
      <c r="V106" s="31">
        <f t="shared" si="8"/>
        <v>4.4000000000000004</v>
      </c>
      <c r="W106" s="32">
        <v>11000</v>
      </c>
      <c r="X106" s="30">
        <v>11</v>
      </c>
      <c r="Y106" s="19">
        <v>0</v>
      </c>
      <c r="Z106" s="23">
        <v>0</v>
      </c>
      <c r="AA106" s="24">
        <v>0</v>
      </c>
      <c r="AB106" s="33">
        <v>0</v>
      </c>
      <c r="AC106" s="34">
        <v>0</v>
      </c>
      <c r="AD106" s="35">
        <v>0</v>
      </c>
      <c r="AE106" s="36">
        <v>0</v>
      </c>
      <c r="AF106" s="23">
        <v>0</v>
      </c>
      <c r="AG106" s="24">
        <v>0</v>
      </c>
      <c r="AH106" s="33">
        <v>0</v>
      </c>
      <c r="AI106" s="37">
        <v>0</v>
      </c>
      <c r="AJ106" s="35">
        <v>0</v>
      </c>
      <c r="AK106" s="36">
        <v>0</v>
      </c>
      <c r="AL106" s="38">
        <v>0</v>
      </c>
      <c r="AM106" s="35">
        <v>0</v>
      </c>
      <c r="AN106" s="19">
        <v>0</v>
      </c>
      <c r="AO106" s="23">
        <v>0</v>
      </c>
      <c r="AP106" s="24">
        <v>0</v>
      </c>
      <c r="AQ106" s="31">
        <f t="shared" si="9"/>
        <v>8.8000000000000007</v>
      </c>
      <c r="AR106" s="32">
        <f t="shared" si="9"/>
        <v>22000</v>
      </c>
      <c r="AS106" s="30">
        <v>11</v>
      </c>
    </row>
    <row r="107" spans="1:45" ht="16" x14ac:dyDescent="0.2">
      <c r="A107" s="19">
        <v>104</v>
      </c>
      <c r="B107" s="21" t="s">
        <v>117</v>
      </c>
      <c r="C107" s="20" t="s">
        <v>129</v>
      </c>
      <c r="D107" s="345"/>
      <c r="E107" s="22">
        <v>18.8</v>
      </c>
      <c r="F107" s="23">
        <f t="shared" si="5"/>
        <v>47000</v>
      </c>
      <c r="G107" s="19">
        <v>0</v>
      </c>
      <c r="H107" s="23">
        <v>0</v>
      </c>
      <c r="I107" s="24">
        <v>0</v>
      </c>
      <c r="J107" s="19">
        <v>0</v>
      </c>
      <c r="K107" s="23">
        <v>0</v>
      </c>
      <c r="L107" s="24">
        <v>0</v>
      </c>
      <c r="M107" s="25">
        <v>5.2</v>
      </c>
      <c r="N107" s="26">
        <v>13000</v>
      </c>
      <c r="O107" s="27">
        <v>13</v>
      </c>
      <c r="P107" s="28">
        <f t="shared" si="6"/>
        <v>1.2</v>
      </c>
      <c r="Q107" s="29">
        <f t="shared" si="7"/>
        <v>3000</v>
      </c>
      <c r="R107" s="30">
        <v>3</v>
      </c>
      <c r="S107" s="19">
        <v>0</v>
      </c>
      <c r="T107" s="23">
        <v>0</v>
      </c>
      <c r="U107" s="24">
        <v>0</v>
      </c>
      <c r="V107" s="31">
        <f t="shared" si="8"/>
        <v>6.4</v>
      </c>
      <c r="W107" s="32">
        <v>16000</v>
      </c>
      <c r="X107" s="30">
        <v>16</v>
      </c>
      <c r="Y107" s="19">
        <v>0</v>
      </c>
      <c r="Z107" s="23">
        <v>0</v>
      </c>
      <c r="AA107" s="24">
        <v>0</v>
      </c>
      <c r="AB107" s="33">
        <v>0</v>
      </c>
      <c r="AC107" s="34">
        <v>0</v>
      </c>
      <c r="AD107" s="35">
        <v>0</v>
      </c>
      <c r="AE107" s="36">
        <v>0</v>
      </c>
      <c r="AF107" s="23">
        <v>0</v>
      </c>
      <c r="AG107" s="24">
        <v>0</v>
      </c>
      <c r="AH107" s="33">
        <v>0</v>
      </c>
      <c r="AI107" s="37">
        <v>0</v>
      </c>
      <c r="AJ107" s="35">
        <v>0</v>
      </c>
      <c r="AK107" s="36">
        <v>0</v>
      </c>
      <c r="AL107" s="38">
        <v>0</v>
      </c>
      <c r="AM107" s="35">
        <v>0</v>
      </c>
      <c r="AN107" s="19">
        <v>0</v>
      </c>
      <c r="AO107" s="23">
        <v>0</v>
      </c>
      <c r="AP107" s="24">
        <v>0</v>
      </c>
      <c r="AQ107" s="31">
        <f t="shared" si="9"/>
        <v>12.8</v>
      </c>
      <c r="AR107" s="32">
        <f t="shared" si="9"/>
        <v>32000</v>
      </c>
      <c r="AS107" s="30">
        <v>16</v>
      </c>
    </row>
    <row r="108" spans="1:45" ht="16" x14ac:dyDescent="0.2">
      <c r="A108" s="19">
        <v>105</v>
      </c>
      <c r="B108" s="21" t="s">
        <v>117</v>
      </c>
      <c r="C108" s="20" t="s">
        <v>130</v>
      </c>
      <c r="D108" s="345"/>
      <c r="E108" s="22">
        <v>26</v>
      </c>
      <c r="F108" s="23">
        <f t="shared" si="5"/>
        <v>65000</v>
      </c>
      <c r="G108" s="19">
        <v>0</v>
      </c>
      <c r="H108" s="23">
        <v>0</v>
      </c>
      <c r="I108" s="24">
        <v>0</v>
      </c>
      <c r="J108" s="19">
        <v>0</v>
      </c>
      <c r="K108" s="23">
        <v>0</v>
      </c>
      <c r="L108" s="24">
        <v>0</v>
      </c>
      <c r="M108" s="25">
        <v>5.6</v>
      </c>
      <c r="N108" s="26">
        <v>14000</v>
      </c>
      <c r="O108" s="27">
        <v>14</v>
      </c>
      <c r="P108" s="28">
        <f t="shared" si="6"/>
        <v>5.2</v>
      </c>
      <c r="Q108" s="29">
        <f t="shared" si="7"/>
        <v>13000</v>
      </c>
      <c r="R108" s="30">
        <v>13</v>
      </c>
      <c r="S108" s="19">
        <v>0</v>
      </c>
      <c r="T108" s="23">
        <v>0</v>
      </c>
      <c r="U108" s="24">
        <v>0</v>
      </c>
      <c r="V108" s="31">
        <f t="shared" si="8"/>
        <v>11.2</v>
      </c>
      <c r="W108" s="32">
        <v>28000</v>
      </c>
      <c r="X108" s="30">
        <v>28</v>
      </c>
      <c r="Y108" s="19">
        <v>0</v>
      </c>
      <c r="Z108" s="23">
        <v>0</v>
      </c>
      <c r="AA108" s="24">
        <v>0</v>
      </c>
      <c r="AB108" s="33">
        <v>0</v>
      </c>
      <c r="AC108" s="34">
        <v>0</v>
      </c>
      <c r="AD108" s="35">
        <v>0</v>
      </c>
      <c r="AE108" s="36">
        <v>0</v>
      </c>
      <c r="AF108" s="23">
        <v>0</v>
      </c>
      <c r="AG108" s="24">
        <v>0</v>
      </c>
      <c r="AH108" s="33">
        <v>0</v>
      </c>
      <c r="AI108" s="37">
        <v>0</v>
      </c>
      <c r="AJ108" s="35">
        <v>0</v>
      </c>
      <c r="AK108" s="36">
        <v>0</v>
      </c>
      <c r="AL108" s="38">
        <v>0</v>
      </c>
      <c r="AM108" s="35">
        <v>0</v>
      </c>
      <c r="AN108" s="19">
        <v>0</v>
      </c>
      <c r="AO108" s="23">
        <v>0</v>
      </c>
      <c r="AP108" s="24">
        <v>0</v>
      </c>
      <c r="AQ108" s="31">
        <f t="shared" si="9"/>
        <v>22</v>
      </c>
      <c r="AR108" s="32">
        <f t="shared" si="9"/>
        <v>55000</v>
      </c>
      <c r="AS108" s="30">
        <v>28</v>
      </c>
    </row>
    <row r="109" spans="1:45" ht="16" x14ac:dyDescent="0.2">
      <c r="A109" s="19">
        <v>106</v>
      </c>
      <c r="B109" s="21" t="s">
        <v>117</v>
      </c>
      <c r="C109" s="20" t="s">
        <v>131</v>
      </c>
      <c r="D109" s="345"/>
      <c r="E109" s="22">
        <v>20</v>
      </c>
      <c r="F109" s="23">
        <f t="shared" si="5"/>
        <v>50000</v>
      </c>
      <c r="G109" s="19">
        <v>0</v>
      </c>
      <c r="H109" s="23">
        <v>0</v>
      </c>
      <c r="I109" s="24">
        <v>0</v>
      </c>
      <c r="J109" s="19">
        <v>0</v>
      </c>
      <c r="K109" s="23">
        <v>0</v>
      </c>
      <c r="L109" s="24">
        <v>0</v>
      </c>
      <c r="M109" s="25">
        <v>5.6</v>
      </c>
      <c r="N109" s="26">
        <v>14000</v>
      </c>
      <c r="O109" s="27">
        <v>14</v>
      </c>
      <c r="P109" s="28">
        <f t="shared" si="6"/>
        <v>4.8</v>
      </c>
      <c r="Q109" s="29">
        <f t="shared" si="7"/>
        <v>12000</v>
      </c>
      <c r="R109" s="30">
        <v>12</v>
      </c>
      <c r="S109" s="19">
        <v>0</v>
      </c>
      <c r="T109" s="23">
        <v>0</v>
      </c>
      <c r="U109" s="24">
        <v>0</v>
      </c>
      <c r="V109" s="31">
        <f t="shared" si="8"/>
        <v>10</v>
      </c>
      <c r="W109" s="32">
        <v>25000</v>
      </c>
      <c r="X109" s="30">
        <v>25</v>
      </c>
      <c r="Y109" s="19">
        <v>0</v>
      </c>
      <c r="Z109" s="23">
        <v>0</v>
      </c>
      <c r="AA109" s="24">
        <v>0</v>
      </c>
      <c r="AB109" s="33">
        <v>0</v>
      </c>
      <c r="AC109" s="34">
        <v>0</v>
      </c>
      <c r="AD109" s="35">
        <v>0</v>
      </c>
      <c r="AE109" s="36">
        <v>0</v>
      </c>
      <c r="AF109" s="23">
        <v>0</v>
      </c>
      <c r="AG109" s="24">
        <v>0</v>
      </c>
      <c r="AH109" s="33">
        <v>0</v>
      </c>
      <c r="AI109" s="37">
        <v>0</v>
      </c>
      <c r="AJ109" s="35">
        <v>0</v>
      </c>
      <c r="AK109" s="36">
        <v>0</v>
      </c>
      <c r="AL109" s="38">
        <v>0</v>
      </c>
      <c r="AM109" s="35">
        <v>0</v>
      </c>
      <c r="AN109" s="19">
        <v>0</v>
      </c>
      <c r="AO109" s="23">
        <v>0</v>
      </c>
      <c r="AP109" s="24">
        <v>0</v>
      </c>
      <c r="AQ109" s="31">
        <f t="shared" si="9"/>
        <v>20.399999999999999</v>
      </c>
      <c r="AR109" s="32">
        <f t="shared" si="9"/>
        <v>51000</v>
      </c>
      <c r="AS109" s="30">
        <v>26</v>
      </c>
    </row>
    <row r="110" spans="1:45" ht="16" x14ac:dyDescent="0.2">
      <c r="A110" s="19">
        <v>107</v>
      </c>
      <c r="B110" s="21" t="s">
        <v>117</v>
      </c>
      <c r="C110" s="20" t="s">
        <v>132</v>
      </c>
      <c r="D110" s="345"/>
      <c r="E110" s="22">
        <v>21</v>
      </c>
      <c r="F110" s="23">
        <f t="shared" si="5"/>
        <v>52500</v>
      </c>
      <c r="G110" s="19">
        <v>0</v>
      </c>
      <c r="H110" s="23">
        <v>0</v>
      </c>
      <c r="I110" s="24">
        <v>0</v>
      </c>
      <c r="J110" s="19">
        <v>0</v>
      </c>
      <c r="K110" s="23">
        <v>0</v>
      </c>
      <c r="L110" s="24">
        <v>0</v>
      </c>
      <c r="M110" s="25">
        <v>3.6</v>
      </c>
      <c r="N110" s="26">
        <v>9000</v>
      </c>
      <c r="O110" s="27">
        <v>9</v>
      </c>
      <c r="P110" s="28">
        <f t="shared" si="6"/>
        <v>3.6</v>
      </c>
      <c r="Q110" s="29">
        <f t="shared" si="7"/>
        <v>9000</v>
      </c>
      <c r="R110" s="30">
        <v>9</v>
      </c>
      <c r="S110" s="19">
        <v>0</v>
      </c>
      <c r="T110" s="23">
        <v>0</v>
      </c>
      <c r="U110" s="24">
        <v>0</v>
      </c>
      <c r="V110" s="31">
        <f t="shared" si="8"/>
        <v>7.6</v>
      </c>
      <c r="W110" s="32">
        <v>19000</v>
      </c>
      <c r="X110" s="30">
        <v>19</v>
      </c>
      <c r="Y110" s="19">
        <v>0</v>
      </c>
      <c r="Z110" s="23">
        <v>0</v>
      </c>
      <c r="AA110" s="24">
        <v>0</v>
      </c>
      <c r="AB110" s="33">
        <v>0</v>
      </c>
      <c r="AC110" s="34">
        <v>0</v>
      </c>
      <c r="AD110" s="35">
        <v>0</v>
      </c>
      <c r="AE110" s="36">
        <v>0</v>
      </c>
      <c r="AF110" s="23">
        <v>0</v>
      </c>
      <c r="AG110" s="24">
        <v>0</v>
      </c>
      <c r="AH110" s="33">
        <v>0</v>
      </c>
      <c r="AI110" s="37">
        <v>0</v>
      </c>
      <c r="AJ110" s="35">
        <v>0</v>
      </c>
      <c r="AK110" s="36">
        <v>0</v>
      </c>
      <c r="AL110" s="38">
        <v>0</v>
      </c>
      <c r="AM110" s="35">
        <v>0</v>
      </c>
      <c r="AN110" s="19">
        <v>0</v>
      </c>
      <c r="AO110" s="23">
        <v>0</v>
      </c>
      <c r="AP110" s="24">
        <v>0</v>
      </c>
      <c r="AQ110" s="31">
        <f t="shared" si="9"/>
        <v>14.8</v>
      </c>
      <c r="AR110" s="32">
        <f t="shared" si="9"/>
        <v>37000</v>
      </c>
      <c r="AS110" s="30">
        <v>19</v>
      </c>
    </row>
    <row r="111" spans="1:45" ht="16" x14ac:dyDescent="0.2">
      <c r="A111" s="19">
        <v>108</v>
      </c>
      <c r="B111" s="21" t="s">
        <v>117</v>
      </c>
      <c r="C111" s="20" t="s">
        <v>133</v>
      </c>
      <c r="D111" s="345"/>
      <c r="E111" s="22">
        <v>10</v>
      </c>
      <c r="F111" s="23">
        <f t="shared" si="5"/>
        <v>25000</v>
      </c>
      <c r="G111" s="19">
        <v>0</v>
      </c>
      <c r="H111" s="23">
        <v>0</v>
      </c>
      <c r="I111" s="24">
        <v>0</v>
      </c>
      <c r="J111" s="19">
        <v>0</v>
      </c>
      <c r="K111" s="23">
        <v>0</v>
      </c>
      <c r="L111" s="24">
        <v>0</v>
      </c>
      <c r="M111" s="25">
        <v>2.8</v>
      </c>
      <c r="N111" s="26">
        <v>7000</v>
      </c>
      <c r="O111" s="27">
        <v>7</v>
      </c>
      <c r="P111" s="28">
        <f t="shared" si="6"/>
        <v>0</v>
      </c>
      <c r="Q111" s="29">
        <f t="shared" si="7"/>
        <v>0</v>
      </c>
      <c r="R111" s="30">
        <v>0</v>
      </c>
      <c r="S111" s="19">
        <v>0</v>
      </c>
      <c r="T111" s="23">
        <v>0</v>
      </c>
      <c r="U111" s="24">
        <v>0</v>
      </c>
      <c r="V111" s="31">
        <f t="shared" si="8"/>
        <v>3.2</v>
      </c>
      <c r="W111" s="32">
        <v>8000</v>
      </c>
      <c r="X111" s="30">
        <v>8</v>
      </c>
      <c r="Y111" s="19">
        <v>0</v>
      </c>
      <c r="Z111" s="23">
        <v>0</v>
      </c>
      <c r="AA111" s="24">
        <v>0</v>
      </c>
      <c r="AB111" s="33">
        <v>0</v>
      </c>
      <c r="AC111" s="34">
        <v>0</v>
      </c>
      <c r="AD111" s="35">
        <v>0</v>
      </c>
      <c r="AE111" s="36">
        <v>0</v>
      </c>
      <c r="AF111" s="23">
        <v>0</v>
      </c>
      <c r="AG111" s="24">
        <v>0</v>
      </c>
      <c r="AH111" s="33">
        <v>0</v>
      </c>
      <c r="AI111" s="37">
        <v>0</v>
      </c>
      <c r="AJ111" s="35">
        <v>0</v>
      </c>
      <c r="AK111" s="36">
        <v>0</v>
      </c>
      <c r="AL111" s="38">
        <v>0</v>
      </c>
      <c r="AM111" s="35">
        <v>0</v>
      </c>
      <c r="AN111" s="19">
        <v>0</v>
      </c>
      <c r="AO111" s="23">
        <v>0</v>
      </c>
      <c r="AP111" s="24">
        <v>0</v>
      </c>
      <c r="AQ111" s="31">
        <f t="shared" si="9"/>
        <v>6</v>
      </c>
      <c r="AR111" s="32">
        <f t="shared" si="9"/>
        <v>15000</v>
      </c>
      <c r="AS111" s="30">
        <v>8</v>
      </c>
    </row>
    <row r="112" spans="1:45" ht="16" x14ac:dyDescent="0.2">
      <c r="A112" s="19">
        <v>109</v>
      </c>
      <c r="B112" s="21" t="s">
        <v>117</v>
      </c>
      <c r="C112" s="20" t="s">
        <v>134</v>
      </c>
      <c r="D112" s="345"/>
      <c r="E112" s="22">
        <v>26.4</v>
      </c>
      <c r="F112" s="23">
        <f t="shared" si="5"/>
        <v>66000</v>
      </c>
      <c r="G112" s="19">
        <v>0</v>
      </c>
      <c r="H112" s="23">
        <v>0</v>
      </c>
      <c r="I112" s="24">
        <v>0</v>
      </c>
      <c r="J112" s="19">
        <v>0</v>
      </c>
      <c r="K112" s="23">
        <v>0</v>
      </c>
      <c r="L112" s="24">
        <v>0</v>
      </c>
      <c r="M112" s="25">
        <v>3.6</v>
      </c>
      <c r="N112" s="26">
        <v>9000</v>
      </c>
      <c r="O112" s="27">
        <v>9</v>
      </c>
      <c r="P112" s="28">
        <f t="shared" si="6"/>
        <v>5.6</v>
      </c>
      <c r="Q112" s="29">
        <f t="shared" si="7"/>
        <v>14000</v>
      </c>
      <c r="R112" s="30">
        <v>14</v>
      </c>
      <c r="S112" s="19">
        <v>0</v>
      </c>
      <c r="T112" s="23">
        <v>0</v>
      </c>
      <c r="U112" s="24">
        <v>0</v>
      </c>
      <c r="V112" s="31">
        <f t="shared" si="8"/>
        <v>9.1999999999999993</v>
      </c>
      <c r="W112" s="32">
        <v>23000</v>
      </c>
      <c r="X112" s="30">
        <v>23</v>
      </c>
      <c r="Y112" s="19">
        <v>0</v>
      </c>
      <c r="Z112" s="23">
        <v>0</v>
      </c>
      <c r="AA112" s="24">
        <v>0</v>
      </c>
      <c r="AB112" s="33">
        <v>0</v>
      </c>
      <c r="AC112" s="34">
        <v>0</v>
      </c>
      <c r="AD112" s="35">
        <v>0</v>
      </c>
      <c r="AE112" s="36">
        <v>0</v>
      </c>
      <c r="AF112" s="23">
        <v>0</v>
      </c>
      <c r="AG112" s="24">
        <v>0</v>
      </c>
      <c r="AH112" s="33">
        <v>0</v>
      </c>
      <c r="AI112" s="37">
        <v>0</v>
      </c>
      <c r="AJ112" s="35">
        <v>0</v>
      </c>
      <c r="AK112" s="36">
        <v>0</v>
      </c>
      <c r="AL112" s="38">
        <v>0</v>
      </c>
      <c r="AM112" s="35">
        <v>0</v>
      </c>
      <c r="AN112" s="19">
        <v>0</v>
      </c>
      <c r="AO112" s="23">
        <v>0</v>
      </c>
      <c r="AP112" s="24">
        <v>0</v>
      </c>
      <c r="AQ112" s="31">
        <f t="shared" si="9"/>
        <v>18.399999999999999</v>
      </c>
      <c r="AR112" s="32">
        <f t="shared" si="9"/>
        <v>46000</v>
      </c>
      <c r="AS112" s="30">
        <v>24</v>
      </c>
    </row>
    <row r="113" spans="1:45" ht="16" x14ac:dyDescent="0.2">
      <c r="A113" s="19">
        <v>110</v>
      </c>
      <c r="B113" s="21" t="s">
        <v>117</v>
      </c>
      <c r="C113" s="20" t="s">
        <v>135</v>
      </c>
      <c r="D113" s="345"/>
      <c r="E113" s="22">
        <v>20</v>
      </c>
      <c r="F113" s="23">
        <f t="shared" si="5"/>
        <v>50000</v>
      </c>
      <c r="G113" s="19">
        <v>0</v>
      </c>
      <c r="H113" s="23">
        <v>0</v>
      </c>
      <c r="I113" s="24">
        <v>0</v>
      </c>
      <c r="J113" s="19">
        <v>0</v>
      </c>
      <c r="K113" s="23">
        <v>0</v>
      </c>
      <c r="L113" s="24">
        <v>0</v>
      </c>
      <c r="M113" s="25">
        <v>5.2</v>
      </c>
      <c r="N113" s="26">
        <v>13000</v>
      </c>
      <c r="O113" s="27">
        <v>13</v>
      </c>
      <c r="P113" s="28">
        <f t="shared" si="6"/>
        <v>2.8</v>
      </c>
      <c r="Q113" s="29">
        <f t="shared" si="7"/>
        <v>7000</v>
      </c>
      <c r="R113" s="30">
        <v>7</v>
      </c>
      <c r="S113" s="19">
        <v>0</v>
      </c>
      <c r="T113" s="23">
        <v>0</v>
      </c>
      <c r="U113" s="24">
        <v>0</v>
      </c>
      <c r="V113" s="31">
        <f t="shared" si="8"/>
        <v>7.6</v>
      </c>
      <c r="W113" s="32">
        <v>19000</v>
      </c>
      <c r="X113" s="30">
        <v>19</v>
      </c>
      <c r="Y113" s="19">
        <v>0</v>
      </c>
      <c r="Z113" s="23">
        <v>0</v>
      </c>
      <c r="AA113" s="24">
        <v>0</v>
      </c>
      <c r="AB113" s="33">
        <v>0</v>
      </c>
      <c r="AC113" s="34">
        <v>0</v>
      </c>
      <c r="AD113" s="35">
        <v>0</v>
      </c>
      <c r="AE113" s="36">
        <v>0</v>
      </c>
      <c r="AF113" s="23">
        <v>0</v>
      </c>
      <c r="AG113" s="24">
        <v>0</v>
      </c>
      <c r="AH113" s="33">
        <v>0</v>
      </c>
      <c r="AI113" s="37">
        <v>0</v>
      </c>
      <c r="AJ113" s="35">
        <v>0</v>
      </c>
      <c r="AK113" s="36">
        <v>0</v>
      </c>
      <c r="AL113" s="38">
        <v>0</v>
      </c>
      <c r="AM113" s="35">
        <v>0</v>
      </c>
      <c r="AN113" s="19">
        <v>0</v>
      </c>
      <c r="AO113" s="23">
        <v>0</v>
      </c>
      <c r="AP113" s="24">
        <v>0</v>
      </c>
      <c r="AQ113" s="31">
        <f t="shared" si="9"/>
        <v>15.6</v>
      </c>
      <c r="AR113" s="32">
        <f t="shared" si="9"/>
        <v>39000</v>
      </c>
      <c r="AS113" s="30">
        <v>20</v>
      </c>
    </row>
    <row r="114" spans="1:45" ht="16" x14ac:dyDescent="0.2">
      <c r="A114" s="19">
        <v>111</v>
      </c>
      <c r="B114" s="21" t="s">
        <v>117</v>
      </c>
      <c r="C114" s="20" t="s">
        <v>136</v>
      </c>
      <c r="D114" s="345"/>
      <c r="E114" s="22">
        <v>17.399999999999999</v>
      </c>
      <c r="F114" s="23">
        <f t="shared" si="5"/>
        <v>43500</v>
      </c>
      <c r="G114" s="19">
        <v>0</v>
      </c>
      <c r="H114" s="23">
        <v>0</v>
      </c>
      <c r="I114" s="24">
        <v>0</v>
      </c>
      <c r="J114" s="19">
        <v>0</v>
      </c>
      <c r="K114" s="23">
        <v>0</v>
      </c>
      <c r="L114" s="24">
        <v>0</v>
      </c>
      <c r="M114" s="25">
        <v>2.8</v>
      </c>
      <c r="N114" s="26">
        <v>7000</v>
      </c>
      <c r="O114" s="27">
        <v>7</v>
      </c>
      <c r="P114" s="28">
        <f t="shared" si="6"/>
        <v>2</v>
      </c>
      <c r="Q114" s="29">
        <f t="shared" si="7"/>
        <v>5000</v>
      </c>
      <c r="R114" s="30">
        <v>5</v>
      </c>
      <c r="S114" s="19">
        <v>0</v>
      </c>
      <c r="T114" s="23">
        <v>0</v>
      </c>
      <c r="U114" s="24">
        <v>0</v>
      </c>
      <c r="V114" s="31">
        <f t="shared" si="8"/>
        <v>5.6</v>
      </c>
      <c r="W114" s="32">
        <v>14000</v>
      </c>
      <c r="X114" s="30">
        <v>14</v>
      </c>
      <c r="Y114" s="19">
        <v>0</v>
      </c>
      <c r="Z114" s="23">
        <v>0</v>
      </c>
      <c r="AA114" s="24">
        <v>0</v>
      </c>
      <c r="AB114" s="33">
        <v>0</v>
      </c>
      <c r="AC114" s="34">
        <v>0</v>
      </c>
      <c r="AD114" s="35">
        <v>0</v>
      </c>
      <c r="AE114" s="36">
        <v>0</v>
      </c>
      <c r="AF114" s="23">
        <v>0</v>
      </c>
      <c r="AG114" s="24">
        <v>0</v>
      </c>
      <c r="AH114" s="33">
        <v>0</v>
      </c>
      <c r="AI114" s="37">
        <v>0</v>
      </c>
      <c r="AJ114" s="35">
        <v>0</v>
      </c>
      <c r="AK114" s="36">
        <v>0</v>
      </c>
      <c r="AL114" s="38">
        <v>0</v>
      </c>
      <c r="AM114" s="35">
        <v>0</v>
      </c>
      <c r="AN114" s="19">
        <v>0</v>
      </c>
      <c r="AO114" s="23">
        <v>0</v>
      </c>
      <c r="AP114" s="24">
        <v>0</v>
      </c>
      <c r="AQ114" s="31">
        <f t="shared" si="9"/>
        <v>10.399999999999999</v>
      </c>
      <c r="AR114" s="32">
        <f t="shared" si="9"/>
        <v>26000</v>
      </c>
      <c r="AS114" s="30">
        <v>14</v>
      </c>
    </row>
    <row r="115" spans="1:45" ht="16" x14ac:dyDescent="0.2">
      <c r="A115" s="19">
        <v>112</v>
      </c>
      <c r="B115" s="21" t="s">
        <v>117</v>
      </c>
      <c r="C115" s="20" t="s">
        <v>137</v>
      </c>
      <c r="D115" s="345"/>
      <c r="E115" s="22">
        <v>16.600000000000001</v>
      </c>
      <c r="F115" s="23">
        <f t="shared" si="5"/>
        <v>41500</v>
      </c>
      <c r="G115" s="19">
        <v>0</v>
      </c>
      <c r="H115" s="23">
        <v>0</v>
      </c>
      <c r="I115" s="24">
        <v>0</v>
      </c>
      <c r="J115" s="19">
        <v>0</v>
      </c>
      <c r="K115" s="23">
        <v>0</v>
      </c>
      <c r="L115" s="24">
        <v>0</v>
      </c>
      <c r="M115" s="25">
        <v>2.4</v>
      </c>
      <c r="N115" s="26">
        <v>6000</v>
      </c>
      <c r="O115" s="27">
        <v>6</v>
      </c>
      <c r="P115" s="28">
        <f t="shared" si="6"/>
        <v>4.4000000000000004</v>
      </c>
      <c r="Q115" s="29">
        <f t="shared" si="7"/>
        <v>11000</v>
      </c>
      <c r="R115" s="30">
        <v>11</v>
      </c>
      <c r="S115" s="19">
        <v>0</v>
      </c>
      <c r="T115" s="23">
        <v>0</v>
      </c>
      <c r="U115" s="24">
        <v>0</v>
      </c>
      <c r="V115" s="31">
        <f t="shared" si="8"/>
        <v>7.6</v>
      </c>
      <c r="W115" s="32">
        <v>19000</v>
      </c>
      <c r="X115" s="30">
        <v>19</v>
      </c>
      <c r="Y115" s="19">
        <v>0</v>
      </c>
      <c r="Z115" s="23">
        <v>0</v>
      </c>
      <c r="AA115" s="24">
        <v>0</v>
      </c>
      <c r="AB115" s="33">
        <v>0</v>
      </c>
      <c r="AC115" s="34">
        <v>0</v>
      </c>
      <c r="AD115" s="35">
        <v>0</v>
      </c>
      <c r="AE115" s="36">
        <v>0</v>
      </c>
      <c r="AF115" s="23">
        <v>0</v>
      </c>
      <c r="AG115" s="24">
        <v>0</v>
      </c>
      <c r="AH115" s="33">
        <v>0</v>
      </c>
      <c r="AI115" s="37">
        <v>0</v>
      </c>
      <c r="AJ115" s="35">
        <v>0</v>
      </c>
      <c r="AK115" s="36">
        <v>0</v>
      </c>
      <c r="AL115" s="38">
        <v>0</v>
      </c>
      <c r="AM115" s="35">
        <v>0</v>
      </c>
      <c r="AN115" s="19">
        <v>0</v>
      </c>
      <c r="AO115" s="23">
        <v>0</v>
      </c>
      <c r="AP115" s="24">
        <v>0</v>
      </c>
      <c r="AQ115" s="31">
        <f t="shared" si="9"/>
        <v>14.4</v>
      </c>
      <c r="AR115" s="32">
        <f t="shared" si="9"/>
        <v>36000</v>
      </c>
      <c r="AS115" s="30">
        <v>19</v>
      </c>
    </row>
    <row r="116" spans="1:45" ht="16" x14ac:dyDescent="0.2">
      <c r="A116" s="19">
        <v>113</v>
      </c>
      <c r="B116" s="21" t="s">
        <v>117</v>
      </c>
      <c r="C116" s="20" t="s">
        <v>138</v>
      </c>
      <c r="D116" s="345"/>
      <c r="E116" s="22">
        <v>10</v>
      </c>
      <c r="F116" s="23">
        <f t="shared" si="5"/>
        <v>25000</v>
      </c>
      <c r="G116" s="19">
        <v>0</v>
      </c>
      <c r="H116" s="23">
        <v>0</v>
      </c>
      <c r="I116" s="24">
        <v>0</v>
      </c>
      <c r="J116" s="19">
        <v>0</v>
      </c>
      <c r="K116" s="23">
        <v>0</v>
      </c>
      <c r="L116" s="24">
        <v>0</v>
      </c>
      <c r="M116" s="25">
        <v>2.8</v>
      </c>
      <c r="N116" s="26">
        <v>7000</v>
      </c>
      <c r="O116" s="27">
        <v>7</v>
      </c>
      <c r="P116" s="28">
        <f t="shared" si="6"/>
        <v>2</v>
      </c>
      <c r="Q116" s="29">
        <f t="shared" si="7"/>
        <v>5000</v>
      </c>
      <c r="R116" s="30">
        <v>5</v>
      </c>
      <c r="S116" s="19">
        <v>0</v>
      </c>
      <c r="T116" s="23">
        <v>0</v>
      </c>
      <c r="U116" s="24">
        <v>0</v>
      </c>
      <c r="V116" s="31">
        <f t="shared" si="8"/>
        <v>4.8</v>
      </c>
      <c r="W116" s="32">
        <v>12000</v>
      </c>
      <c r="X116" s="30">
        <v>12</v>
      </c>
      <c r="Y116" s="19">
        <v>0</v>
      </c>
      <c r="Z116" s="23">
        <v>0</v>
      </c>
      <c r="AA116" s="24">
        <v>0</v>
      </c>
      <c r="AB116" s="33">
        <v>0</v>
      </c>
      <c r="AC116" s="34">
        <v>0</v>
      </c>
      <c r="AD116" s="35">
        <v>0</v>
      </c>
      <c r="AE116" s="36">
        <v>0</v>
      </c>
      <c r="AF116" s="23">
        <v>0</v>
      </c>
      <c r="AG116" s="24">
        <v>0</v>
      </c>
      <c r="AH116" s="33">
        <v>0</v>
      </c>
      <c r="AI116" s="37">
        <v>0</v>
      </c>
      <c r="AJ116" s="35">
        <v>0</v>
      </c>
      <c r="AK116" s="36">
        <v>0</v>
      </c>
      <c r="AL116" s="38">
        <v>0</v>
      </c>
      <c r="AM116" s="35">
        <v>0</v>
      </c>
      <c r="AN116" s="19">
        <v>0</v>
      </c>
      <c r="AO116" s="23">
        <v>0</v>
      </c>
      <c r="AP116" s="24">
        <v>0</v>
      </c>
      <c r="AQ116" s="31">
        <f t="shared" si="9"/>
        <v>9.6</v>
      </c>
      <c r="AR116" s="32">
        <f t="shared" si="9"/>
        <v>24000</v>
      </c>
      <c r="AS116" s="30">
        <v>12</v>
      </c>
    </row>
    <row r="117" spans="1:45" ht="16" x14ac:dyDescent="0.2">
      <c r="A117" s="19">
        <v>114</v>
      </c>
      <c r="B117" s="21" t="s">
        <v>117</v>
      </c>
      <c r="C117" s="20" t="s">
        <v>139</v>
      </c>
      <c r="D117" s="345"/>
      <c r="E117" s="22">
        <v>5</v>
      </c>
      <c r="F117" s="23">
        <f t="shared" si="5"/>
        <v>12500</v>
      </c>
      <c r="G117" s="19">
        <v>0</v>
      </c>
      <c r="H117" s="23">
        <v>0</v>
      </c>
      <c r="I117" s="24">
        <v>0</v>
      </c>
      <c r="J117" s="19">
        <v>0</v>
      </c>
      <c r="K117" s="23">
        <v>0</v>
      </c>
      <c r="L117" s="24">
        <v>0</v>
      </c>
      <c r="M117" s="25">
        <v>1.6</v>
      </c>
      <c r="N117" s="26">
        <v>4000</v>
      </c>
      <c r="O117" s="27">
        <v>4</v>
      </c>
      <c r="P117" s="28">
        <f t="shared" si="6"/>
        <v>0</v>
      </c>
      <c r="Q117" s="29">
        <f t="shared" si="7"/>
        <v>0</v>
      </c>
      <c r="R117" s="30">
        <v>0</v>
      </c>
      <c r="S117" s="19">
        <v>0</v>
      </c>
      <c r="T117" s="23">
        <v>0</v>
      </c>
      <c r="U117" s="24">
        <v>0</v>
      </c>
      <c r="V117" s="31">
        <f t="shared" si="8"/>
        <v>1.6</v>
      </c>
      <c r="W117" s="32">
        <v>4000</v>
      </c>
      <c r="X117" s="30">
        <v>4</v>
      </c>
      <c r="Y117" s="19">
        <v>0</v>
      </c>
      <c r="Z117" s="23">
        <v>0</v>
      </c>
      <c r="AA117" s="24">
        <v>0</v>
      </c>
      <c r="AB117" s="33">
        <v>0</v>
      </c>
      <c r="AC117" s="34">
        <v>0</v>
      </c>
      <c r="AD117" s="35">
        <v>0</v>
      </c>
      <c r="AE117" s="36">
        <v>0</v>
      </c>
      <c r="AF117" s="23">
        <v>0</v>
      </c>
      <c r="AG117" s="24">
        <v>0</v>
      </c>
      <c r="AH117" s="33">
        <v>0</v>
      </c>
      <c r="AI117" s="37">
        <v>0</v>
      </c>
      <c r="AJ117" s="35">
        <v>0</v>
      </c>
      <c r="AK117" s="36">
        <v>0</v>
      </c>
      <c r="AL117" s="38">
        <v>0</v>
      </c>
      <c r="AM117" s="35">
        <v>0</v>
      </c>
      <c r="AN117" s="19">
        <v>0</v>
      </c>
      <c r="AO117" s="23">
        <v>0</v>
      </c>
      <c r="AP117" s="24">
        <v>0</v>
      </c>
      <c r="AQ117" s="31">
        <f t="shared" si="9"/>
        <v>3.2</v>
      </c>
      <c r="AR117" s="32">
        <f t="shared" si="9"/>
        <v>8000</v>
      </c>
      <c r="AS117" s="30">
        <v>4</v>
      </c>
    </row>
    <row r="118" spans="1:45" ht="16" x14ac:dyDescent="0.2">
      <c r="A118" s="19">
        <v>115</v>
      </c>
      <c r="B118" s="21" t="s">
        <v>117</v>
      </c>
      <c r="C118" s="20" t="s">
        <v>140</v>
      </c>
      <c r="D118" s="345"/>
      <c r="E118" s="22">
        <v>20.399999999999999</v>
      </c>
      <c r="F118" s="23">
        <f t="shared" si="5"/>
        <v>51000</v>
      </c>
      <c r="G118" s="19">
        <v>0</v>
      </c>
      <c r="H118" s="23">
        <v>0</v>
      </c>
      <c r="I118" s="24">
        <v>0</v>
      </c>
      <c r="J118" s="19">
        <v>0</v>
      </c>
      <c r="K118" s="23">
        <v>0</v>
      </c>
      <c r="L118" s="24">
        <v>0</v>
      </c>
      <c r="M118" s="25">
        <v>3.6</v>
      </c>
      <c r="N118" s="26">
        <v>9000</v>
      </c>
      <c r="O118" s="27">
        <v>9</v>
      </c>
      <c r="P118" s="28">
        <f t="shared" si="6"/>
        <v>2.8</v>
      </c>
      <c r="Q118" s="29">
        <f t="shared" si="7"/>
        <v>7000</v>
      </c>
      <c r="R118" s="30">
        <v>7</v>
      </c>
      <c r="S118" s="19">
        <v>0</v>
      </c>
      <c r="T118" s="23">
        <v>0</v>
      </c>
      <c r="U118" s="24">
        <v>0</v>
      </c>
      <c r="V118" s="31">
        <f t="shared" si="8"/>
        <v>6.4</v>
      </c>
      <c r="W118" s="32">
        <v>16000</v>
      </c>
      <c r="X118" s="30">
        <v>16</v>
      </c>
      <c r="Y118" s="19">
        <v>0</v>
      </c>
      <c r="Z118" s="23">
        <v>0</v>
      </c>
      <c r="AA118" s="24">
        <v>0</v>
      </c>
      <c r="AB118" s="33">
        <v>0</v>
      </c>
      <c r="AC118" s="34">
        <v>0</v>
      </c>
      <c r="AD118" s="35">
        <v>0</v>
      </c>
      <c r="AE118" s="36">
        <v>0</v>
      </c>
      <c r="AF118" s="23">
        <v>0</v>
      </c>
      <c r="AG118" s="24">
        <v>0</v>
      </c>
      <c r="AH118" s="33">
        <v>0</v>
      </c>
      <c r="AI118" s="37">
        <v>0</v>
      </c>
      <c r="AJ118" s="35">
        <v>0</v>
      </c>
      <c r="AK118" s="36">
        <v>0</v>
      </c>
      <c r="AL118" s="38">
        <v>0</v>
      </c>
      <c r="AM118" s="35">
        <v>0</v>
      </c>
      <c r="AN118" s="19">
        <v>0</v>
      </c>
      <c r="AO118" s="23">
        <v>0</v>
      </c>
      <c r="AP118" s="24">
        <v>0</v>
      </c>
      <c r="AQ118" s="31">
        <f t="shared" si="9"/>
        <v>12.8</v>
      </c>
      <c r="AR118" s="32">
        <f t="shared" si="9"/>
        <v>32000</v>
      </c>
      <c r="AS118" s="30">
        <v>17</v>
      </c>
    </row>
    <row r="119" spans="1:45" ht="16" x14ac:dyDescent="0.2">
      <c r="A119" s="19">
        <v>116</v>
      </c>
      <c r="B119" s="21" t="s">
        <v>117</v>
      </c>
      <c r="C119" s="20" t="s">
        <v>141</v>
      </c>
      <c r="D119" s="345"/>
      <c r="E119" s="22">
        <v>4.8</v>
      </c>
      <c r="F119" s="23">
        <f t="shared" si="5"/>
        <v>12000</v>
      </c>
      <c r="G119" s="19">
        <v>0</v>
      </c>
      <c r="H119" s="23">
        <v>0</v>
      </c>
      <c r="I119" s="24">
        <v>0</v>
      </c>
      <c r="J119" s="19">
        <v>0</v>
      </c>
      <c r="K119" s="23">
        <v>0</v>
      </c>
      <c r="L119" s="24">
        <v>0</v>
      </c>
      <c r="M119" s="25">
        <v>1.6</v>
      </c>
      <c r="N119" s="26">
        <v>4000</v>
      </c>
      <c r="O119" s="27">
        <v>4</v>
      </c>
      <c r="P119" s="28">
        <f t="shared" si="6"/>
        <v>0</v>
      </c>
      <c r="Q119" s="29">
        <f t="shared" si="7"/>
        <v>0</v>
      </c>
      <c r="R119" s="30">
        <v>0</v>
      </c>
      <c r="S119" s="19">
        <v>0</v>
      </c>
      <c r="T119" s="23">
        <v>0</v>
      </c>
      <c r="U119" s="24">
        <v>0</v>
      </c>
      <c r="V119" s="31">
        <f t="shared" si="8"/>
        <v>1.6</v>
      </c>
      <c r="W119" s="32">
        <v>4000</v>
      </c>
      <c r="X119" s="30">
        <v>4</v>
      </c>
      <c r="Y119" s="19">
        <v>0</v>
      </c>
      <c r="Z119" s="23">
        <v>0</v>
      </c>
      <c r="AA119" s="24">
        <v>0</v>
      </c>
      <c r="AB119" s="33">
        <v>0</v>
      </c>
      <c r="AC119" s="34">
        <v>0</v>
      </c>
      <c r="AD119" s="35">
        <v>0</v>
      </c>
      <c r="AE119" s="36">
        <v>0</v>
      </c>
      <c r="AF119" s="23">
        <v>0</v>
      </c>
      <c r="AG119" s="24">
        <v>0</v>
      </c>
      <c r="AH119" s="33">
        <v>0</v>
      </c>
      <c r="AI119" s="37">
        <v>0</v>
      </c>
      <c r="AJ119" s="35">
        <v>0</v>
      </c>
      <c r="AK119" s="36">
        <v>0</v>
      </c>
      <c r="AL119" s="38">
        <v>0</v>
      </c>
      <c r="AM119" s="35">
        <v>0</v>
      </c>
      <c r="AN119" s="19">
        <v>0</v>
      </c>
      <c r="AO119" s="23">
        <v>0</v>
      </c>
      <c r="AP119" s="24">
        <v>0</v>
      </c>
      <c r="AQ119" s="31">
        <f t="shared" si="9"/>
        <v>3.2</v>
      </c>
      <c r="AR119" s="32">
        <f t="shared" si="9"/>
        <v>8000</v>
      </c>
      <c r="AS119" s="30">
        <v>4</v>
      </c>
    </row>
    <row r="120" spans="1:45" ht="16" x14ac:dyDescent="0.2">
      <c r="A120" s="19">
        <v>117</v>
      </c>
      <c r="B120" s="21" t="s">
        <v>117</v>
      </c>
      <c r="C120" s="20" t="s">
        <v>142</v>
      </c>
      <c r="D120" s="345"/>
      <c r="E120" s="22">
        <v>26.400000000000002</v>
      </c>
      <c r="F120" s="23">
        <f t="shared" si="5"/>
        <v>66000</v>
      </c>
      <c r="G120" s="19">
        <v>0</v>
      </c>
      <c r="H120" s="23">
        <v>0</v>
      </c>
      <c r="I120" s="24">
        <v>0</v>
      </c>
      <c r="J120" s="19">
        <v>0</v>
      </c>
      <c r="K120" s="23">
        <v>0</v>
      </c>
      <c r="L120" s="24">
        <v>0</v>
      </c>
      <c r="M120" s="25">
        <v>4.4000000000000004</v>
      </c>
      <c r="N120" s="26">
        <v>11000</v>
      </c>
      <c r="O120" s="27">
        <v>11</v>
      </c>
      <c r="P120" s="28">
        <f t="shared" si="6"/>
        <v>4.4000000000000004</v>
      </c>
      <c r="Q120" s="29">
        <f t="shared" si="7"/>
        <v>11000</v>
      </c>
      <c r="R120" s="30">
        <v>11</v>
      </c>
      <c r="S120" s="19">
        <v>0</v>
      </c>
      <c r="T120" s="23">
        <v>0</v>
      </c>
      <c r="U120" s="24">
        <v>0</v>
      </c>
      <c r="V120" s="31">
        <f t="shared" si="8"/>
        <v>9.1999999999999993</v>
      </c>
      <c r="W120" s="32">
        <v>23000</v>
      </c>
      <c r="X120" s="30">
        <v>23</v>
      </c>
      <c r="Y120" s="19">
        <v>0</v>
      </c>
      <c r="Z120" s="23">
        <v>0</v>
      </c>
      <c r="AA120" s="24">
        <v>0</v>
      </c>
      <c r="AB120" s="33">
        <v>0</v>
      </c>
      <c r="AC120" s="34">
        <v>0</v>
      </c>
      <c r="AD120" s="35">
        <v>0</v>
      </c>
      <c r="AE120" s="36">
        <v>0</v>
      </c>
      <c r="AF120" s="23">
        <v>0</v>
      </c>
      <c r="AG120" s="24">
        <v>0</v>
      </c>
      <c r="AH120" s="33">
        <v>0</v>
      </c>
      <c r="AI120" s="37">
        <v>0</v>
      </c>
      <c r="AJ120" s="35">
        <v>0</v>
      </c>
      <c r="AK120" s="36">
        <v>0</v>
      </c>
      <c r="AL120" s="38">
        <v>0</v>
      </c>
      <c r="AM120" s="35">
        <v>0</v>
      </c>
      <c r="AN120" s="19">
        <v>0</v>
      </c>
      <c r="AO120" s="23">
        <v>0</v>
      </c>
      <c r="AP120" s="24">
        <v>0</v>
      </c>
      <c r="AQ120" s="31">
        <f t="shared" si="9"/>
        <v>18</v>
      </c>
      <c r="AR120" s="32">
        <f t="shared" si="9"/>
        <v>45000</v>
      </c>
      <c r="AS120" s="30">
        <v>23</v>
      </c>
    </row>
    <row r="121" spans="1:45" ht="16" x14ac:dyDescent="0.2">
      <c r="A121" s="19">
        <v>118</v>
      </c>
      <c r="B121" s="21" t="s">
        <v>117</v>
      </c>
      <c r="C121" s="20" t="s">
        <v>143</v>
      </c>
      <c r="D121" s="345"/>
      <c r="E121" s="22">
        <v>23.4</v>
      </c>
      <c r="F121" s="23">
        <f t="shared" si="5"/>
        <v>58500</v>
      </c>
      <c r="G121" s="19">
        <v>0</v>
      </c>
      <c r="H121" s="23">
        <v>0</v>
      </c>
      <c r="I121" s="24">
        <v>0</v>
      </c>
      <c r="J121" s="19">
        <v>0</v>
      </c>
      <c r="K121" s="23">
        <v>0</v>
      </c>
      <c r="L121" s="24">
        <v>0</v>
      </c>
      <c r="M121" s="25">
        <v>5.2</v>
      </c>
      <c r="N121" s="26">
        <v>13000</v>
      </c>
      <c r="O121" s="27">
        <v>13</v>
      </c>
      <c r="P121" s="28">
        <f t="shared" si="6"/>
        <v>4</v>
      </c>
      <c r="Q121" s="29">
        <f t="shared" si="7"/>
        <v>10000</v>
      </c>
      <c r="R121" s="30">
        <v>10</v>
      </c>
      <c r="S121" s="19">
        <v>0</v>
      </c>
      <c r="T121" s="23">
        <v>0</v>
      </c>
      <c r="U121" s="24">
        <v>0</v>
      </c>
      <c r="V121" s="31">
        <f t="shared" si="8"/>
        <v>8.8000000000000007</v>
      </c>
      <c r="W121" s="32">
        <v>22000</v>
      </c>
      <c r="X121" s="30">
        <v>22</v>
      </c>
      <c r="Y121" s="19">
        <v>0</v>
      </c>
      <c r="Z121" s="23">
        <v>0</v>
      </c>
      <c r="AA121" s="24">
        <v>0</v>
      </c>
      <c r="AB121" s="33">
        <v>0</v>
      </c>
      <c r="AC121" s="34">
        <v>0</v>
      </c>
      <c r="AD121" s="35">
        <v>0</v>
      </c>
      <c r="AE121" s="36">
        <v>0</v>
      </c>
      <c r="AF121" s="23">
        <v>0</v>
      </c>
      <c r="AG121" s="24">
        <v>0</v>
      </c>
      <c r="AH121" s="33">
        <v>0</v>
      </c>
      <c r="AI121" s="37">
        <v>0</v>
      </c>
      <c r="AJ121" s="35">
        <v>0</v>
      </c>
      <c r="AK121" s="36">
        <v>0</v>
      </c>
      <c r="AL121" s="38">
        <v>0</v>
      </c>
      <c r="AM121" s="35">
        <v>0</v>
      </c>
      <c r="AN121" s="19">
        <v>0</v>
      </c>
      <c r="AO121" s="23">
        <v>0</v>
      </c>
      <c r="AP121" s="24">
        <v>0</v>
      </c>
      <c r="AQ121" s="31">
        <f t="shared" si="9"/>
        <v>18</v>
      </c>
      <c r="AR121" s="32">
        <f t="shared" si="9"/>
        <v>45000</v>
      </c>
      <c r="AS121" s="30">
        <v>23</v>
      </c>
    </row>
    <row r="122" spans="1:45" ht="16" x14ac:dyDescent="0.2">
      <c r="A122" s="19">
        <v>119</v>
      </c>
      <c r="B122" s="21" t="s">
        <v>117</v>
      </c>
      <c r="C122" s="20" t="s">
        <v>144</v>
      </c>
      <c r="D122" s="345"/>
      <c r="E122" s="22">
        <v>20</v>
      </c>
      <c r="F122" s="23">
        <f t="shared" si="5"/>
        <v>50000</v>
      </c>
      <c r="G122" s="19">
        <v>0</v>
      </c>
      <c r="H122" s="23">
        <v>0</v>
      </c>
      <c r="I122" s="24">
        <v>0</v>
      </c>
      <c r="J122" s="19">
        <v>0</v>
      </c>
      <c r="K122" s="23">
        <v>0</v>
      </c>
      <c r="L122" s="24">
        <v>0</v>
      </c>
      <c r="M122" s="25">
        <v>4.4000000000000004</v>
      </c>
      <c r="N122" s="26">
        <v>11000</v>
      </c>
      <c r="O122" s="27">
        <v>11</v>
      </c>
      <c r="P122" s="28">
        <f t="shared" si="6"/>
        <v>2.8</v>
      </c>
      <c r="Q122" s="29">
        <f t="shared" si="7"/>
        <v>7000</v>
      </c>
      <c r="R122" s="30">
        <v>7</v>
      </c>
      <c r="S122" s="19">
        <v>0</v>
      </c>
      <c r="T122" s="23">
        <v>0</v>
      </c>
      <c r="U122" s="24">
        <v>0</v>
      </c>
      <c r="V122" s="31">
        <f t="shared" si="8"/>
        <v>7.6</v>
      </c>
      <c r="W122" s="32">
        <v>19000</v>
      </c>
      <c r="X122" s="30">
        <v>19</v>
      </c>
      <c r="Y122" s="19">
        <v>0</v>
      </c>
      <c r="Z122" s="23">
        <v>0</v>
      </c>
      <c r="AA122" s="24">
        <v>0</v>
      </c>
      <c r="AB122" s="33">
        <v>0</v>
      </c>
      <c r="AC122" s="34">
        <v>0</v>
      </c>
      <c r="AD122" s="35">
        <v>0</v>
      </c>
      <c r="AE122" s="36">
        <v>0</v>
      </c>
      <c r="AF122" s="23">
        <v>0</v>
      </c>
      <c r="AG122" s="24">
        <v>0</v>
      </c>
      <c r="AH122" s="33">
        <v>0</v>
      </c>
      <c r="AI122" s="37">
        <v>0</v>
      </c>
      <c r="AJ122" s="35">
        <v>0</v>
      </c>
      <c r="AK122" s="36">
        <v>0</v>
      </c>
      <c r="AL122" s="38">
        <v>0</v>
      </c>
      <c r="AM122" s="35">
        <v>0</v>
      </c>
      <c r="AN122" s="19">
        <v>0</v>
      </c>
      <c r="AO122" s="23">
        <v>0</v>
      </c>
      <c r="AP122" s="24">
        <v>0</v>
      </c>
      <c r="AQ122" s="31">
        <f t="shared" si="9"/>
        <v>14.8</v>
      </c>
      <c r="AR122" s="32">
        <f t="shared" si="9"/>
        <v>37000</v>
      </c>
      <c r="AS122" s="30">
        <v>19</v>
      </c>
    </row>
    <row r="123" spans="1:45" ht="16" x14ac:dyDescent="0.2">
      <c r="A123" s="19">
        <v>120</v>
      </c>
      <c r="B123" s="21" t="s">
        <v>117</v>
      </c>
      <c r="C123" s="20" t="s">
        <v>145</v>
      </c>
      <c r="D123" s="345" t="s">
        <v>25</v>
      </c>
      <c r="E123" s="22">
        <v>9.8000000000000007</v>
      </c>
      <c r="F123" s="23">
        <f t="shared" si="5"/>
        <v>24500</v>
      </c>
      <c r="G123" s="19">
        <v>0</v>
      </c>
      <c r="H123" s="23">
        <v>0</v>
      </c>
      <c r="I123" s="24">
        <v>0</v>
      </c>
      <c r="J123" s="19">
        <v>0</v>
      </c>
      <c r="K123" s="23">
        <v>0</v>
      </c>
      <c r="L123" s="24">
        <v>0</v>
      </c>
      <c r="M123" s="25">
        <v>4</v>
      </c>
      <c r="N123" s="26">
        <v>10000</v>
      </c>
      <c r="O123" s="27">
        <v>10</v>
      </c>
      <c r="P123" s="28">
        <f t="shared" si="6"/>
        <v>4</v>
      </c>
      <c r="Q123" s="29">
        <f t="shared" si="7"/>
        <v>10000</v>
      </c>
      <c r="R123" s="30">
        <v>10</v>
      </c>
      <c r="S123" s="19">
        <v>0</v>
      </c>
      <c r="T123" s="23">
        <v>0</v>
      </c>
      <c r="U123" s="24">
        <v>0</v>
      </c>
      <c r="V123" s="31">
        <f t="shared" si="8"/>
        <v>8</v>
      </c>
      <c r="W123" s="32">
        <v>20000</v>
      </c>
      <c r="X123" s="30">
        <v>20</v>
      </c>
      <c r="Y123" s="19">
        <v>0</v>
      </c>
      <c r="Z123" s="23">
        <v>0</v>
      </c>
      <c r="AA123" s="24">
        <v>0</v>
      </c>
      <c r="AB123" s="33">
        <v>0</v>
      </c>
      <c r="AC123" s="34">
        <v>0</v>
      </c>
      <c r="AD123" s="35">
        <v>0</v>
      </c>
      <c r="AE123" s="36">
        <v>0</v>
      </c>
      <c r="AF123" s="23">
        <v>0</v>
      </c>
      <c r="AG123" s="24">
        <v>0</v>
      </c>
      <c r="AH123" s="33">
        <v>0</v>
      </c>
      <c r="AI123" s="37">
        <v>0</v>
      </c>
      <c r="AJ123" s="35">
        <v>0</v>
      </c>
      <c r="AK123" s="36">
        <v>0</v>
      </c>
      <c r="AL123" s="38">
        <v>0</v>
      </c>
      <c r="AM123" s="35">
        <v>0</v>
      </c>
      <c r="AN123" s="19">
        <v>0</v>
      </c>
      <c r="AO123" s="23">
        <v>0</v>
      </c>
      <c r="AP123" s="24">
        <v>0</v>
      </c>
      <c r="AQ123" s="31">
        <f t="shared" si="9"/>
        <v>16</v>
      </c>
      <c r="AR123" s="32">
        <f t="shared" si="9"/>
        <v>40000</v>
      </c>
      <c r="AS123" s="30">
        <v>20</v>
      </c>
    </row>
    <row r="124" spans="1:45" ht="16" x14ac:dyDescent="0.2">
      <c r="A124" s="19">
        <v>121</v>
      </c>
      <c r="B124" s="21" t="s">
        <v>117</v>
      </c>
      <c r="C124" s="20" t="s">
        <v>146</v>
      </c>
      <c r="D124" s="345"/>
      <c r="E124" s="22">
        <v>25</v>
      </c>
      <c r="F124" s="23">
        <f t="shared" si="5"/>
        <v>62500</v>
      </c>
      <c r="G124" s="19">
        <v>0</v>
      </c>
      <c r="H124" s="23">
        <v>0</v>
      </c>
      <c r="I124" s="24">
        <v>0</v>
      </c>
      <c r="J124" s="19">
        <v>0</v>
      </c>
      <c r="K124" s="23">
        <v>0</v>
      </c>
      <c r="L124" s="24">
        <v>0</v>
      </c>
      <c r="M124" s="25">
        <v>7.2</v>
      </c>
      <c r="N124" s="26">
        <v>18000</v>
      </c>
      <c r="O124" s="27">
        <v>18</v>
      </c>
      <c r="P124" s="28">
        <f t="shared" si="6"/>
        <v>4.8</v>
      </c>
      <c r="Q124" s="29">
        <f t="shared" si="7"/>
        <v>12000</v>
      </c>
      <c r="R124" s="30">
        <v>12</v>
      </c>
      <c r="S124" s="19">
        <v>0</v>
      </c>
      <c r="T124" s="23">
        <v>0</v>
      </c>
      <c r="U124" s="24">
        <v>0</v>
      </c>
      <c r="V124" s="31">
        <f t="shared" si="8"/>
        <v>12</v>
      </c>
      <c r="W124" s="32">
        <v>30000</v>
      </c>
      <c r="X124" s="30">
        <v>30</v>
      </c>
      <c r="Y124" s="19">
        <v>0</v>
      </c>
      <c r="Z124" s="23">
        <v>0</v>
      </c>
      <c r="AA124" s="24">
        <v>0</v>
      </c>
      <c r="AB124" s="33">
        <v>0</v>
      </c>
      <c r="AC124" s="34">
        <v>0</v>
      </c>
      <c r="AD124" s="35">
        <v>0</v>
      </c>
      <c r="AE124" s="36">
        <v>0</v>
      </c>
      <c r="AF124" s="23">
        <v>0</v>
      </c>
      <c r="AG124" s="24">
        <v>0</v>
      </c>
      <c r="AH124" s="33">
        <v>0</v>
      </c>
      <c r="AI124" s="37">
        <v>0</v>
      </c>
      <c r="AJ124" s="35">
        <v>0</v>
      </c>
      <c r="AK124" s="36">
        <v>0</v>
      </c>
      <c r="AL124" s="38">
        <v>0</v>
      </c>
      <c r="AM124" s="35">
        <v>0</v>
      </c>
      <c r="AN124" s="19">
        <v>0</v>
      </c>
      <c r="AO124" s="23">
        <v>0</v>
      </c>
      <c r="AP124" s="24">
        <v>0</v>
      </c>
      <c r="AQ124" s="31">
        <f t="shared" si="9"/>
        <v>24</v>
      </c>
      <c r="AR124" s="32">
        <f t="shared" si="9"/>
        <v>60000</v>
      </c>
      <c r="AS124" s="30">
        <v>30</v>
      </c>
    </row>
    <row r="125" spans="1:45" ht="16" x14ac:dyDescent="0.2">
      <c r="A125" s="19">
        <v>122</v>
      </c>
      <c r="B125" s="21" t="s">
        <v>117</v>
      </c>
      <c r="C125" s="20" t="s">
        <v>147</v>
      </c>
      <c r="D125" s="345"/>
      <c r="E125" s="22">
        <v>20.6</v>
      </c>
      <c r="F125" s="23">
        <f t="shared" si="5"/>
        <v>51500</v>
      </c>
      <c r="G125" s="19">
        <v>0</v>
      </c>
      <c r="H125" s="23">
        <v>0</v>
      </c>
      <c r="I125" s="24">
        <v>0</v>
      </c>
      <c r="J125" s="19">
        <v>0</v>
      </c>
      <c r="K125" s="23">
        <v>0</v>
      </c>
      <c r="L125" s="24">
        <v>0</v>
      </c>
      <c r="M125" s="25">
        <v>5.6</v>
      </c>
      <c r="N125" s="26">
        <v>14000</v>
      </c>
      <c r="O125" s="27">
        <v>14</v>
      </c>
      <c r="P125" s="28">
        <f t="shared" si="6"/>
        <v>0</v>
      </c>
      <c r="Q125" s="29">
        <f t="shared" si="7"/>
        <v>0</v>
      </c>
      <c r="R125" s="30">
        <v>0</v>
      </c>
      <c r="S125" s="19">
        <v>0</v>
      </c>
      <c r="T125" s="23">
        <v>0</v>
      </c>
      <c r="U125" s="24">
        <v>0</v>
      </c>
      <c r="V125" s="31">
        <f t="shared" si="8"/>
        <v>5.6</v>
      </c>
      <c r="W125" s="32">
        <v>14000</v>
      </c>
      <c r="X125" s="30">
        <v>14</v>
      </c>
      <c r="Y125" s="19">
        <v>0</v>
      </c>
      <c r="Z125" s="23">
        <v>0</v>
      </c>
      <c r="AA125" s="24">
        <v>0</v>
      </c>
      <c r="AB125" s="33">
        <v>0</v>
      </c>
      <c r="AC125" s="34">
        <v>0</v>
      </c>
      <c r="AD125" s="35">
        <v>0</v>
      </c>
      <c r="AE125" s="36">
        <v>0</v>
      </c>
      <c r="AF125" s="23">
        <v>0</v>
      </c>
      <c r="AG125" s="24">
        <v>0</v>
      </c>
      <c r="AH125" s="33">
        <v>0</v>
      </c>
      <c r="AI125" s="37">
        <v>0</v>
      </c>
      <c r="AJ125" s="35">
        <v>0</v>
      </c>
      <c r="AK125" s="36">
        <v>0</v>
      </c>
      <c r="AL125" s="38">
        <v>0</v>
      </c>
      <c r="AM125" s="35">
        <v>0</v>
      </c>
      <c r="AN125" s="19">
        <v>0</v>
      </c>
      <c r="AO125" s="23">
        <v>0</v>
      </c>
      <c r="AP125" s="24">
        <v>0</v>
      </c>
      <c r="AQ125" s="31">
        <f t="shared" si="9"/>
        <v>11.2</v>
      </c>
      <c r="AR125" s="32">
        <f t="shared" si="9"/>
        <v>28000</v>
      </c>
      <c r="AS125" s="30">
        <v>14</v>
      </c>
    </row>
    <row r="126" spans="1:45" ht="16" x14ac:dyDescent="0.2">
      <c r="A126" s="19">
        <v>123</v>
      </c>
      <c r="B126" s="21" t="s">
        <v>117</v>
      </c>
      <c r="C126" s="20" t="s">
        <v>148</v>
      </c>
      <c r="D126" s="345"/>
      <c r="E126" s="22">
        <v>13</v>
      </c>
      <c r="F126" s="23">
        <f t="shared" si="5"/>
        <v>32500</v>
      </c>
      <c r="G126" s="19">
        <v>0</v>
      </c>
      <c r="H126" s="23">
        <v>0</v>
      </c>
      <c r="I126" s="24">
        <v>0</v>
      </c>
      <c r="J126" s="19">
        <v>0</v>
      </c>
      <c r="K126" s="23">
        <v>0</v>
      </c>
      <c r="L126" s="24">
        <v>0</v>
      </c>
      <c r="M126" s="25">
        <v>4</v>
      </c>
      <c r="N126" s="26">
        <v>10000</v>
      </c>
      <c r="O126" s="27">
        <v>10</v>
      </c>
      <c r="P126" s="28">
        <f t="shared" si="6"/>
        <v>1.6</v>
      </c>
      <c r="Q126" s="29">
        <f t="shared" si="7"/>
        <v>4000</v>
      </c>
      <c r="R126" s="30">
        <v>4</v>
      </c>
      <c r="S126" s="19">
        <v>0</v>
      </c>
      <c r="T126" s="23">
        <v>0</v>
      </c>
      <c r="U126" s="24">
        <v>0</v>
      </c>
      <c r="V126" s="31">
        <f t="shared" si="8"/>
        <v>5.6</v>
      </c>
      <c r="W126" s="32">
        <v>14000</v>
      </c>
      <c r="X126" s="30">
        <v>14</v>
      </c>
      <c r="Y126" s="19">
        <v>0</v>
      </c>
      <c r="Z126" s="23">
        <v>0</v>
      </c>
      <c r="AA126" s="24">
        <v>0</v>
      </c>
      <c r="AB126" s="33">
        <v>0</v>
      </c>
      <c r="AC126" s="34">
        <v>0</v>
      </c>
      <c r="AD126" s="35">
        <v>0</v>
      </c>
      <c r="AE126" s="36">
        <v>0</v>
      </c>
      <c r="AF126" s="23">
        <v>0</v>
      </c>
      <c r="AG126" s="24">
        <v>0</v>
      </c>
      <c r="AH126" s="33">
        <v>0</v>
      </c>
      <c r="AI126" s="37">
        <v>0</v>
      </c>
      <c r="AJ126" s="35">
        <v>0</v>
      </c>
      <c r="AK126" s="36">
        <v>0</v>
      </c>
      <c r="AL126" s="38">
        <v>0</v>
      </c>
      <c r="AM126" s="35">
        <v>0</v>
      </c>
      <c r="AN126" s="19">
        <v>0</v>
      </c>
      <c r="AO126" s="23">
        <v>0</v>
      </c>
      <c r="AP126" s="24">
        <v>0</v>
      </c>
      <c r="AQ126" s="31">
        <f t="shared" si="9"/>
        <v>11.2</v>
      </c>
      <c r="AR126" s="32">
        <f t="shared" si="9"/>
        <v>28000</v>
      </c>
      <c r="AS126" s="30">
        <v>14</v>
      </c>
    </row>
    <row r="127" spans="1:45" ht="16" x14ac:dyDescent="0.2">
      <c r="A127" s="19">
        <v>124</v>
      </c>
      <c r="B127" s="21" t="s">
        <v>149</v>
      </c>
      <c r="C127" s="20" t="s">
        <v>150</v>
      </c>
      <c r="D127" s="345"/>
      <c r="E127" s="22">
        <v>27</v>
      </c>
      <c r="F127" s="23">
        <f t="shared" si="5"/>
        <v>67500</v>
      </c>
      <c r="G127" s="19">
        <v>0</v>
      </c>
      <c r="H127" s="23">
        <v>0</v>
      </c>
      <c r="I127" s="24">
        <v>0</v>
      </c>
      <c r="J127" s="19">
        <v>0</v>
      </c>
      <c r="K127" s="23">
        <v>0</v>
      </c>
      <c r="L127" s="24">
        <v>0</v>
      </c>
      <c r="M127" s="25">
        <v>8.8000000000000007</v>
      </c>
      <c r="N127" s="26">
        <v>22000</v>
      </c>
      <c r="O127" s="27">
        <v>22</v>
      </c>
      <c r="P127" s="28">
        <f t="shared" si="6"/>
        <v>1.2</v>
      </c>
      <c r="Q127" s="29">
        <f t="shared" si="7"/>
        <v>3000</v>
      </c>
      <c r="R127" s="30">
        <v>3</v>
      </c>
      <c r="S127" s="19">
        <v>0</v>
      </c>
      <c r="T127" s="23">
        <v>0</v>
      </c>
      <c r="U127" s="24">
        <v>0</v>
      </c>
      <c r="V127" s="31">
        <f t="shared" si="8"/>
        <v>9.6</v>
      </c>
      <c r="W127" s="32">
        <v>24000</v>
      </c>
      <c r="X127" s="30">
        <v>24</v>
      </c>
      <c r="Y127" s="19">
        <v>0</v>
      </c>
      <c r="Z127" s="23">
        <v>0</v>
      </c>
      <c r="AA127" s="24">
        <v>0</v>
      </c>
      <c r="AB127" s="33">
        <v>0</v>
      </c>
      <c r="AC127" s="34">
        <v>0</v>
      </c>
      <c r="AD127" s="35">
        <v>0</v>
      </c>
      <c r="AE127" s="36">
        <v>0</v>
      </c>
      <c r="AF127" s="23">
        <v>0</v>
      </c>
      <c r="AG127" s="24">
        <v>0</v>
      </c>
      <c r="AH127" s="33">
        <v>0</v>
      </c>
      <c r="AI127" s="37">
        <v>0</v>
      </c>
      <c r="AJ127" s="35">
        <v>0</v>
      </c>
      <c r="AK127" s="36">
        <v>0</v>
      </c>
      <c r="AL127" s="38">
        <v>0</v>
      </c>
      <c r="AM127" s="35">
        <v>0</v>
      </c>
      <c r="AN127" s="19">
        <v>0</v>
      </c>
      <c r="AO127" s="23">
        <v>0</v>
      </c>
      <c r="AP127" s="24">
        <v>0</v>
      </c>
      <c r="AQ127" s="31">
        <f t="shared" si="9"/>
        <v>19.600000000000001</v>
      </c>
      <c r="AR127" s="32">
        <f t="shared" si="9"/>
        <v>49000</v>
      </c>
      <c r="AS127" s="30">
        <v>25</v>
      </c>
    </row>
    <row r="128" spans="1:45" ht="16" x14ac:dyDescent="0.2">
      <c r="A128" s="19">
        <v>125</v>
      </c>
      <c r="B128" s="21" t="s">
        <v>149</v>
      </c>
      <c r="C128" s="20" t="s">
        <v>151</v>
      </c>
      <c r="D128" s="345"/>
      <c r="E128" s="22">
        <v>24.600000000000005</v>
      </c>
      <c r="F128" s="23">
        <f t="shared" si="5"/>
        <v>61500.000000000015</v>
      </c>
      <c r="G128" s="19">
        <v>0</v>
      </c>
      <c r="H128" s="23">
        <v>0</v>
      </c>
      <c r="I128" s="24">
        <v>0</v>
      </c>
      <c r="J128" s="19">
        <v>0</v>
      </c>
      <c r="K128" s="23">
        <v>0</v>
      </c>
      <c r="L128" s="24">
        <v>0</v>
      </c>
      <c r="M128" s="25">
        <v>6.8</v>
      </c>
      <c r="N128" s="26">
        <v>17000</v>
      </c>
      <c r="O128" s="27">
        <v>17</v>
      </c>
      <c r="P128" s="28">
        <f t="shared" si="6"/>
        <v>2</v>
      </c>
      <c r="Q128" s="29">
        <f t="shared" si="7"/>
        <v>5000</v>
      </c>
      <c r="R128" s="30">
        <v>5</v>
      </c>
      <c r="S128" s="19">
        <v>0</v>
      </c>
      <c r="T128" s="23">
        <v>0</v>
      </c>
      <c r="U128" s="24">
        <v>0</v>
      </c>
      <c r="V128" s="31">
        <f t="shared" si="8"/>
        <v>8.8000000000000007</v>
      </c>
      <c r="W128" s="32">
        <v>22000</v>
      </c>
      <c r="X128" s="30">
        <v>22</v>
      </c>
      <c r="Y128" s="19">
        <v>0</v>
      </c>
      <c r="Z128" s="23">
        <v>0</v>
      </c>
      <c r="AA128" s="24">
        <v>0</v>
      </c>
      <c r="AB128" s="33">
        <v>0</v>
      </c>
      <c r="AC128" s="34">
        <v>0</v>
      </c>
      <c r="AD128" s="35">
        <v>0</v>
      </c>
      <c r="AE128" s="36">
        <v>0</v>
      </c>
      <c r="AF128" s="23">
        <v>0</v>
      </c>
      <c r="AG128" s="24">
        <v>0</v>
      </c>
      <c r="AH128" s="33">
        <v>0</v>
      </c>
      <c r="AI128" s="37">
        <v>0</v>
      </c>
      <c r="AJ128" s="35">
        <v>0</v>
      </c>
      <c r="AK128" s="36">
        <v>0</v>
      </c>
      <c r="AL128" s="38">
        <v>0</v>
      </c>
      <c r="AM128" s="35">
        <v>0</v>
      </c>
      <c r="AN128" s="19">
        <v>0</v>
      </c>
      <c r="AO128" s="23">
        <v>0</v>
      </c>
      <c r="AP128" s="24">
        <v>0</v>
      </c>
      <c r="AQ128" s="31">
        <f t="shared" si="9"/>
        <v>17.600000000000001</v>
      </c>
      <c r="AR128" s="32">
        <f t="shared" si="9"/>
        <v>44000</v>
      </c>
      <c r="AS128" s="30">
        <v>22</v>
      </c>
    </row>
    <row r="129" spans="1:45" ht="16" x14ac:dyDescent="0.2">
      <c r="A129" s="19">
        <v>126</v>
      </c>
      <c r="B129" s="21" t="s">
        <v>149</v>
      </c>
      <c r="C129" s="20" t="s">
        <v>152</v>
      </c>
      <c r="D129" s="345"/>
      <c r="E129" s="22">
        <v>22</v>
      </c>
      <c r="F129" s="23">
        <f t="shared" si="5"/>
        <v>55000</v>
      </c>
      <c r="G129" s="19">
        <v>0</v>
      </c>
      <c r="H129" s="23">
        <v>0</v>
      </c>
      <c r="I129" s="24">
        <v>0</v>
      </c>
      <c r="J129" s="19">
        <v>0</v>
      </c>
      <c r="K129" s="23">
        <v>0</v>
      </c>
      <c r="L129" s="24">
        <v>0</v>
      </c>
      <c r="M129" s="25">
        <v>9.6</v>
      </c>
      <c r="N129" s="26">
        <v>24000</v>
      </c>
      <c r="O129" s="27">
        <v>24</v>
      </c>
      <c r="P129" s="28">
        <f t="shared" si="6"/>
        <v>1.2</v>
      </c>
      <c r="Q129" s="29">
        <f t="shared" si="7"/>
        <v>3000</v>
      </c>
      <c r="R129" s="30">
        <v>3</v>
      </c>
      <c r="S129" s="19">
        <v>0</v>
      </c>
      <c r="T129" s="23">
        <v>0</v>
      </c>
      <c r="U129" s="24">
        <v>0</v>
      </c>
      <c r="V129" s="31">
        <f t="shared" si="8"/>
        <v>11.6</v>
      </c>
      <c r="W129" s="32">
        <v>29000</v>
      </c>
      <c r="X129" s="30">
        <v>29</v>
      </c>
      <c r="Y129" s="19">
        <v>0</v>
      </c>
      <c r="Z129" s="23">
        <v>0</v>
      </c>
      <c r="AA129" s="24">
        <v>0</v>
      </c>
      <c r="AB129" s="33">
        <v>0</v>
      </c>
      <c r="AC129" s="34">
        <v>0</v>
      </c>
      <c r="AD129" s="35">
        <v>0</v>
      </c>
      <c r="AE129" s="36">
        <v>0</v>
      </c>
      <c r="AF129" s="23">
        <v>0</v>
      </c>
      <c r="AG129" s="24">
        <v>0</v>
      </c>
      <c r="AH129" s="33">
        <v>0</v>
      </c>
      <c r="AI129" s="37">
        <v>0</v>
      </c>
      <c r="AJ129" s="35">
        <v>0</v>
      </c>
      <c r="AK129" s="36">
        <v>0</v>
      </c>
      <c r="AL129" s="38">
        <v>0</v>
      </c>
      <c r="AM129" s="35">
        <v>0</v>
      </c>
      <c r="AN129" s="19">
        <v>0</v>
      </c>
      <c r="AO129" s="23">
        <v>0</v>
      </c>
      <c r="AP129" s="24">
        <v>0</v>
      </c>
      <c r="AQ129" s="31">
        <f t="shared" si="9"/>
        <v>22.4</v>
      </c>
      <c r="AR129" s="32">
        <f t="shared" si="9"/>
        <v>56000</v>
      </c>
      <c r="AS129" s="30">
        <v>29</v>
      </c>
    </row>
    <row r="130" spans="1:45" ht="16" x14ac:dyDescent="0.2">
      <c r="A130" s="19">
        <v>127</v>
      </c>
      <c r="B130" s="21" t="s">
        <v>149</v>
      </c>
      <c r="C130" s="20" t="s">
        <v>153</v>
      </c>
      <c r="D130" s="345"/>
      <c r="E130" s="22">
        <v>19.400000000000002</v>
      </c>
      <c r="F130" s="23">
        <f t="shared" si="5"/>
        <v>48500.000000000007</v>
      </c>
      <c r="G130" s="19">
        <v>0</v>
      </c>
      <c r="H130" s="23">
        <v>0</v>
      </c>
      <c r="I130" s="24">
        <v>0</v>
      </c>
      <c r="J130" s="19">
        <v>0</v>
      </c>
      <c r="K130" s="23">
        <v>0</v>
      </c>
      <c r="L130" s="24">
        <v>0</v>
      </c>
      <c r="M130" s="25">
        <v>7.6</v>
      </c>
      <c r="N130" s="26">
        <v>19000</v>
      </c>
      <c r="O130" s="27">
        <v>19</v>
      </c>
      <c r="P130" s="28">
        <f t="shared" si="6"/>
        <v>0</v>
      </c>
      <c r="Q130" s="29">
        <f t="shared" si="7"/>
        <v>0</v>
      </c>
      <c r="R130" s="30">
        <v>0</v>
      </c>
      <c r="S130" s="19">
        <v>0</v>
      </c>
      <c r="T130" s="23">
        <v>0</v>
      </c>
      <c r="U130" s="24">
        <v>0</v>
      </c>
      <c r="V130" s="31">
        <f t="shared" si="8"/>
        <v>8.4</v>
      </c>
      <c r="W130" s="32">
        <v>21000</v>
      </c>
      <c r="X130" s="30">
        <v>21</v>
      </c>
      <c r="Y130" s="19">
        <v>0</v>
      </c>
      <c r="Z130" s="23">
        <v>0</v>
      </c>
      <c r="AA130" s="24">
        <v>0</v>
      </c>
      <c r="AB130" s="33">
        <v>0</v>
      </c>
      <c r="AC130" s="34">
        <v>0</v>
      </c>
      <c r="AD130" s="35">
        <v>0</v>
      </c>
      <c r="AE130" s="36">
        <v>0</v>
      </c>
      <c r="AF130" s="23">
        <v>0</v>
      </c>
      <c r="AG130" s="24">
        <v>0</v>
      </c>
      <c r="AH130" s="33">
        <v>0</v>
      </c>
      <c r="AI130" s="37">
        <v>0</v>
      </c>
      <c r="AJ130" s="35">
        <v>0</v>
      </c>
      <c r="AK130" s="36">
        <v>0</v>
      </c>
      <c r="AL130" s="38">
        <v>0</v>
      </c>
      <c r="AM130" s="35">
        <v>0</v>
      </c>
      <c r="AN130" s="19">
        <v>0</v>
      </c>
      <c r="AO130" s="23">
        <v>0</v>
      </c>
      <c r="AP130" s="24">
        <v>0</v>
      </c>
      <c r="AQ130" s="31">
        <f t="shared" si="9"/>
        <v>16</v>
      </c>
      <c r="AR130" s="32">
        <f t="shared" si="9"/>
        <v>40000</v>
      </c>
      <c r="AS130" s="30">
        <v>21</v>
      </c>
    </row>
    <row r="131" spans="1:45" ht="16" x14ac:dyDescent="0.2">
      <c r="A131" s="19">
        <v>128</v>
      </c>
      <c r="B131" s="21" t="s">
        <v>149</v>
      </c>
      <c r="C131" s="20" t="s">
        <v>154</v>
      </c>
      <c r="D131" s="345"/>
      <c r="E131" s="22">
        <v>11.8</v>
      </c>
      <c r="F131" s="23">
        <f t="shared" si="5"/>
        <v>29500</v>
      </c>
      <c r="G131" s="19">
        <v>0</v>
      </c>
      <c r="H131" s="23">
        <v>0</v>
      </c>
      <c r="I131" s="24">
        <v>0</v>
      </c>
      <c r="J131" s="19">
        <v>0</v>
      </c>
      <c r="K131" s="23">
        <v>0</v>
      </c>
      <c r="L131" s="24">
        <v>0</v>
      </c>
      <c r="M131" s="25">
        <v>3.6</v>
      </c>
      <c r="N131" s="26">
        <v>9000</v>
      </c>
      <c r="O131" s="27">
        <v>9</v>
      </c>
      <c r="P131" s="28">
        <f t="shared" si="6"/>
        <v>1.6</v>
      </c>
      <c r="Q131" s="29">
        <f t="shared" si="7"/>
        <v>4000</v>
      </c>
      <c r="R131" s="30">
        <v>4</v>
      </c>
      <c r="S131" s="19">
        <v>0</v>
      </c>
      <c r="T131" s="23">
        <v>0</v>
      </c>
      <c r="U131" s="24">
        <v>0</v>
      </c>
      <c r="V131" s="31">
        <f t="shared" si="8"/>
        <v>4.8</v>
      </c>
      <c r="W131" s="32">
        <v>12000</v>
      </c>
      <c r="X131" s="30">
        <v>12</v>
      </c>
      <c r="Y131" s="19">
        <v>0</v>
      </c>
      <c r="Z131" s="23">
        <v>0</v>
      </c>
      <c r="AA131" s="24">
        <v>0</v>
      </c>
      <c r="AB131" s="33">
        <v>0</v>
      </c>
      <c r="AC131" s="34">
        <v>0</v>
      </c>
      <c r="AD131" s="35">
        <v>0</v>
      </c>
      <c r="AE131" s="36">
        <v>0</v>
      </c>
      <c r="AF131" s="23">
        <v>0</v>
      </c>
      <c r="AG131" s="24">
        <v>0</v>
      </c>
      <c r="AH131" s="33">
        <v>0</v>
      </c>
      <c r="AI131" s="37">
        <v>0</v>
      </c>
      <c r="AJ131" s="35">
        <v>0</v>
      </c>
      <c r="AK131" s="36">
        <v>0</v>
      </c>
      <c r="AL131" s="38">
        <v>0</v>
      </c>
      <c r="AM131" s="35">
        <v>0</v>
      </c>
      <c r="AN131" s="19">
        <v>0</v>
      </c>
      <c r="AO131" s="23">
        <v>0</v>
      </c>
      <c r="AP131" s="24">
        <v>0</v>
      </c>
      <c r="AQ131" s="31">
        <f t="shared" si="9"/>
        <v>10</v>
      </c>
      <c r="AR131" s="32">
        <f t="shared" si="9"/>
        <v>25000</v>
      </c>
      <c r="AS131" s="30">
        <v>13</v>
      </c>
    </row>
    <row r="132" spans="1:45" ht="16" x14ac:dyDescent="0.2">
      <c r="A132" s="19">
        <v>129</v>
      </c>
      <c r="B132" s="21" t="s">
        <v>155</v>
      </c>
      <c r="C132" s="20" t="s">
        <v>155</v>
      </c>
      <c r="D132" s="345"/>
      <c r="E132" s="22">
        <v>20.6</v>
      </c>
      <c r="F132" s="23">
        <f t="shared" si="5"/>
        <v>51500</v>
      </c>
      <c r="G132" s="19">
        <v>0</v>
      </c>
      <c r="H132" s="23">
        <v>0</v>
      </c>
      <c r="I132" s="24">
        <v>0</v>
      </c>
      <c r="J132" s="19">
        <v>0</v>
      </c>
      <c r="K132" s="23">
        <v>0</v>
      </c>
      <c r="L132" s="24">
        <v>0</v>
      </c>
      <c r="M132" s="25">
        <v>4</v>
      </c>
      <c r="N132" s="26">
        <v>10000</v>
      </c>
      <c r="O132" s="27">
        <v>10</v>
      </c>
      <c r="P132" s="28">
        <f t="shared" si="6"/>
        <v>4.4000000000000004</v>
      </c>
      <c r="Q132" s="29">
        <f t="shared" si="7"/>
        <v>11000</v>
      </c>
      <c r="R132" s="30">
        <v>11</v>
      </c>
      <c r="S132" s="19">
        <v>0</v>
      </c>
      <c r="T132" s="23">
        <v>0</v>
      </c>
      <c r="U132" s="24">
        <v>0</v>
      </c>
      <c r="V132" s="31">
        <f t="shared" si="8"/>
        <v>8.8000000000000007</v>
      </c>
      <c r="W132" s="32">
        <v>22000</v>
      </c>
      <c r="X132" s="30">
        <v>22</v>
      </c>
      <c r="Y132" s="19">
        <v>0</v>
      </c>
      <c r="Z132" s="23">
        <v>0</v>
      </c>
      <c r="AA132" s="24">
        <v>0</v>
      </c>
      <c r="AB132" s="33">
        <v>0</v>
      </c>
      <c r="AC132" s="34">
        <v>0</v>
      </c>
      <c r="AD132" s="35">
        <v>0</v>
      </c>
      <c r="AE132" s="36">
        <v>0</v>
      </c>
      <c r="AF132" s="23">
        <v>0</v>
      </c>
      <c r="AG132" s="24">
        <v>0</v>
      </c>
      <c r="AH132" s="33">
        <v>0</v>
      </c>
      <c r="AI132" s="37">
        <v>0</v>
      </c>
      <c r="AJ132" s="35">
        <v>0</v>
      </c>
      <c r="AK132" s="36">
        <v>0</v>
      </c>
      <c r="AL132" s="38">
        <v>0</v>
      </c>
      <c r="AM132" s="35">
        <v>0</v>
      </c>
      <c r="AN132" s="19">
        <v>0</v>
      </c>
      <c r="AO132" s="23">
        <v>0</v>
      </c>
      <c r="AP132" s="24">
        <v>0</v>
      </c>
      <c r="AQ132" s="31">
        <f t="shared" si="9"/>
        <v>17.200000000000003</v>
      </c>
      <c r="AR132" s="32">
        <f t="shared" si="9"/>
        <v>43000</v>
      </c>
      <c r="AS132" s="30">
        <v>22</v>
      </c>
    </row>
    <row r="133" spans="1:45" ht="16" x14ac:dyDescent="0.2">
      <c r="A133" s="19">
        <v>130</v>
      </c>
      <c r="B133" s="21" t="s">
        <v>155</v>
      </c>
      <c r="C133" s="20" t="s">
        <v>156</v>
      </c>
      <c r="D133" s="345"/>
      <c r="E133" s="22">
        <v>19.600000000000001</v>
      </c>
      <c r="F133" s="23">
        <f t="shared" ref="F133:F196" si="10">E133*2500</f>
        <v>49000</v>
      </c>
      <c r="G133" s="19">
        <v>0</v>
      </c>
      <c r="H133" s="23">
        <v>0</v>
      </c>
      <c r="I133" s="24">
        <v>0</v>
      </c>
      <c r="J133" s="19">
        <v>0</v>
      </c>
      <c r="K133" s="23">
        <v>0</v>
      </c>
      <c r="L133" s="24">
        <v>0</v>
      </c>
      <c r="M133" s="25">
        <v>7.2</v>
      </c>
      <c r="N133" s="26">
        <v>18000</v>
      </c>
      <c r="O133" s="27">
        <v>18</v>
      </c>
      <c r="P133" s="28">
        <f t="shared" ref="P133:P196" si="11">Q133/2500</f>
        <v>1.6</v>
      </c>
      <c r="Q133" s="29">
        <f t="shared" ref="Q133:Q196" si="12">R133*1000</f>
        <v>4000</v>
      </c>
      <c r="R133" s="30">
        <v>4</v>
      </c>
      <c r="S133" s="19">
        <v>0</v>
      </c>
      <c r="T133" s="23">
        <v>0</v>
      </c>
      <c r="U133" s="24">
        <v>0</v>
      </c>
      <c r="V133" s="31">
        <f t="shared" ref="V133:V196" si="13">W133/2500</f>
        <v>8.8000000000000007</v>
      </c>
      <c r="W133" s="32">
        <v>22000</v>
      </c>
      <c r="X133" s="30">
        <v>22</v>
      </c>
      <c r="Y133" s="19">
        <v>0</v>
      </c>
      <c r="Z133" s="23">
        <v>0</v>
      </c>
      <c r="AA133" s="24">
        <v>0</v>
      </c>
      <c r="AB133" s="33">
        <v>0</v>
      </c>
      <c r="AC133" s="34">
        <v>0</v>
      </c>
      <c r="AD133" s="35">
        <v>0</v>
      </c>
      <c r="AE133" s="36">
        <v>0</v>
      </c>
      <c r="AF133" s="23">
        <v>0</v>
      </c>
      <c r="AG133" s="24">
        <v>0</v>
      </c>
      <c r="AH133" s="33">
        <v>0</v>
      </c>
      <c r="AI133" s="37">
        <v>0</v>
      </c>
      <c r="AJ133" s="35">
        <v>0</v>
      </c>
      <c r="AK133" s="36">
        <v>0</v>
      </c>
      <c r="AL133" s="38">
        <v>0</v>
      </c>
      <c r="AM133" s="35">
        <v>0</v>
      </c>
      <c r="AN133" s="19">
        <v>0</v>
      </c>
      <c r="AO133" s="23">
        <v>0</v>
      </c>
      <c r="AP133" s="24">
        <v>0</v>
      </c>
      <c r="AQ133" s="31">
        <f t="shared" ref="AQ133:AR196" si="14">G133+J133+M133+P133+S133+V133+Y133+AB133+AE133+AH133+AK133+AN133</f>
        <v>17.600000000000001</v>
      </c>
      <c r="AR133" s="32">
        <f t="shared" si="14"/>
        <v>44000</v>
      </c>
      <c r="AS133" s="30">
        <v>22</v>
      </c>
    </row>
    <row r="134" spans="1:45" ht="16" x14ac:dyDescent="0.2">
      <c r="A134" s="19">
        <v>131</v>
      </c>
      <c r="B134" s="21" t="s">
        <v>155</v>
      </c>
      <c r="C134" s="20" t="s">
        <v>157</v>
      </c>
      <c r="D134" s="345"/>
      <c r="E134" s="22">
        <v>12</v>
      </c>
      <c r="F134" s="23">
        <f t="shared" si="10"/>
        <v>30000</v>
      </c>
      <c r="G134" s="19">
        <v>0</v>
      </c>
      <c r="H134" s="23">
        <v>0</v>
      </c>
      <c r="I134" s="24">
        <v>0</v>
      </c>
      <c r="J134" s="19">
        <v>0</v>
      </c>
      <c r="K134" s="23">
        <v>0</v>
      </c>
      <c r="L134" s="24">
        <v>0</v>
      </c>
      <c r="M134" s="25">
        <v>3.2</v>
      </c>
      <c r="N134" s="26">
        <v>8000</v>
      </c>
      <c r="O134" s="27">
        <v>8</v>
      </c>
      <c r="P134" s="28">
        <f t="shared" si="11"/>
        <v>2.4</v>
      </c>
      <c r="Q134" s="29">
        <f t="shared" si="12"/>
        <v>6000</v>
      </c>
      <c r="R134" s="30">
        <v>6</v>
      </c>
      <c r="S134" s="19">
        <v>0</v>
      </c>
      <c r="T134" s="23">
        <v>0</v>
      </c>
      <c r="U134" s="24">
        <v>0</v>
      </c>
      <c r="V134" s="31">
        <f t="shared" si="13"/>
        <v>6</v>
      </c>
      <c r="W134" s="32">
        <v>15000</v>
      </c>
      <c r="X134" s="30">
        <v>15</v>
      </c>
      <c r="Y134" s="19">
        <v>0</v>
      </c>
      <c r="Z134" s="23">
        <v>0</v>
      </c>
      <c r="AA134" s="24">
        <v>0</v>
      </c>
      <c r="AB134" s="33">
        <v>0</v>
      </c>
      <c r="AC134" s="34">
        <v>0</v>
      </c>
      <c r="AD134" s="35">
        <v>0</v>
      </c>
      <c r="AE134" s="36">
        <v>0</v>
      </c>
      <c r="AF134" s="23">
        <v>0</v>
      </c>
      <c r="AG134" s="24">
        <v>0</v>
      </c>
      <c r="AH134" s="33">
        <v>0</v>
      </c>
      <c r="AI134" s="37">
        <v>0</v>
      </c>
      <c r="AJ134" s="35">
        <v>0</v>
      </c>
      <c r="AK134" s="36">
        <v>0</v>
      </c>
      <c r="AL134" s="38">
        <v>0</v>
      </c>
      <c r="AM134" s="35">
        <v>0</v>
      </c>
      <c r="AN134" s="19">
        <v>0</v>
      </c>
      <c r="AO134" s="23">
        <v>0</v>
      </c>
      <c r="AP134" s="24">
        <v>0</v>
      </c>
      <c r="AQ134" s="31">
        <f t="shared" si="14"/>
        <v>11.6</v>
      </c>
      <c r="AR134" s="32">
        <f t="shared" si="14"/>
        <v>29000</v>
      </c>
      <c r="AS134" s="30">
        <v>15</v>
      </c>
    </row>
    <row r="135" spans="1:45" ht="16" x14ac:dyDescent="0.2">
      <c r="A135" s="19">
        <v>132</v>
      </c>
      <c r="B135" s="21" t="s">
        <v>155</v>
      </c>
      <c r="C135" s="20" t="s">
        <v>158</v>
      </c>
      <c r="D135" s="345"/>
      <c r="E135" s="22">
        <v>29.4</v>
      </c>
      <c r="F135" s="23">
        <f t="shared" si="10"/>
        <v>73500</v>
      </c>
      <c r="G135" s="19">
        <v>0</v>
      </c>
      <c r="H135" s="23">
        <v>0</v>
      </c>
      <c r="I135" s="24">
        <v>0</v>
      </c>
      <c r="J135" s="19">
        <v>0</v>
      </c>
      <c r="K135" s="23">
        <v>0</v>
      </c>
      <c r="L135" s="24">
        <v>0</v>
      </c>
      <c r="M135" s="25">
        <v>8.8000000000000007</v>
      </c>
      <c r="N135" s="26">
        <v>22000</v>
      </c>
      <c r="O135" s="27">
        <v>22</v>
      </c>
      <c r="P135" s="28">
        <f t="shared" si="11"/>
        <v>2.8</v>
      </c>
      <c r="Q135" s="29">
        <f t="shared" si="12"/>
        <v>7000</v>
      </c>
      <c r="R135" s="30">
        <v>7</v>
      </c>
      <c r="S135" s="19">
        <v>0</v>
      </c>
      <c r="T135" s="23">
        <v>0</v>
      </c>
      <c r="U135" s="24">
        <v>0</v>
      </c>
      <c r="V135" s="31">
        <f t="shared" si="13"/>
        <v>11.2</v>
      </c>
      <c r="W135" s="32">
        <v>28000</v>
      </c>
      <c r="X135" s="30">
        <v>28</v>
      </c>
      <c r="Y135" s="19">
        <v>0</v>
      </c>
      <c r="Z135" s="23">
        <v>0</v>
      </c>
      <c r="AA135" s="24">
        <v>0</v>
      </c>
      <c r="AB135" s="33">
        <v>0</v>
      </c>
      <c r="AC135" s="34">
        <v>0</v>
      </c>
      <c r="AD135" s="35">
        <v>0</v>
      </c>
      <c r="AE135" s="36">
        <v>0</v>
      </c>
      <c r="AF135" s="23">
        <v>0</v>
      </c>
      <c r="AG135" s="24">
        <v>0</v>
      </c>
      <c r="AH135" s="33">
        <v>0</v>
      </c>
      <c r="AI135" s="37">
        <v>0</v>
      </c>
      <c r="AJ135" s="35">
        <v>0</v>
      </c>
      <c r="AK135" s="36">
        <v>0</v>
      </c>
      <c r="AL135" s="38">
        <v>0</v>
      </c>
      <c r="AM135" s="35">
        <v>0</v>
      </c>
      <c r="AN135" s="19">
        <v>0</v>
      </c>
      <c r="AO135" s="23">
        <v>0</v>
      </c>
      <c r="AP135" s="24">
        <v>0</v>
      </c>
      <c r="AQ135" s="31">
        <f t="shared" si="14"/>
        <v>22.8</v>
      </c>
      <c r="AR135" s="32">
        <f t="shared" si="14"/>
        <v>57000</v>
      </c>
      <c r="AS135" s="30">
        <v>30</v>
      </c>
    </row>
    <row r="136" spans="1:45" ht="16" x14ac:dyDescent="0.2">
      <c r="A136" s="19">
        <v>133</v>
      </c>
      <c r="B136" s="21" t="s">
        <v>155</v>
      </c>
      <c r="C136" s="20" t="s">
        <v>159</v>
      </c>
      <c r="D136" s="345"/>
      <c r="E136" s="22">
        <v>18.600000000000001</v>
      </c>
      <c r="F136" s="23">
        <f t="shared" si="10"/>
        <v>46500</v>
      </c>
      <c r="G136" s="19">
        <v>0</v>
      </c>
      <c r="H136" s="23">
        <v>0</v>
      </c>
      <c r="I136" s="24">
        <v>0</v>
      </c>
      <c r="J136" s="19">
        <v>0</v>
      </c>
      <c r="K136" s="23">
        <v>0</v>
      </c>
      <c r="L136" s="24">
        <v>0</v>
      </c>
      <c r="M136" s="25">
        <v>5.6</v>
      </c>
      <c r="N136" s="26">
        <v>14000</v>
      </c>
      <c r="O136" s="27">
        <v>14</v>
      </c>
      <c r="P136" s="28">
        <f t="shared" si="11"/>
        <v>2.4</v>
      </c>
      <c r="Q136" s="29">
        <f t="shared" si="12"/>
        <v>6000</v>
      </c>
      <c r="R136" s="30">
        <v>6</v>
      </c>
      <c r="S136" s="19">
        <v>0</v>
      </c>
      <c r="T136" s="23">
        <v>0</v>
      </c>
      <c r="U136" s="24">
        <v>0</v>
      </c>
      <c r="V136" s="31">
        <f t="shared" si="13"/>
        <v>8</v>
      </c>
      <c r="W136" s="32">
        <v>20000</v>
      </c>
      <c r="X136" s="30">
        <v>20</v>
      </c>
      <c r="Y136" s="19">
        <v>0</v>
      </c>
      <c r="Z136" s="23">
        <v>0</v>
      </c>
      <c r="AA136" s="24">
        <v>0</v>
      </c>
      <c r="AB136" s="33">
        <v>0</v>
      </c>
      <c r="AC136" s="34">
        <v>0</v>
      </c>
      <c r="AD136" s="35">
        <v>0</v>
      </c>
      <c r="AE136" s="36">
        <v>0</v>
      </c>
      <c r="AF136" s="23">
        <v>0</v>
      </c>
      <c r="AG136" s="24">
        <v>0</v>
      </c>
      <c r="AH136" s="33">
        <v>0</v>
      </c>
      <c r="AI136" s="37">
        <v>0</v>
      </c>
      <c r="AJ136" s="35">
        <v>0</v>
      </c>
      <c r="AK136" s="36">
        <v>0</v>
      </c>
      <c r="AL136" s="38">
        <v>0</v>
      </c>
      <c r="AM136" s="35">
        <v>0</v>
      </c>
      <c r="AN136" s="19">
        <v>0</v>
      </c>
      <c r="AO136" s="23">
        <v>0</v>
      </c>
      <c r="AP136" s="24">
        <v>0</v>
      </c>
      <c r="AQ136" s="31">
        <f t="shared" si="14"/>
        <v>16</v>
      </c>
      <c r="AR136" s="32">
        <f t="shared" si="14"/>
        <v>40000</v>
      </c>
      <c r="AS136" s="30">
        <v>20</v>
      </c>
    </row>
    <row r="137" spans="1:45" ht="16" x14ac:dyDescent="0.2">
      <c r="A137" s="19">
        <v>134</v>
      </c>
      <c r="B137" s="21" t="s">
        <v>155</v>
      </c>
      <c r="C137" s="20" t="s">
        <v>160</v>
      </c>
      <c r="D137" s="345"/>
      <c r="E137" s="22">
        <v>15.8</v>
      </c>
      <c r="F137" s="23">
        <f t="shared" si="10"/>
        <v>39500</v>
      </c>
      <c r="G137" s="19">
        <v>0</v>
      </c>
      <c r="H137" s="23">
        <v>0</v>
      </c>
      <c r="I137" s="24">
        <v>0</v>
      </c>
      <c r="J137" s="19">
        <v>0</v>
      </c>
      <c r="K137" s="23">
        <v>0</v>
      </c>
      <c r="L137" s="24">
        <v>0</v>
      </c>
      <c r="M137" s="25">
        <v>4.8</v>
      </c>
      <c r="N137" s="26">
        <v>12000</v>
      </c>
      <c r="O137" s="27">
        <v>12</v>
      </c>
      <c r="P137" s="28">
        <f t="shared" si="11"/>
        <v>2</v>
      </c>
      <c r="Q137" s="29">
        <f t="shared" si="12"/>
        <v>5000</v>
      </c>
      <c r="R137" s="30">
        <v>5</v>
      </c>
      <c r="S137" s="19">
        <v>0</v>
      </c>
      <c r="T137" s="23">
        <v>0</v>
      </c>
      <c r="U137" s="24">
        <v>0</v>
      </c>
      <c r="V137" s="31">
        <f t="shared" si="13"/>
        <v>6.4</v>
      </c>
      <c r="W137" s="32">
        <v>16000</v>
      </c>
      <c r="X137" s="30">
        <v>16</v>
      </c>
      <c r="Y137" s="19">
        <v>0</v>
      </c>
      <c r="Z137" s="23">
        <v>0</v>
      </c>
      <c r="AA137" s="24">
        <v>0</v>
      </c>
      <c r="AB137" s="33">
        <v>0</v>
      </c>
      <c r="AC137" s="34">
        <v>0</v>
      </c>
      <c r="AD137" s="35">
        <v>0</v>
      </c>
      <c r="AE137" s="36">
        <v>0</v>
      </c>
      <c r="AF137" s="23">
        <v>0</v>
      </c>
      <c r="AG137" s="24">
        <v>0</v>
      </c>
      <c r="AH137" s="33">
        <v>0</v>
      </c>
      <c r="AI137" s="37">
        <v>0</v>
      </c>
      <c r="AJ137" s="35">
        <v>0</v>
      </c>
      <c r="AK137" s="36">
        <v>0</v>
      </c>
      <c r="AL137" s="38">
        <v>0</v>
      </c>
      <c r="AM137" s="35">
        <v>0</v>
      </c>
      <c r="AN137" s="19">
        <v>0</v>
      </c>
      <c r="AO137" s="23">
        <v>0</v>
      </c>
      <c r="AP137" s="24">
        <v>0</v>
      </c>
      <c r="AQ137" s="31">
        <f t="shared" si="14"/>
        <v>13.2</v>
      </c>
      <c r="AR137" s="32">
        <f t="shared" si="14"/>
        <v>33000</v>
      </c>
      <c r="AS137" s="30">
        <v>17</v>
      </c>
    </row>
    <row r="138" spans="1:45" ht="16" x14ac:dyDescent="0.2">
      <c r="A138" s="19">
        <v>135</v>
      </c>
      <c r="B138" s="21" t="s">
        <v>155</v>
      </c>
      <c r="C138" s="20" t="s">
        <v>161</v>
      </c>
      <c r="D138" s="345"/>
      <c r="E138" s="22">
        <v>14</v>
      </c>
      <c r="F138" s="23">
        <f t="shared" si="10"/>
        <v>35000</v>
      </c>
      <c r="G138" s="19">
        <v>0</v>
      </c>
      <c r="H138" s="23">
        <v>0</v>
      </c>
      <c r="I138" s="24">
        <v>0</v>
      </c>
      <c r="J138" s="19">
        <v>0</v>
      </c>
      <c r="K138" s="23">
        <v>0</v>
      </c>
      <c r="L138" s="24">
        <v>0</v>
      </c>
      <c r="M138" s="25">
        <v>3.2</v>
      </c>
      <c r="N138" s="26">
        <v>8000</v>
      </c>
      <c r="O138" s="27">
        <v>8</v>
      </c>
      <c r="P138" s="28">
        <f t="shared" si="11"/>
        <v>4.4000000000000004</v>
      </c>
      <c r="Q138" s="29">
        <f t="shared" si="12"/>
        <v>11000</v>
      </c>
      <c r="R138" s="30">
        <v>11</v>
      </c>
      <c r="S138" s="19">
        <v>0</v>
      </c>
      <c r="T138" s="23">
        <v>0</v>
      </c>
      <c r="U138" s="24">
        <v>0</v>
      </c>
      <c r="V138" s="31">
        <f t="shared" si="13"/>
        <v>7.2</v>
      </c>
      <c r="W138" s="32">
        <v>18000</v>
      </c>
      <c r="X138" s="30">
        <v>18</v>
      </c>
      <c r="Y138" s="19">
        <v>0</v>
      </c>
      <c r="Z138" s="23">
        <v>0</v>
      </c>
      <c r="AA138" s="24">
        <v>0</v>
      </c>
      <c r="AB138" s="33">
        <v>0</v>
      </c>
      <c r="AC138" s="34">
        <v>0</v>
      </c>
      <c r="AD138" s="35">
        <v>0</v>
      </c>
      <c r="AE138" s="36">
        <v>0</v>
      </c>
      <c r="AF138" s="23">
        <v>0</v>
      </c>
      <c r="AG138" s="24">
        <v>0</v>
      </c>
      <c r="AH138" s="33">
        <v>0</v>
      </c>
      <c r="AI138" s="37">
        <v>0</v>
      </c>
      <c r="AJ138" s="35">
        <v>0</v>
      </c>
      <c r="AK138" s="36">
        <v>0</v>
      </c>
      <c r="AL138" s="38">
        <v>0</v>
      </c>
      <c r="AM138" s="35">
        <v>0</v>
      </c>
      <c r="AN138" s="19">
        <v>0</v>
      </c>
      <c r="AO138" s="23">
        <v>0</v>
      </c>
      <c r="AP138" s="24">
        <v>0</v>
      </c>
      <c r="AQ138" s="31">
        <f t="shared" si="14"/>
        <v>14.8</v>
      </c>
      <c r="AR138" s="32">
        <f t="shared" si="14"/>
        <v>37000</v>
      </c>
      <c r="AS138" s="30">
        <v>19</v>
      </c>
    </row>
    <row r="139" spans="1:45" ht="16" x14ac:dyDescent="0.2">
      <c r="A139" s="19">
        <v>136</v>
      </c>
      <c r="B139" s="21" t="s">
        <v>162</v>
      </c>
      <c r="C139" s="20" t="s">
        <v>163</v>
      </c>
      <c r="D139" s="345"/>
      <c r="E139" s="22">
        <v>14.2</v>
      </c>
      <c r="F139" s="23">
        <f t="shared" si="10"/>
        <v>35500</v>
      </c>
      <c r="G139" s="19">
        <v>0</v>
      </c>
      <c r="H139" s="23">
        <v>0</v>
      </c>
      <c r="I139" s="24">
        <v>0</v>
      </c>
      <c r="J139" s="19">
        <v>0</v>
      </c>
      <c r="K139" s="23">
        <v>0</v>
      </c>
      <c r="L139" s="24">
        <v>0</v>
      </c>
      <c r="M139" s="25">
        <v>4</v>
      </c>
      <c r="N139" s="26">
        <v>10000</v>
      </c>
      <c r="O139" s="27">
        <v>10</v>
      </c>
      <c r="P139" s="28">
        <f t="shared" si="11"/>
        <v>3.2</v>
      </c>
      <c r="Q139" s="29">
        <f t="shared" si="12"/>
        <v>8000</v>
      </c>
      <c r="R139" s="30">
        <v>8</v>
      </c>
      <c r="S139" s="19">
        <v>0</v>
      </c>
      <c r="T139" s="23">
        <v>0</v>
      </c>
      <c r="U139" s="24">
        <v>0</v>
      </c>
      <c r="V139" s="31">
        <f t="shared" si="13"/>
        <v>7.2</v>
      </c>
      <c r="W139" s="32">
        <v>18000</v>
      </c>
      <c r="X139" s="30">
        <v>18</v>
      </c>
      <c r="Y139" s="19">
        <v>0</v>
      </c>
      <c r="Z139" s="23">
        <v>0</v>
      </c>
      <c r="AA139" s="24">
        <v>0</v>
      </c>
      <c r="AB139" s="33">
        <v>0</v>
      </c>
      <c r="AC139" s="34">
        <v>0</v>
      </c>
      <c r="AD139" s="35">
        <v>0</v>
      </c>
      <c r="AE139" s="36">
        <v>0</v>
      </c>
      <c r="AF139" s="23">
        <v>0</v>
      </c>
      <c r="AG139" s="24">
        <v>0</v>
      </c>
      <c r="AH139" s="33">
        <v>0</v>
      </c>
      <c r="AI139" s="37">
        <v>0</v>
      </c>
      <c r="AJ139" s="35">
        <v>0</v>
      </c>
      <c r="AK139" s="36">
        <v>0</v>
      </c>
      <c r="AL139" s="38">
        <v>0</v>
      </c>
      <c r="AM139" s="35">
        <v>0</v>
      </c>
      <c r="AN139" s="19">
        <v>0</v>
      </c>
      <c r="AO139" s="23">
        <v>0</v>
      </c>
      <c r="AP139" s="24">
        <v>0</v>
      </c>
      <c r="AQ139" s="31">
        <f t="shared" si="14"/>
        <v>14.4</v>
      </c>
      <c r="AR139" s="32">
        <f t="shared" si="14"/>
        <v>36000</v>
      </c>
      <c r="AS139" s="30">
        <v>18</v>
      </c>
    </row>
    <row r="140" spans="1:45" ht="16" x14ac:dyDescent="0.2">
      <c r="A140" s="19">
        <v>137</v>
      </c>
      <c r="B140" s="21" t="s">
        <v>162</v>
      </c>
      <c r="C140" s="20" t="s">
        <v>164</v>
      </c>
      <c r="D140" s="345" t="s">
        <v>25</v>
      </c>
      <c r="E140" s="22">
        <v>19.399999999999999</v>
      </c>
      <c r="F140" s="23">
        <f t="shared" si="10"/>
        <v>48500</v>
      </c>
      <c r="G140" s="19">
        <v>0</v>
      </c>
      <c r="H140" s="23">
        <v>0</v>
      </c>
      <c r="I140" s="24">
        <v>0</v>
      </c>
      <c r="J140" s="19">
        <v>0</v>
      </c>
      <c r="K140" s="23">
        <v>0</v>
      </c>
      <c r="L140" s="24">
        <v>0</v>
      </c>
      <c r="M140" s="25">
        <v>6</v>
      </c>
      <c r="N140" s="26">
        <v>15000</v>
      </c>
      <c r="O140" s="27">
        <v>15</v>
      </c>
      <c r="P140" s="28">
        <f t="shared" si="11"/>
        <v>1.6</v>
      </c>
      <c r="Q140" s="29">
        <f t="shared" si="12"/>
        <v>4000</v>
      </c>
      <c r="R140" s="30">
        <v>4</v>
      </c>
      <c r="S140" s="19">
        <v>0</v>
      </c>
      <c r="T140" s="23">
        <v>0</v>
      </c>
      <c r="U140" s="24">
        <v>0</v>
      </c>
      <c r="V140" s="31">
        <f t="shared" si="13"/>
        <v>8</v>
      </c>
      <c r="W140" s="32">
        <v>20000</v>
      </c>
      <c r="X140" s="30">
        <v>20</v>
      </c>
      <c r="Y140" s="19">
        <v>0</v>
      </c>
      <c r="Z140" s="23">
        <v>0</v>
      </c>
      <c r="AA140" s="24">
        <v>0</v>
      </c>
      <c r="AB140" s="33">
        <v>0</v>
      </c>
      <c r="AC140" s="34">
        <v>0</v>
      </c>
      <c r="AD140" s="35">
        <v>0</v>
      </c>
      <c r="AE140" s="36">
        <v>0</v>
      </c>
      <c r="AF140" s="23">
        <v>0</v>
      </c>
      <c r="AG140" s="24">
        <v>0</v>
      </c>
      <c r="AH140" s="33">
        <v>0</v>
      </c>
      <c r="AI140" s="37">
        <v>0</v>
      </c>
      <c r="AJ140" s="35">
        <v>0</v>
      </c>
      <c r="AK140" s="36">
        <v>0</v>
      </c>
      <c r="AL140" s="38">
        <v>0</v>
      </c>
      <c r="AM140" s="35">
        <v>0</v>
      </c>
      <c r="AN140" s="19">
        <v>0</v>
      </c>
      <c r="AO140" s="23">
        <v>0</v>
      </c>
      <c r="AP140" s="24">
        <v>0</v>
      </c>
      <c r="AQ140" s="31">
        <f t="shared" si="14"/>
        <v>15.6</v>
      </c>
      <c r="AR140" s="32">
        <f t="shared" si="14"/>
        <v>39000</v>
      </c>
      <c r="AS140" s="30">
        <v>20</v>
      </c>
    </row>
    <row r="141" spans="1:45" ht="16" x14ac:dyDescent="0.2">
      <c r="A141" s="19">
        <v>138</v>
      </c>
      <c r="B141" s="21" t="s">
        <v>162</v>
      </c>
      <c r="C141" s="20" t="s">
        <v>165</v>
      </c>
      <c r="D141" s="345"/>
      <c r="E141" s="22">
        <v>13</v>
      </c>
      <c r="F141" s="23">
        <f t="shared" si="10"/>
        <v>32500</v>
      </c>
      <c r="G141" s="19">
        <v>0</v>
      </c>
      <c r="H141" s="23">
        <v>0</v>
      </c>
      <c r="I141" s="24">
        <v>0</v>
      </c>
      <c r="J141" s="19">
        <v>0</v>
      </c>
      <c r="K141" s="23">
        <v>0</v>
      </c>
      <c r="L141" s="24">
        <v>0</v>
      </c>
      <c r="M141" s="25">
        <v>2.8</v>
      </c>
      <c r="N141" s="26">
        <v>7000</v>
      </c>
      <c r="O141" s="27">
        <v>7</v>
      </c>
      <c r="P141" s="28">
        <f t="shared" si="11"/>
        <v>4.8</v>
      </c>
      <c r="Q141" s="29">
        <f t="shared" si="12"/>
        <v>12000</v>
      </c>
      <c r="R141" s="30">
        <v>12</v>
      </c>
      <c r="S141" s="19">
        <v>0</v>
      </c>
      <c r="T141" s="23">
        <v>0</v>
      </c>
      <c r="U141" s="24">
        <v>0</v>
      </c>
      <c r="V141" s="31">
        <f t="shared" si="13"/>
        <v>7.6</v>
      </c>
      <c r="W141" s="32">
        <v>19000</v>
      </c>
      <c r="X141" s="30">
        <v>19</v>
      </c>
      <c r="Y141" s="19">
        <v>0</v>
      </c>
      <c r="Z141" s="23">
        <v>0</v>
      </c>
      <c r="AA141" s="24">
        <v>0</v>
      </c>
      <c r="AB141" s="33">
        <v>0</v>
      </c>
      <c r="AC141" s="34">
        <v>0</v>
      </c>
      <c r="AD141" s="35">
        <v>0</v>
      </c>
      <c r="AE141" s="36">
        <v>0</v>
      </c>
      <c r="AF141" s="23">
        <v>0</v>
      </c>
      <c r="AG141" s="24">
        <v>0</v>
      </c>
      <c r="AH141" s="33">
        <v>0</v>
      </c>
      <c r="AI141" s="37">
        <v>0</v>
      </c>
      <c r="AJ141" s="35">
        <v>0</v>
      </c>
      <c r="AK141" s="36">
        <v>0</v>
      </c>
      <c r="AL141" s="38">
        <v>0</v>
      </c>
      <c r="AM141" s="35">
        <v>0</v>
      </c>
      <c r="AN141" s="19">
        <v>0</v>
      </c>
      <c r="AO141" s="23">
        <v>0</v>
      </c>
      <c r="AP141" s="24">
        <v>0</v>
      </c>
      <c r="AQ141" s="31">
        <f t="shared" si="14"/>
        <v>15.2</v>
      </c>
      <c r="AR141" s="32">
        <f t="shared" si="14"/>
        <v>38000</v>
      </c>
      <c r="AS141" s="30">
        <v>19</v>
      </c>
    </row>
    <row r="142" spans="1:45" ht="16" x14ac:dyDescent="0.2">
      <c r="A142" s="19">
        <v>139</v>
      </c>
      <c r="B142" s="21" t="s">
        <v>162</v>
      </c>
      <c r="C142" s="20" t="s">
        <v>166</v>
      </c>
      <c r="D142" s="345"/>
      <c r="E142" s="22">
        <v>17</v>
      </c>
      <c r="F142" s="23">
        <f t="shared" si="10"/>
        <v>42500</v>
      </c>
      <c r="G142" s="19">
        <v>0</v>
      </c>
      <c r="H142" s="23">
        <v>0</v>
      </c>
      <c r="I142" s="24">
        <v>0</v>
      </c>
      <c r="J142" s="19">
        <v>0</v>
      </c>
      <c r="K142" s="23">
        <v>0</v>
      </c>
      <c r="L142" s="24">
        <v>0</v>
      </c>
      <c r="M142" s="25">
        <v>4.4000000000000004</v>
      </c>
      <c r="N142" s="26">
        <v>11000</v>
      </c>
      <c r="O142" s="27">
        <v>11</v>
      </c>
      <c r="P142" s="28">
        <f t="shared" si="11"/>
        <v>1.6</v>
      </c>
      <c r="Q142" s="29">
        <f t="shared" si="12"/>
        <v>4000</v>
      </c>
      <c r="R142" s="30">
        <v>4</v>
      </c>
      <c r="S142" s="19">
        <v>0</v>
      </c>
      <c r="T142" s="23">
        <v>0</v>
      </c>
      <c r="U142" s="24">
        <v>0</v>
      </c>
      <c r="V142" s="31">
        <f t="shared" si="13"/>
        <v>6</v>
      </c>
      <c r="W142" s="32">
        <v>15000</v>
      </c>
      <c r="X142" s="30">
        <v>15</v>
      </c>
      <c r="Y142" s="19">
        <v>0</v>
      </c>
      <c r="Z142" s="23">
        <v>0</v>
      </c>
      <c r="AA142" s="24">
        <v>0</v>
      </c>
      <c r="AB142" s="33">
        <v>0</v>
      </c>
      <c r="AC142" s="34">
        <v>0</v>
      </c>
      <c r="AD142" s="35">
        <v>0</v>
      </c>
      <c r="AE142" s="36">
        <v>0</v>
      </c>
      <c r="AF142" s="23">
        <v>0</v>
      </c>
      <c r="AG142" s="24">
        <v>0</v>
      </c>
      <c r="AH142" s="33">
        <v>0</v>
      </c>
      <c r="AI142" s="37">
        <v>0</v>
      </c>
      <c r="AJ142" s="35">
        <v>0</v>
      </c>
      <c r="AK142" s="36">
        <v>0</v>
      </c>
      <c r="AL142" s="38">
        <v>0</v>
      </c>
      <c r="AM142" s="35">
        <v>0</v>
      </c>
      <c r="AN142" s="19">
        <v>0</v>
      </c>
      <c r="AO142" s="23">
        <v>0</v>
      </c>
      <c r="AP142" s="24">
        <v>0</v>
      </c>
      <c r="AQ142" s="31">
        <f t="shared" si="14"/>
        <v>12</v>
      </c>
      <c r="AR142" s="32">
        <f t="shared" si="14"/>
        <v>30000</v>
      </c>
      <c r="AS142" s="30">
        <v>15</v>
      </c>
    </row>
    <row r="143" spans="1:45" ht="16" x14ac:dyDescent="0.2">
      <c r="A143" s="19">
        <v>140</v>
      </c>
      <c r="B143" s="21" t="s">
        <v>162</v>
      </c>
      <c r="C143" s="20" t="s">
        <v>167</v>
      </c>
      <c r="D143" s="345"/>
      <c r="E143" s="22">
        <v>47.6</v>
      </c>
      <c r="F143" s="23">
        <f t="shared" si="10"/>
        <v>119000</v>
      </c>
      <c r="G143" s="19">
        <v>0</v>
      </c>
      <c r="H143" s="23">
        <v>0</v>
      </c>
      <c r="I143" s="24">
        <v>0</v>
      </c>
      <c r="J143" s="19">
        <v>0</v>
      </c>
      <c r="K143" s="23">
        <v>0</v>
      </c>
      <c r="L143" s="24">
        <v>0</v>
      </c>
      <c r="M143" s="25">
        <v>10.4</v>
      </c>
      <c r="N143" s="26">
        <v>26000</v>
      </c>
      <c r="O143" s="27">
        <v>26</v>
      </c>
      <c r="P143" s="28">
        <f t="shared" si="11"/>
        <v>7.6</v>
      </c>
      <c r="Q143" s="29">
        <f t="shared" si="12"/>
        <v>19000</v>
      </c>
      <c r="R143" s="30">
        <v>19</v>
      </c>
      <c r="S143" s="19">
        <v>0</v>
      </c>
      <c r="T143" s="23">
        <v>0</v>
      </c>
      <c r="U143" s="24">
        <v>0</v>
      </c>
      <c r="V143" s="31">
        <f t="shared" si="13"/>
        <v>16.8</v>
      </c>
      <c r="W143" s="32">
        <v>42000</v>
      </c>
      <c r="X143" s="30">
        <v>42</v>
      </c>
      <c r="Y143" s="19">
        <v>0</v>
      </c>
      <c r="Z143" s="23">
        <v>0</v>
      </c>
      <c r="AA143" s="24">
        <v>0</v>
      </c>
      <c r="AB143" s="33">
        <v>0</v>
      </c>
      <c r="AC143" s="34">
        <v>0</v>
      </c>
      <c r="AD143" s="35">
        <v>0</v>
      </c>
      <c r="AE143" s="36">
        <v>0</v>
      </c>
      <c r="AF143" s="23">
        <v>0</v>
      </c>
      <c r="AG143" s="24">
        <v>0</v>
      </c>
      <c r="AH143" s="33">
        <v>0</v>
      </c>
      <c r="AI143" s="37">
        <v>0</v>
      </c>
      <c r="AJ143" s="35">
        <v>0</v>
      </c>
      <c r="AK143" s="36">
        <v>0</v>
      </c>
      <c r="AL143" s="38">
        <v>0</v>
      </c>
      <c r="AM143" s="35">
        <v>0</v>
      </c>
      <c r="AN143" s="19">
        <v>0</v>
      </c>
      <c r="AO143" s="23">
        <v>0</v>
      </c>
      <c r="AP143" s="24">
        <v>0</v>
      </c>
      <c r="AQ143" s="31">
        <f t="shared" si="14"/>
        <v>34.799999999999997</v>
      </c>
      <c r="AR143" s="32">
        <f t="shared" si="14"/>
        <v>87000</v>
      </c>
      <c r="AS143" s="30">
        <v>45</v>
      </c>
    </row>
    <row r="144" spans="1:45" ht="16" x14ac:dyDescent="0.2">
      <c r="A144" s="19">
        <v>141</v>
      </c>
      <c r="B144" s="21" t="s">
        <v>162</v>
      </c>
      <c r="C144" s="20" t="s">
        <v>168</v>
      </c>
      <c r="D144" s="345"/>
      <c r="E144" s="22">
        <v>11.8</v>
      </c>
      <c r="F144" s="23">
        <f t="shared" si="10"/>
        <v>29500</v>
      </c>
      <c r="G144" s="19">
        <v>0</v>
      </c>
      <c r="H144" s="23">
        <v>0</v>
      </c>
      <c r="I144" s="24">
        <v>0</v>
      </c>
      <c r="J144" s="19">
        <v>0</v>
      </c>
      <c r="K144" s="23">
        <v>0</v>
      </c>
      <c r="L144" s="24">
        <v>0</v>
      </c>
      <c r="M144" s="25">
        <v>2.4</v>
      </c>
      <c r="N144" s="26">
        <v>6000</v>
      </c>
      <c r="O144" s="27">
        <v>6</v>
      </c>
      <c r="P144" s="28">
        <f t="shared" si="11"/>
        <v>0.8</v>
      </c>
      <c r="Q144" s="29">
        <f t="shared" si="12"/>
        <v>2000</v>
      </c>
      <c r="R144" s="30">
        <v>2</v>
      </c>
      <c r="S144" s="19">
        <v>0</v>
      </c>
      <c r="T144" s="23">
        <v>0</v>
      </c>
      <c r="U144" s="24">
        <v>0</v>
      </c>
      <c r="V144" s="31">
        <f t="shared" si="13"/>
        <v>3.2</v>
      </c>
      <c r="W144" s="32">
        <v>8000</v>
      </c>
      <c r="X144" s="30">
        <v>8</v>
      </c>
      <c r="Y144" s="19">
        <v>0</v>
      </c>
      <c r="Z144" s="23">
        <v>0</v>
      </c>
      <c r="AA144" s="24">
        <v>0</v>
      </c>
      <c r="AB144" s="33">
        <v>0</v>
      </c>
      <c r="AC144" s="34">
        <v>0</v>
      </c>
      <c r="AD144" s="35">
        <v>0</v>
      </c>
      <c r="AE144" s="36">
        <v>0</v>
      </c>
      <c r="AF144" s="23">
        <v>0</v>
      </c>
      <c r="AG144" s="24">
        <v>0</v>
      </c>
      <c r="AH144" s="33">
        <v>0</v>
      </c>
      <c r="AI144" s="37">
        <v>0</v>
      </c>
      <c r="AJ144" s="35">
        <v>0</v>
      </c>
      <c r="AK144" s="36">
        <v>0</v>
      </c>
      <c r="AL144" s="38">
        <v>0</v>
      </c>
      <c r="AM144" s="35">
        <v>0</v>
      </c>
      <c r="AN144" s="19">
        <v>0</v>
      </c>
      <c r="AO144" s="23">
        <v>0</v>
      </c>
      <c r="AP144" s="24">
        <v>0</v>
      </c>
      <c r="AQ144" s="31">
        <f t="shared" si="14"/>
        <v>6.4</v>
      </c>
      <c r="AR144" s="32">
        <f t="shared" si="14"/>
        <v>16000</v>
      </c>
      <c r="AS144" s="30">
        <v>8</v>
      </c>
    </row>
    <row r="145" spans="1:45" ht="16" x14ac:dyDescent="0.2">
      <c r="A145" s="19">
        <v>142</v>
      </c>
      <c r="B145" s="21" t="s">
        <v>162</v>
      </c>
      <c r="C145" s="20" t="s">
        <v>77</v>
      </c>
      <c r="D145" s="345"/>
      <c r="E145" s="22">
        <v>3</v>
      </c>
      <c r="F145" s="23">
        <f t="shared" si="10"/>
        <v>7500</v>
      </c>
      <c r="G145" s="19">
        <v>0</v>
      </c>
      <c r="H145" s="23">
        <v>0</v>
      </c>
      <c r="I145" s="24">
        <v>0</v>
      </c>
      <c r="J145" s="19">
        <v>0</v>
      </c>
      <c r="K145" s="23">
        <v>0</v>
      </c>
      <c r="L145" s="24">
        <v>0</v>
      </c>
      <c r="M145" s="25">
        <v>1</v>
      </c>
      <c r="N145" s="26">
        <v>1000</v>
      </c>
      <c r="O145" s="27">
        <v>1</v>
      </c>
      <c r="P145" s="28">
        <f t="shared" si="11"/>
        <v>0.8</v>
      </c>
      <c r="Q145" s="29">
        <f t="shared" si="12"/>
        <v>2000</v>
      </c>
      <c r="R145" s="30">
        <v>2</v>
      </c>
      <c r="S145" s="19">
        <v>0</v>
      </c>
      <c r="T145" s="23">
        <v>0</v>
      </c>
      <c r="U145" s="24">
        <v>0</v>
      </c>
      <c r="V145" s="31">
        <f t="shared" si="13"/>
        <v>1.6</v>
      </c>
      <c r="W145" s="32">
        <v>4000</v>
      </c>
      <c r="X145" s="30">
        <v>4</v>
      </c>
      <c r="Y145" s="19">
        <v>0</v>
      </c>
      <c r="Z145" s="23">
        <v>0</v>
      </c>
      <c r="AA145" s="24">
        <v>0</v>
      </c>
      <c r="AB145" s="33">
        <v>0</v>
      </c>
      <c r="AC145" s="34">
        <v>0</v>
      </c>
      <c r="AD145" s="35">
        <v>0</v>
      </c>
      <c r="AE145" s="36">
        <v>0</v>
      </c>
      <c r="AF145" s="23">
        <v>0</v>
      </c>
      <c r="AG145" s="24">
        <v>0</v>
      </c>
      <c r="AH145" s="33">
        <v>0</v>
      </c>
      <c r="AI145" s="37">
        <v>0</v>
      </c>
      <c r="AJ145" s="35">
        <v>0</v>
      </c>
      <c r="AK145" s="36">
        <v>0</v>
      </c>
      <c r="AL145" s="38">
        <v>0</v>
      </c>
      <c r="AM145" s="35">
        <v>0</v>
      </c>
      <c r="AN145" s="19">
        <v>0</v>
      </c>
      <c r="AO145" s="23">
        <v>0</v>
      </c>
      <c r="AP145" s="24">
        <v>0</v>
      </c>
      <c r="AQ145" s="31">
        <f t="shared" si="14"/>
        <v>3.4000000000000004</v>
      </c>
      <c r="AR145" s="32">
        <f t="shared" si="14"/>
        <v>7000</v>
      </c>
      <c r="AS145" s="30">
        <v>4</v>
      </c>
    </row>
    <row r="146" spans="1:45" ht="16" x14ac:dyDescent="0.2">
      <c r="A146" s="19">
        <v>143</v>
      </c>
      <c r="B146" s="21" t="s">
        <v>162</v>
      </c>
      <c r="C146" s="20" t="s">
        <v>169</v>
      </c>
      <c r="D146" s="345"/>
      <c r="E146" s="22">
        <v>26.6</v>
      </c>
      <c r="F146" s="23">
        <f t="shared" si="10"/>
        <v>66500</v>
      </c>
      <c r="G146" s="19">
        <v>0</v>
      </c>
      <c r="H146" s="23">
        <v>0</v>
      </c>
      <c r="I146" s="24">
        <v>0</v>
      </c>
      <c r="J146" s="19">
        <v>0</v>
      </c>
      <c r="K146" s="23">
        <v>0</v>
      </c>
      <c r="L146" s="24">
        <v>0</v>
      </c>
      <c r="M146" s="25">
        <v>4.4000000000000004</v>
      </c>
      <c r="N146" s="26">
        <v>11000</v>
      </c>
      <c r="O146" s="27">
        <v>11</v>
      </c>
      <c r="P146" s="28">
        <f t="shared" si="11"/>
        <v>2.8</v>
      </c>
      <c r="Q146" s="29">
        <f t="shared" si="12"/>
        <v>7000</v>
      </c>
      <c r="R146" s="30">
        <v>7</v>
      </c>
      <c r="S146" s="19">
        <v>0</v>
      </c>
      <c r="T146" s="23">
        <v>0</v>
      </c>
      <c r="U146" s="24">
        <v>0</v>
      </c>
      <c r="V146" s="31">
        <f t="shared" si="13"/>
        <v>6.8</v>
      </c>
      <c r="W146" s="32">
        <v>17000</v>
      </c>
      <c r="X146" s="30">
        <v>17</v>
      </c>
      <c r="Y146" s="19">
        <v>0</v>
      </c>
      <c r="Z146" s="23">
        <v>0</v>
      </c>
      <c r="AA146" s="24">
        <v>0</v>
      </c>
      <c r="AB146" s="33">
        <v>0</v>
      </c>
      <c r="AC146" s="34">
        <v>0</v>
      </c>
      <c r="AD146" s="35">
        <v>0</v>
      </c>
      <c r="AE146" s="36">
        <v>0</v>
      </c>
      <c r="AF146" s="23">
        <v>0</v>
      </c>
      <c r="AG146" s="24">
        <v>0</v>
      </c>
      <c r="AH146" s="33">
        <v>0</v>
      </c>
      <c r="AI146" s="37">
        <v>0</v>
      </c>
      <c r="AJ146" s="35">
        <v>0</v>
      </c>
      <c r="AK146" s="36">
        <v>0</v>
      </c>
      <c r="AL146" s="38">
        <v>0</v>
      </c>
      <c r="AM146" s="35">
        <v>0</v>
      </c>
      <c r="AN146" s="19">
        <v>0</v>
      </c>
      <c r="AO146" s="23">
        <v>0</v>
      </c>
      <c r="AP146" s="24">
        <v>0</v>
      </c>
      <c r="AQ146" s="31">
        <f t="shared" si="14"/>
        <v>14</v>
      </c>
      <c r="AR146" s="32">
        <f t="shared" si="14"/>
        <v>35000</v>
      </c>
      <c r="AS146" s="30">
        <v>18</v>
      </c>
    </row>
    <row r="147" spans="1:45" ht="16" x14ac:dyDescent="0.2">
      <c r="A147" s="19">
        <v>144</v>
      </c>
      <c r="B147" s="21" t="s">
        <v>162</v>
      </c>
      <c r="C147" s="20" t="s">
        <v>170</v>
      </c>
      <c r="D147" s="345"/>
      <c r="E147" s="22">
        <v>5</v>
      </c>
      <c r="F147" s="23">
        <f t="shared" si="10"/>
        <v>12500</v>
      </c>
      <c r="G147" s="19">
        <v>0</v>
      </c>
      <c r="H147" s="23">
        <v>0</v>
      </c>
      <c r="I147" s="24">
        <v>0</v>
      </c>
      <c r="J147" s="19">
        <v>0</v>
      </c>
      <c r="K147" s="23">
        <v>0</v>
      </c>
      <c r="L147" s="24">
        <v>0</v>
      </c>
      <c r="M147" s="25">
        <v>1.2</v>
      </c>
      <c r="N147" s="26">
        <v>3000</v>
      </c>
      <c r="O147" s="27">
        <v>3</v>
      </c>
      <c r="P147" s="28">
        <f t="shared" si="11"/>
        <v>0.4</v>
      </c>
      <c r="Q147" s="29">
        <f t="shared" si="12"/>
        <v>1000</v>
      </c>
      <c r="R147" s="30">
        <v>1</v>
      </c>
      <c r="S147" s="19">
        <v>0</v>
      </c>
      <c r="T147" s="23">
        <v>0</v>
      </c>
      <c r="U147" s="24">
        <v>0</v>
      </c>
      <c r="V147" s="31">
        <f t="shared" si="13"/>
        <v>1.6</v>
      </c>
      <c r="W147" s="32">
        <v>4000</v>
      </c>
      <c r="X147" s="30">
        <v>4</v>
      </c>
      <c r="Y147" s="19">
        <v>0</v>
      </c>
      <c r="Z147" s="23">
        <v>0</v>
      </c>
      <c r="AA147" s="24">
        <v>0</v>
      </c>
      <c r="AB147" s="33">
        <v>0</v>
      </c>
      <c r="AC147" s="34">
        <v>0</v>
      </c>
      <c r="AD147" s="35">
        <v>0</v>
      </c>
      <c r="AE147" s="36">
        <v>0</v>
      </c>
      <c r="AF147" s="23">
        <v>0</v>
      </c>
      <c r="AG147" s="24">
        <v>0</v>
      </c>
      <c r="AH147" s="33">
        <v>0</v>
      </c>
      <c r="AI147" s="37">
        <v>0</v>
      </c>
      <c r="AJ147" s="35">
        <v>0</v>
      </c>
      <c r="AK147" s="36">
        <v>0</v>
      </c>
      <c r="AL147" s="38">
        <v>0</v>
      </c>
      <c r="AM147" s="35">
        <v>0</v>
      </c>
      <c r="AN147" s="19">
        <v>0</v>
      </c>
      <c r="AO147" s="23">
        <v>0</v>
      </c>
      <c r="AP147" s="24">
        <v>0</v>
      </c>
      <c r="AQ147" s="31">
        <f t="shared" si="14"/>
        <v>3.2</v>
      </c>
      <c r="AR147" s="32">
        <f t="shared" si="14"/>
        <v>8000</v>
      </c>
      <c r="AS147" s="30">
        <v>4</v>
      </c>
    </row>
    <row r="148" spans="1:45" ht="16" x14ac:dyDescent="0.2">
      <c r="A148" s="19">
        <v>145</v>
      </c>
      <c r="B148" s="21" t="s">
        <v>162</v>
      </c>
      <c r="C148" s="20" t="s">
        <v>162</v>
      </c>
      <c r="D148" s="345"/>
      <c r="E148" s="22">
        <v>15.8</v>
      </c>
      <c r="F148" s="23">
        <f t="shared" si="10"/>
        <v>39500</v>
      </c>
      <c r="G148" s="19">
        <v>0</v>
      </c>
      <c r="H148" s="23">
        <v>0</v>
      </c>
      <c r="I148" s="24">
        <v>0</v>
      </c>
      <c r="J148" s="19">
        <v>0</v>
      </c>
      <c r="K148" s="23">
        <v>0</v>
      </c>
      <c r="L148" s="24">
        <v>0</v>
      </c>
      <c r="M148" s="25">
        <v>4.8</v>
      </c>
      <c r="N148" s="26">
        <v>12000</v>
      </c>
      <c r="O148" s="27">
        <v>12</v>
      </c>
      <c r="P148" s="28">
        <f t="shared" si="11"/>
        <v>2.4</v>
      </c>
      <c r="Q148" s="29">
        <f t="shared" si="12"/>
        <v>6000</v>
      </c>
      <c r="R148" s="30">
        <v>6</v>
      </c>
      <c r="S148" s="19">
        <v>0</v>
      </c>
      <c r="T148" s="23">
        <v>0</v>
      </c>
      <c r="U148" s="24">
        <v>0</v>
      </c>
      <c r="V148" s="31">
        <f t="shared" si="13"/>
        <v>6.4</v>
      </c>
      <c r="W148" s="32">
        <v>16000</v>
      </c>
      <c r="X148" s="30">
        <v>16</v>
      </c>
      <c r="Y148" s="19">
        <v>0</v>
      </c>
      <c r="Z148" s="23">
        <v>0</v>
      </c>
      <c r="AA148" s="24">
        <v>0</v>
      </c>
      <c r="AB148" s="33">
        <v>0</v>
      </c>
      <c r="AC148" s="34">
        <v>0</v>
      </c>
      <c r="AD148" s="35">
        <v>0</v>
      </c>
      <c r="AE148" s="36">
        <v>0</v>
      </c>
      <c r="AF148" s="23">
        <v>0</v>
      </c>
      <c r="AG148" s="24">
        <v>0</v>
      </c>
      <c r="AH148" s="33">
        <v>0</v>
      </c>
      <c r="AI148" s="37">
        <v>0</v>
      </c>
      <c r="AJ148" s="35">
        <v>0</v>
      </c>
      <c r="AK148" s="36">
        <v>0</v>
      </c>
      <c r="AL148" s="38">
        <v>0</v>
      </c>
      <c r="AM148" s="35">
        <v>0</v>
      </c>
      <c r="AN148" s="19">
        <v>0</v>
      </c>
      <c r="AO148" s="23">
        <v>0</v>
      </c>
      <c r="AP148" s="24">
        <v>0</v>
      </c>
      <c r="AQ148" s="31">
        <f t="shared" si="14"/>
        <v>13.6</v>
      </c>
      <c r="AR148" s="32">
        <f t="shared" si="14"/>
        <v>34000</v>
      </c>
      <c r="AS148" s="30">
        <v>19</v>
      </c>
    </row>
    <row r="149" spans="1:45" ht="16" x14ac:dyDescent="0.2">
      <c r="A149" s="19">
        <v>146</v>
      </c>
      <c r="B149" s="21" t="s">
        <v>162</v>
      </c>
      <c r="C149" s="20" t="s">
        <v>171</v>
      </c>
      <c r="D149" s="345"/>
      <c r="E149" s="22">
        <v>31.799999999999997</v>
      </c>
      <c r="F149" s="23">
        <f t="shared" si="10"/>
        <v>79500</v>
      </c>
      <c r="G149" s="19">
        <v>0</v>
      </c>
      <c r="H149" s="23">
        <v>0</v>
      </c>
      <c r="I149" s="24">
        <v>0</v>
      </c>
      <c r="J149" s="19">
        <v>0</v>
      </c>
      <c r="K149" s="23">
        <v>0</v>
      </c>
      <c r="L149" s="24">
        <v>0</v>
      </c>
      <c r="M149" s="25">
        <v>10</v>
      </c>
      <c r="N149" s="26">
        <v>25000</v>
      </c>
      <c r="O149" s="27">
        <v>25</v>
      </c>
      <c r="P149" s="28">
        <f t="shared" si="11"/>
        <v>2</v>
      </c>
      <c r="Q149" s="29">
        <f t="shared" si="12"/>
        <v>5000</v>
      </c>
      <c r="R149" s="30">
        <v>5</v>
      </c>
      <c r="S149" s="19">
        <v>0</v>
      </c>
      <c r="T149" s="23">
        <v>0</v>
      </c>
      <c r="U149" s="24">
        <v>0</v>
      </c>
      <c r="V149" s="31">
        <f t="shared" si="13"/>
        <v>12</v>
      </c>
      <c r="W149" s="32">
        <v>30000</v>
      </c>
      <c r="X149" s="30">
        <v>30</v>
      </c>
      <c r="Y149" s="19">
        <v>0</v>
      </c>
      <c r="Z149" s="23">
        <v>0</v>
      </c>
      <c r="AA149" s="24">
        <v>0</v>
      </c>
      <c r="AB149" s="33">
        <v>0</v>
      </c>
      <c r="AC149" s="34">
        <v>0</v>
      </c>
      <c r="AD149" s="35">
        <v>0</v>
      </c>
      <c r="AE149" s="36">
        <v>0</v>
      </c>
      <c r="AF149" s="23">
        <v>0</v>
      </c>
      <c r="AG149" s="24">
        <v>0</v>
      </c>
      <c r="AH149" s="33">
        <v>0</v>
      </c>
      <c r="AI149" s="37">
        <v>0</v>
      </c>
      <c r="AJ149" s="35">
        <v>0</v>
      </c>
      <c r="AK149" s="36">
        <v>0</v>
      </c>
      <c r="AL149" s="38">
        <v>0</v>
      </c>
      <c r="AM149" s="35">
        <v>0</v>
      </c>
      <c r="AN149" s="19">
        <v>0</v>
      </c>
      <c r="AO149" s="23">
        <v>0</v>
      </c>
      <c r="AP149" s="24">
        <v>0</v>
      </c>
      <c r="AQ149" s="31">
        <f t="shared" si="14"/>
        <v>24</v>
      </c>
      <c r="AR149" s="32">
        <f t="shared" si="14"/>
        <v>60000</v>
      </c>
      <c r="AS149" s="30">
        <v>31</v>
      </c>
    </row>
    <row r="150" spans="1:45" ht="16" x14ac:dyDescent="0.2">
      <c r="A150" s="19">
        <v>147</v>
      </c>
      <c r="B150" s="21" t="s">
        <v>162</v>
      </c>
      <c r="C150" s="20" t="s">
        <v>172</v>
      </c>
      <c r="D150" s="345"/>
      <c r="E150" s="22">
        <v>34.200000000000003</v>
      </c>
      <c r="F150" s="23">
        <f t="shared" si="10"/>
        <v>85500</v>
      </c>
      <c r="G150" s="19">
        <v>0</v>
      </c>
      <c r="H150" s="23">
        <v>0</v>
      </c>
      <c r="I150" s="24">
        <v>0</v>
      </c>
      <c r="J150" s="19">
        <v>0</v>
      </c>
      <c r="K150" s="23">
        <v>0</v>
      </c>
      <c r="L150" s="24">
        <v>0</v>
      </c>
      <c r="M150" s="25">
        <v>11.6</v>
      </c>
      <c r="N150" s="26">
        <v>29000</v>
      </c>
      <c r="O150" s="27">
        <v>29</v>
      </c>
      <c r="P150" s="28">
        <f t="shared" si="11"/>
        <v>5.2</v>
      </c>
      <c r="Q150" s="29">
        <f t="shared" si="12"/>
        <v>13000</v>
      </c>
      <c r="R150" s="30">
        <v>13</v>
      </c>
      <c r="S150" s="19">
        <v>0</v>
      </c>
      <c r="T150" s="23">
        <v>0</v>
      </c>
      <c r="U150" s="24">
        <v>0</v>
      </c>
      <c r="V150" s="31">
        <f t="shared" si="13"/>
        <v>17.2</v>
      </c>
      <c r="W150" s="32">
        <v>43000</v>
      </c>
      <c r="X150" s="30">
        <v>43</v>
      </c>
      <c r="Y150" s="19">
        <v>0</v>
      </c>
      <c r="Z150" s="23">
        <v>0</v>
      </c>
      <c r="AA150" s="24">
        <v>0</v>
      </c>
      <c r="AB150" s="33">
        <v>0</v>
      </c>
      <c r="AC150" s="34">
        <v>0</v>
      </c>
      <c r="AD150" s="35">
        <v>0</v>
      </c>
      <c r="AE150" s="36">
        <v>0</v>
      </c>
      <c r="AF150" s="23">
        <v>0</v>
      </c>
      <c r="AG150" s="24">
        <v>0</v>
      </c>
      <c r="AH150" s="33">
        <v>0</v>
      </c>
      <c r="AI150" s="37">
        <v>0</v>
      </c>
      <c r="AJ150" s="35">
        <v>0</v>
      </c>
      <c r="AK150" s="36">
        <v>0</v>
      </c>
      <c r="AL150" s="38">
        <v>0</v>
      </c>
      <c r="AM150" s="35">
        <v>0</v>
      </c>
      <c r="AN150" s="19">
        <v>0</v>
      </c>
      <c r="AO150" s="23">
        <v>0</v>
      </c>
      <c r="AP150" s="24">
        <v>0</v>
      </c>
      <c r="AQ150" s="31">
        <f t="shared" si="14"/>
        <v>34</v>
      </c>
      <c r="AR150" s="32">
        <f t="shared" si="14"/>
        <v>85000</v>
      </c>
      <c r="AS150" s="30">
        <v>43</v>
      </c>
    </row>
    <row r="151" spans="1:45" ht="16" x14ac:dyDescent="0.2">
      <c r="A151" s="19">
        <v>148</v>
      </c>
      <c r="B151" s="21" t="s">
        <v>162</v>
      </c>
      <c r="C151" s="20" t="s">
        <v>173</v>
      </c>
      <c r="D151" s="345"/>
      <c r="E151" s="22">
        <v>9</v>
      </c>
      <c r="F151" s="23">
        <f t="shared" si="10"/>
        <v>22500</v>
      </c>
      <c r="G151" s="19">
        <v>0</v>
      </c>
      <c r="H151" s="23">
        <v>0</v>
      </c>
      <c r="I151" s="24">
        <v>0</v>
      </c>
      <c r="J151" s="19">
        <v>0</v>
      </c>
      <c r="K151" s="23">
        <v>0</v>
      </c>
      <c r="L151" s="24">
        <v>0</v>
      </c>
      <c r="M151" s="25">
        <v>2.4</v>
      </c>
      <c r="N151" s="26">
        <v>6000</v>
      </c>
      <c r="O151" s="27">
        <v>6</v>
      </c>
      <c r="P151" s="28">
        <f t="shared" si="11"/>
        <v>1.6</v>
      </c>
      <c r="Q151" s="29">
        <f t="shared" si="12"/>
        <v>4000</v>
      </c>
      <c r="R151" s="30">
        <v>4</v>
      </c>
      <c r="S151" s="19">
        <v>0</v>
      </c>
      <c r="T151" s="23">
        <v>0</v>
      </c>
      <c r="U151" s="24">
        <v>0</v>
      </c>
      <c r="V151" s="31">
        <f t="shared" si="13"/>
        <v>4</v>
      </c>
      <c r="W151" s="32">
        <v>10000</v>
      </c>
      <c r="X151" s="30">
        <v>10</v>
      </c>
      <c r="Y151" s="19">
        <v>0</v>
      </c>
      <c r="Z151" s="23">
        <v>0</v>
      </c>
      <c r="AA151" s="24">
        <v>0</v>
      </c>
      <c r="AB151" s="33">
        <v>0</v>
      </c>
      <c r="AC151" s="34">
        <v>0</v>
      </c>
      <c r="AD151" s="35">
        <v>0</v>
      </c>
      <c r="AE151" s="36">
        <v>0</v>
      </c>
      <c r="AF151" s="23">
        <v>0</v>
      </c>
      <c r="AG151" s="24">
        <v>0</v>
      </c>
      <c r="AH151" s="33">
        <v>0</v>
      </c>
      <c r="AI151" s="37">
        <v>0</v>
      </c>
      <c r="AJ151" s="35">
        <v>0</v>
      </c>
      <c r="AK151" s="36">
        <v>0</v>
      </c>
      <c r="AL151" s="38">
        <v>0</v>
      </c>
      <c r="AM151" s="35">
        <v>0</v>
      </c>
      <c r="AN151" s="19">
        <v>0</v>
      </c>
      <c r="AO151" s="23">
        <v>0</v>
      </c>
      <c r="AP151" s="24">
        <v>0</v>
      </c>
      <c r="AQ151" s="31">
        <f t="shared" si="14"/>
        <v>8</v>
      </c>
      <c r="AR151" s="32">
        <f t="shared" si="14"/>
        <v>20000</v>
      </c>
      <c r="AS151" s="30">
        <v>10</v>
      </c>
    </row>
    <row r="152" spans="1:45" ht="16" x14ac:dyDescent="0.2">
      <c r="A152" s="19">
        <v>149</v>
      </c>
      <c r="B152" s="21" t="s">
        <v>162</v>
      </c>
      <c r="C152" s="20" t="s">
        <v>174</v>
      </c>
      <c r="D152" s="345"/>
      <c r="E152" s="22">
        <v>12</v>
      </c>
      <c r="F152" s="23">
        <f t="shared" si="10"/>
        <v>30000</v>
      </c>
      <c r="G152" s="19">
        <v>0</v>
      </c>
      <c r="H152" s="23">
        <v>0</v>
      </c>
      <c r="I152" s="24">
        <v>0</v>
      </c>
      <c r="J152" s="19">
        <v>0</v>
      </c>
      <c r="K152" s="23">
        <v>0</v>
      </c>
      <c r="L152" s="24">
        <v>0</v>
      </c>
      <c r="M152" s="25">
        <v>3.2</v>
      </c>
      <c r="N152" s="26">
        <v>8000</v>
      </c>
      <c r="O152" s="27">
        <v>8</v>
      </c>
      <c r="P152" s="28">
        <f t="shared" si="11"/>
        <v>0.4</v>
      </c>
      <c r="Q152" s="29">
        <f t="shared" si="12"/>
        <v>1000</v>
      </c>
      <c r="R152" s="30">
        <v>1</v>
      </c>
      <c r="S152" s="19">
        <v>0</v>
      </c>
      <c r="T152" s="23">
        <v>0</v>
      </c>
      <c r="U152" s="24">
        <v>0</v>
      </c>
      <c r="V152" s="31">
        <f t="shared" si="13"/>
        <v>4</v>
      </c>
      <c r="W152" s="32">
        <v>10000</v>
      </c>
      <c r="X152" s="30">
        <v>10</v>
      </c>
      <c r="Y152" s="19">
        <v>0</v>
      </c>
      <c r="Z152" s="23">
        <v>0</v>
      </c>
      <c r="AA152" s="24">
        <v>0</v>
      </c>
      <c r="AB152" s="33">
        <v>0</v>
      </c>
      <c r="AC152" s="34">
        <v>0</v>
      </c>
      <c r="AD152" s="35">
        <v>0</v>
      </c>
      <c r="AE152" s="36">
        <v>0</v>
      </c>
      <c r="AF152" s="23">
        <v>0</v>
      </c>
      <c r="AG152" s="24">
        <v>0</v>
      </c>
      <c r="AH152" s="33">
        <v>0</v>
      </c>
      <c r="AI152" s="37">
        <v>0</v>
      </c>
      <c r="AJ152" s="35">
        <v>0</v>
      </c>
      <c r="AK152" s="36">
        <v>0</v>
      </c>
      <c r="AL152" s="38">
        <v>0</v>
      </c>
      <c r="AM152" s="35">
        <v>0</v>
      </c>
      <c r="AN152" s="19">
        <v>0</v>
      </c>
      <c r="AO152" s="23">
        <v>0</v>
      </c>
      <c r="AP152" s="24">
        <v>0</v>
      </c>
      <c r="AQ152" s="31">
        <f t="shared" si="14"/>
        <v>7.6</v>
      </c>
      <c r="AR152" s="32">
        <f t="shared" si="14"/>
        <v>19000</v>
      </c>
      <c r="AS152" s="30">
        <v>10</v>
      </c>
    </row>
    <row r="153" spans="1:45" ht="16" x14ac:dyDescent="0.2">
      <c r="A153" s="19">
        <v>150</v>
      </c>
      <c r="B153" s="21" t="s">
        <v>162</v>
      </c>
      <c r="C153" s="20" t="s">
        <v>175</v>
      </c>
      <c r="D153" s="345"/>
      <c r="E153" s="22">
        <v>7.6</v>
      </c>
      <c r="F153" s="23">
        <f t="shared" si="10"/>
        <v>19000</v>
      </c>
      <c r="G153" s="19">
        <v>0</v>
      </c>
      <c r="H153" s="23">
        <v>0</v>
      </c>
      <c r="I153" s="24">
        <v>0</v>
      </c>
      <c r="J153" s="19">
        <v>0</v>
      </c>
      <c r="K153" s="23">
        <v>0</v>
      </c>
      <c r="L153" s="24">
        <v>0</v>
      </c>
      <c r="M153" s="25">
        <v>2.4</v>
      </c>
      <c r="N153" s="26">
        <v>6000</v>
      </c>
      <c r="O153" s="27">
        <v>6</v>
      </c>
      <c r="P153" s="28">
        <f t="shared" si="11"/>
        <v>2.8</v>
      </c>
      <c r="Q153" s="29">
        <f t="shared" si="12"/>
        <v>7000</v>
      </c>
      <c r="R153" s="30">
        <v>7</v>
      </c>
      <c r="S153" s="19">
        <v>0</v>
      </c>
      <c r="T153" s="23">
        <v>0</v>
      </c>
      <c r="U153" s="24">
        <v>0</v>
      </c>
      <c r="V153" s="31">
        <f t="shared" si="13"/>
        <v>5.2</v>
      </c>
      <c r="W153" s="32">
        <v>13000</v>
      </c>
      <c r="X153" s="30">
        <v>13</v>
      </c>
      <c r="Y153" s="19">
        <v>0</v>
      </c>
      <c r="Z153" s="23">
        <v>0</v>
      </c>
      <c r="AA153" s="24">
        <v>0</v>
      </c>
      <c r="AB153" s="33">
        <v>0</v>
      </c>
      <c r="AC153" s="34">
        <v>0</v>
      </c>
      <c r="AD153" s="35">
        <v>0</v>
      </c>
      <c r="AE153" s="36">
        <v>0</v>
      </c>
      <c r="AF153" s="23">
        <v>0</v>
      </c>
      <c r="AG153" s="24">
        <v>0</v>
      </c>
      <c r="AH153" s="33">
        <v>0</v>
      </c>
      <c r="AI153" s="37">
        <v>0</v>
      </c>
      <c r="AJ153" s="35">
        <v>0</v>
      </c>
      <c r="AK153" s="36">
        <v>0</v>
      </c>
      <c r="AL153" s="38">
        <v>0</v>
      </c>
      <c r="AM153" s="35">
        <v>0</v>
      </c>
      <c r="AN153" s="19">
        <v>0</v>
      </c>
      <c r="AO153" s="23">
        <v>0</v>
      </c>
      <c r="AP153" s="24">
        <v>0</v>
      </c>
      <c r="AQ153" s="31">
        <f t="shared" si="14"/>
        <v>10.399999999999999</v>
      </c>
      <c r="AR153" s="32">
        <f t="shared" si="14"/>
        <v>26000</v>
      </c>
      <c r="AS153" s="30">
        <v>14</v>
      </c>
    </row>
    <row r="154" spans="1:45" ht="16" x14ac:dyDescent="0.2">
      <c r="A154" s="19">
        <v>151</v>
      </c>
      <c r="B154" s="21" t="s">
        <v>162</v>
      </c>
      <c r="C154" s="20" t="s">
        <v>176</v>
      </c>
      <c r="D154" s="345"/>
      <c r="E154" s="22">
        <v>13</v>
      </c>
      <c r="F154" s="23">
        <f t="shared" si="10"/>
        <v>32500</v>
      </c>
      <c r="G154" s="19">
        <v>0</v>
      </c>
      <c r="H154" s="23">
        <v>0</v>
      </c>
      <c r="I154" s="24">
        <v>0</v>
      </c>
      <c r="J154" s="19">
        <v>0</v>
      </c>
      <c r="K154" s="23">
        <v>0</v>
      </c>
      <c r="L154" s="24">
        <v>0</v>
      </c>
      <c r="M154" s="25">
        <v>4.8</v>
      </c>
      <c r="N154" s="26">
        <v>12000</v>
      </c>
      <c r="O154" s="27">
        <v>12</v>
      </c>
      <c r="P154" s="28">
        <f t="shared" si="11"/>
        <v>0.4</v>
      </c>
      <c r="Q154" s="29">
        <f t="shared" si="12"/>
        <v>1000</v>
      </c>
      <c r="R154" s="30">
        <v>1</v>
      </c>
      <c r="S154" s="19">
        <v>0</v>
      </c>
      <c r="T154" s="23">
        <v>0</v>
      </c>
      <c r="U154" s="24">
        <v>0</v>
      </c>
      <c r="V154" s="31">
        <f t="shared" si="13"/>
        <v>4.8</v>
      </c>
      <c r="W154" s="32">
        <v>12000</v>
      </c>
      <c r="X154" s="30">
        <v>12</v>
      </c>
      <c r="Y154" s="19">
        <v>0</v>
      </c>
      <c r="Z154" s="23">
        <v>0</v>
      </c>
      <c r="AA154" s="24">
        <v>0</v>
      </c>
      <c r="AB154" s="33">
        <v>0</v>
      </c>
      <c r="AC154" s="34">
        <v>0</v>
      </c>
      <c r="AD154" s="35">
        <v>0</v>
      </c>
      <c r="AE154" s="36">
        <v>0</v>
      </c>
      <c r="AF154" s="23">
        <v>0</v>
      </c>
      <c r="AG154" s="24">
        <v>0</v>
      </c>
      <c r="AH154" s="33">
        <v>0</v>
      </c>
      <c r="AI154" s="37">
        <v>0</v>
      </c>
      <c r="AJ154" s="35">
        <v>0</v>
      </c>
      <c r="AK154" s="36">
        <v>0</v>
      </c>
      <c r="AL154" s="38">
        <v>0</v>
      </c>
      <c r="AM154" s="35">
        <v>0</v>
      </c>
      <c r="AN154" s="19">
        <v>0</v>
      </c>
      <c r="AO154" s="23">
        <v>0</v>
      </c>
      <c r="AP154" s="24">
        <v>0</v>
      </c>
      <c r="AQ154" s="31">
        <f t="shared" si="14"/>
        <v>10</v>
      </c>
      <c r="AR154" s="32">
        <f t="shared" si="14"/>
        <v>25000</v>
      </c>
      <c r="AS154" s="30">
        <v>14</v>
      </c>
    </row>
    <row r="155" spans="1:45" ht="16" x14ac:dyDescent="0.2">
      <c r="A155" s="19">
        <v>152</v>
      </c>
      <c r="B155" s="21" t="s">
        <v>162</v>
      </c>
      <c r="C155" s="20" t="s">
        <v>177</v>
      </c>
      <c r="D155" s="345"/>
      <c r="E155" s="22">
        <v>16.2</v>
      </c>
      <c r="F155" s="23">
        <f t="shared" si="10"/>
        <v>40500</v>
      </c>
      <c r="G155" s="19">
        <v>0</v>
      </c>
      <c r="H155" s="23">
        <v>0</v>
      </c>
      <c r="I155" s="24">
        <v>0</v>
      </c>
      <c r="J155" s="19">
        <v>0</v>
      </c>
      <c r="K155" s="23">
        <v>0</v>
      </c>
      <c r="L155" s="24">
        <v>0</v>
      </c>
      <c r="M155" s="25">
        <v>4.4000000000000004</v>
      </c>
      <c r="N155" s="26">
        <v>11000</v>
      </c>
      <c r="O155" s="27">
        <v>11</v>
      </c>
      <c r="P155" s="28">
        <f t="shared" si="11"/>
        <v>2</v>
      </c>
      <c r="Q155" s="29">
        <f t="shared" si="12"/>
        <v>5000</v>
      </c>
      <c r="R155" s="30">
        <v>5</v>
      </c>
      <c r="S155" s="19">
        <v>0</v>
      </c>
      <c r="T155" s="23">
        <v>0</v>
      </c>
      <c r="U155" s="24">
        <v>0</v>
      </c>
      <c r="V155" s="31">
        <f t="shared" si="13"/>
        <v>6.4</v>
      </c>
      <c r="W155" s="32">
        <v>16000</v>
      </c>
      <c r="X155" s="30">
        <v>16</v>
      </c>
      <c r="Y155" s="19">
        <v>0</v>
      </c>
      <c r="Z155" s="23">
        <v>0</v>
      </c>
      <c r="AA155" s="24">
        <v>0</v>
      </c>
      <c r="AB155" s="33">
        <v>0</v>
      </c>
      <c r="AC155" s="34">
        <v>0</v>
      </c>
      <c r="AD155" s="35">
        <v>0</v>
      </c>
      <c r="AE155" s="36">
        <v>0</v>
      </c>
      <c r="AF155" s="23">
        <v>0</v>
      </c>
      <c r="AG155" s="24">
        <v>0</v>
      </c>
      <c r="AH155" s="33">
        <v>0</v>
      </c>
      <c r="AI155" s="37">
        <v>0</v>
      </c>
      <c r="AJ155" s="35">
        <v>0</v>
      </c>
      <c r="AK155" s="36">
        <v>0</v>
      </c>
      <c r="AL155" s="38">
        <v>0</v>
      </c>
      <c r="AM155" s="35">
        <v>0</v>
      </c>
      <c r="AN155" s="19">
        <v>0</v>
      </c>
      <c r="AO155" s="23">
        <v>0</v>
      </c>
      <c r="AP155" s="24">
        <v>0</v>
      </c>
      <c r="AQ155" s="31">
        <f t="shared" si="14"/>
        <v>12.8</v>
      </c>
      <c r="AR155" s="32">
        <f t="shared" si="14"/>
        <v>32000</v>
      </c>
      <c r="AS155" s="30">
        <v>16</v>
      </c>
    </row>
    <row r="156" spans="1:45" ht="16" x14ac:dyDescent="0.2">
      <c r="A156" s="19">
        <v>153</v>
      </c>
      <c r="B156" s="21" t="s">
        <v>178</v>
      </c>
      <c r="C156" s="20" t="s">
        <v>179</v>
      </c>
      <c r="D156" s="345"/>
      <c r="E156" s="22">
        <v>16.8</v>
      </c>
      <c r="F156" s="23">
        <f t="shared" si="10"/>
        <v>42000</v>
      </c>
      <c r="G156" s="19">
        <v>0</v>
      </c>
      <c r="H156" s="23">
        <v>0</v>
      </c>
      <c r="I156" s="24">
        <v>0</v>
      </c>
      <c r="J156" s="19">
        <v>0</v>
      </c>
      <c r="K156" s="23">
        <v>0</v>
      </c>
      <c r="L156" s="24">
        <v>0</v>
      </c>
      <c r="M156" s="25">
        <v>4.4000000000000004</v>
      </c>
      <c r="N156" s="26">
        <v>11000</v>
      </c>
      <c r="O156" s="27">
        <v>11</v>
      </c>
      <c r="P156" s="28">
        <f t="shared" si="11"/>
        <v>2.4</v>
      </c>
      <c r="Q156" s="29">
        <f t="shared" si="12"/>
        <v>6000</v>
      </c>
      <c r="R156" s="30">
        <v>6</v>
      </c>
      <c r="S156" s="19">
        <v>0</v>
      </c>
      <c r="T156" s="23">
        <v>0</v>
      </c>
      <c r="U156" s="24">
        <v>0</v>
      </c>
      <c r="V156" s="31">
        <f t="shared" si="13"/>
        <v>6.8</v>
      </c>
      <c r="W156" s="32">
        <v>17000</v>
      </c>
      <c r="X156" s="30">
        <v>17</v>
      </c>
      <c r="Y156" s="19">
        <v>0</v>
      </c>
      <c r="Z156" s="23">
        <v>0</v>
      </c>
      <c r="AA156" s="24">
        <v>0</v>
      </c>
      <c r="AB156" s="33">
        <v>0</v>
      </c>
      <c r="AC156" s="34">
        <v>0</v>
      </c>
      <c r="AD156" s="35">
        <v>0</v>
      </c>
      <c r="AE156" s="36">
        <v>0</v>
      </c>
      <c r="AF156" s="23">
        <v>0</v>
      </c>
      <c r="AG156" s="24">
        <v>0</v>
      </c>
      <c r="AH156" s="33">
        <v>0</v>
      </c>
      <c r="AI156" s="37">
        <v>0</v>
      </c>
      <c r="AJ156" s="35">
        <v>0</v>
      </c>
      <c r="AK156" s="36">
        <v>0</v>
      </c>
      <c r="AL156" s="38">
        <v>0</v>
      </c>
      <c r="AM156" s="35">
        <v>0</v>
      </c>
      <c r="AN156" s="19">
        <v>0</v>
      </c>
      <c r="AO156" s="23">
        <v>0</v>
      </c>
      <c r="AP156" s="24">
        <v>0</v>
      </c>
      <c r="AQ156" s="31">
        <f t="shared" si="14"/>
        <v>13.600000000000001</v>
      </c>
      <c r="AR156" s="32">
        <f t="shared" si="14"/>
        <v>34000</v>
      </c>
      <c r="AS156" s="30">
        <v>17</v>
      </c>
    </row>
    <row r="157" spans="1:45" ht="16" x14ac:dyDescent="0.2">
      <c r="A157" s="19">
        <v>154</v>
      </c>
      <c r="B157" s="21" t="s">
        <v>178</v>
      </c>
      <c r="C157" s="20" t="s">
        <v>180</v>
      </c>
      <c r="D157" s="345" t="s">
        <v>25</v>
      </c>
      <c r="E157" s="22">
        <v>27.999999999999993</v>
      </c>
      <c r="F157" s="23">
        <f t="shared" si="10"/>
        <v>69999.999999999985</v>
      </c>
      <c r="G157" s="19">
        <v>0</v>
      </c>
      <c r="H157" s="23">
        <v>0</v>
      </c>
      <c r="I157" s="24">
        <v>0</v>
      </c>
      <c r="J157" s="19">
        <v>0</v>
      </c>
      <c r="K157" s="23">
        <v>0</v>
      </c>
      <c r="L157" s="24">
        <v>0</v>
      </c>
      <c r="M157" s="25">
        <v>6.4</v>
      </c>
      <c r="N157" s="26">
        <v>16000</v>
      </c>
      <c r="O157" s="27">
        <v>16</v>
      </c>
      <c r="P157" s="28">
        <f t="shared" si="11"/>
        <v>4.4000000000000004</v>
      </c>
      <c r="Q157" s="29">
        <f t="shared" si="12"/>
        <v>11000</v>
      </c>
      <c r="R157" s="30">
        <v>11</v>
      </c>
      <c r="S157" s="19">
        <v>0</v>
      </c>
      <c r="T157" s="23">
        <v>0</v>
      </c>
      <c r="U157" s="24">
        <v>0</v>
      </c>
      <c r="V157" s="31">
        <f t="shared" si="13"/>
        <v>10.8</v>
      </c>
      <c r="W157" s="32">
        <v>27000</v>
      </c>
      <c r="X157" s="30">
        <v>27</v>
      </c>
      <c r="Y157" s="19">
        <v>0</v>
      </c>
      <c r="Z157" s="23">
        <v>0</v>
      </c>
      <c r="AA157" s="24">
        <v>0</v>
      </c>
      <c r="AB157" s="33">
        <v>0</v>
      </c>
      <c r="AC157" s="34">
        <v>0</v>
      </c>
      <c r="AD157" s="35">
        <v>0</v>
      </c>
      <c r="AE157" s="36">
        <v>0</v>
      </c>
      <c r="AF157" s="23">
        <v>0</v>
      </c>
      <c r="AG157" s="24">
        <v>0</v>
      </c>
      <c r="AH157" s="33">
        <v>0</v>
      </c>
      <c r="AI157" s="37">
        <v>0</v>
      </c>
      <c r="AJ157" s="35">
        <v>0</v>
      </c>
      <c r="AK157" s="36">
        <v>0</v>
      </c>
      <c r="AL157" s="38">
        <v>0</v>
      </c>
      <c r="AM157" s="35">
        <v>0</v>
      </c>
      <c r="AN157" s="19">
        <v>0</v>
      </c>
      <c r="AO157" s="23">
        <v>0</v>
      </c>
      <c r="AP157" s="24">
        <v>0</v>
      </c>
      <c r="AQ157" s="31">
        <f t="shared" si="14"/>
        <v>21.6</v>
      </c>
      <c r="AR157" s="32">
        <f t="shared" si="14"/>
        <v>54000</v>
      </c>
      <c r="AS157" s="30">
        <v>27</v>
      </c>
    </row>
    <row r="158" spans="1:45" ht="16" x14ac:dyDescent="0.2">
      <c r="A158" s="19">
        <v>155</v>
      </c>
      <c r="B158" s="21" t="s">
        <v>178</v>
      </c>
      <c r="C158" s="20" t="s">
        <v>181</v>
      </c>
      <c r="D158" s="345"/>
      <c r="E158" s="22">
        <v>12.4</v>
      </c>
      <c r="F158" s="23">
        <f t="shared" si="10"/>
        <v>31000</v>
      </c>
      <c r="G158" s="19">
        <v>0</v>
      </c>
      <c r="H158" s="23">
        <v>0</v>
      </c>
      <c r="I158" s="24">
        <v>0</v>
      </c>
      <c r="J158" s="19">
        <v>0</v>
      </c>
      <c r="K158" s="23">
        <v>0</v>
      </c>
      <c r="L158" s="24">
        <v>0</v>
      </c>
      <c r="M158" s="25">
        <v>4</v>
      </c>
      <c r="N158" s="26">
        <v>10000</v>
      </c>
      <c r="O158" s="27">
        <v>10</v>
      </c>
      <c r="P158" s="28">
        <f t="shared" si="11"/>
        <v>0.4</v>
      </c>
      <c r="Q158" s="29">
        <f t="shared" si="12"/>
        <v>1000</v>
      </c>
      <c r="R158" s="30">
        <v>1</v>
      </c>
      <c r="S158" s="19">
        <v>0</v>
      </c>
      <c r="T158" s="23">
        <v>0</v>
      </c>
      <c r="U158" s="24">
        <v>0</v>
      </c>
      <c r="V158" s="31">
        <f t="shared" si="13"/>
        <v>4.8</v>
      </c>
      <c r="W158" s="32">
        <v>12000</v>
      </c>
      <c r="X158" s="30">
        <v>12</v>
      </c>
      <c r="Y158" s="19">
        <v>0</v>
      </c>
      <c r="Z158" s="23">
        <v>0</v>
      </c>
      <c r="AA158" s="24">
        <v>0</v>
      </c>
      <c r="AB158" s="33">
        <v>0</v>
      </c>
      <c r="AC158" s="34">
        <v>0</v>
      </c>
      <c r="AD158" s="35">
        <v>0</v>
      </c>
      <c r="AE158" s="36">
        <v>0</v>
      </c>
      <c r="AF158" s="23">
        <v>0</v>
      </c>
      <c r="AG158" s="24">
        <v>0</v>
      </c>
      <c r="AH158" s="33">
        <v>0</v>
      </c>
      <c r="AI158" s="37">
        <v>0</v>
      </c>
      <c r="AJ158" s="35">
        <v>0</v>
      </c>
      <c r="AK158" s="36">
        <v>0</v>
      </c>
      <c r="AL158" s="38">
        <v>0</v>
      </c>
      <c r="AM158" s="35">
        <v>0</v>
      </c>
      <c r="AN158" s="19">
        <v>0</v>
      </c>
      <c r="AO158" s="23">
        <v>0</v>
      </c>
      <c r="AP158" s="24">
        <v>0</v>
      </c>
      <c r="AQ158" s="31">
        <f t="shared" si="14"/>
        <v>9.1999999999999993</v>
      </c>
      <c r="AR158" s="32">
        <f t="shared" si="14"/>
        <v>23000</v>
      </c>
      <c r="AS158" s="30">
        <v>12</v>
      </c>
    </row>
    <row r="159" spans="1:45" ht="16" x14ac:dyDescent="0.2">
      <c r="A159" s="19">
        <v>156</v>
      </c>
      <c r="B159" s="21" t="s">
        <v>178</v>
      </c>
      <c r="C159" s="20" t="s">
        <v>125</v>
      </c>
      <c r="D159" s="345"/>
      <c r="E159" s="22">
        <v>23</v>
      </c>
      <c r="F159" s="23">
        <f t="shared" si="10"/>
        <v>57500</v>
      </c>
      <c r="G159" s="19">
        <v>0</v>
      </c>
      <c r="H159" s="23">
        <v>0</v>
      </c>
      <c r="I159" s="24">
        <v>0</v>
      </c>
      <c r="J159" s="19">
        <v>0</v>
      </c>
      <c r="K159" s="23">
        <v>0</v>
      </c>
      <c r="L159" s="24">
        <v>0</v>
      </c>
      <c r="M159" s="25">
        <v>2.4</v>
      </c>
      <c r="N159" s="26">
        <v>6000</v>
      </c>
      <c r="O159" s="27">
        <v>6</v>
      </c>
      <c r="P159" s="28">
        <f t="shared" si="11"/>
        <v>8</v>
      </c>
      <c r="Q159" s="29">
        <f t="shared" si="12"/>
        <v>20000</v>
      </c>
      <c r="R159" s="30">
        <v>20</v>
      </c>
      <c r="S159" s="19">
        <v>0</v>
      </c>
      <c r="T159" s="23">
        <v>0</v>
      </c>
      <c r="U159" s="24">
        <v>0</v>
      </c>
      <c r="V159" s="31">
        <f t="shared" si="13"/>
        <v>11.2</v>
      </c>
      <c r="W159" s="32">
        <v>28000</v>
      </c>
      <c r="X159" s="30">
        <v>28</v>
      </c>
      <c r="Y159" s="19">
        <v>0</v>
      </c>
      <c r="Z159" s="23">
        <v>0</v>
      </c>
      <c r="AA159" s="24">
        <v>0</v>
      </c>
      <c r="AB159" s="33">
        <v>0</v>
      </c>
      <c r="AC159" s="34">
        <v>0</v>
      </c>
      <c r="AD159" s="35">
        <v>0</v>
      </c>
      <c r="AE159" s="36">
        <v>0</v>
      </c>
      <c r="AF159" s="23">
        <v>0</v>
      </c>
      <c r="AG159" s="24">
        <v>0</v>
      </c>
      <c r="AH159" s="33">
        <v>0</v>
      </c>
      <c r="AI159" s="37">
        <v>0</v>
      </c>
      <c r="AJ159" s="35">
        <v>0</v>
      </c>
      <c r="AK159" s="36">
        <v>0</v>
      </c>
      <c r="AL159" s="38">
        <v>0</v>
      </c>
      <c r="AM159" s="35">
        <v>0</v>
      </c>
      <c r="AN159" s="19">
        <v>0</v>
      </c>
      <c r="AO159" s="23">
        <v>0</v>
      </c>
      <c r="AP159" s="24">
        <v>0</v>
      </c>
      <c r="AQ159" s="31">
        <f t="shared" si="14"/>
        <v>21.6</v>
      </c>
      <c r="AR159" s="32">
        <f t="shared" si="14"/>
        <v>54000</v>
      </c>
      <c r="AS159" s="30">
        <v>28</v>
      </c>
    </row>
    <row r="160" spans="1:45" ht="16" x14ac:dyDescent="0.2">
      <c r="A160" s="19">
        <v>157</v>
      </c>
      <c r="B160" s="21" t="s">
        <v>178</v>
      </c>
      <c r="C160" s="20" t="s">
        <v>182</v>
      </c>
      <c r="D160" s="345"/>
      <c r="E160" s="22">
        <v>15</v>
      </c>
      <c r="F160" s="23">
        <f t="shared" si="10"/>
        <v>37500</v>
      </c>
      <c r="G160" s="19">
        <v>0</v>
      </c>
      <c r="H160" s="23">
        <v>0</v>
      </c>
      <c r="I160" s="24">
        <v>0</v>
      </c>
      <c r="J160" s="19">
        <v>0</v>
      </c>
      <c r="K160" s="23">
        <v>0</v>
      </c>
      <c r="L160" s="24">
        <v>0</v>
      </c>
      <c r="M160" s="25">
        <v>3.2</v>
      </c>
      <c r="N160" s="26">
        <v>8000</v>
      </c>
      <c r="O160" s="27">
        <v>8</v>
      </c>
      <c r="P160" s="28">
        <f t="shared" si="11"/>
        <v>2.8</v>
      </c>
      <c r="Q160" s="29">
        <f t="shared" si="12"/>
        <v>7000</v>
      </c>
      <c r="R160" s="30">
        <v>7</v>
      </c>
      <c r="S160" s="19">
        <v>0</v>
      </c>
      <c r="T160" s="23">
        <v>0</v>
      </c>
      <c r="U160" s="24">
        <v>0</v>
      </c>
      <c r="V160" s="31">
        <f t="shared" si="13"/>
        <v>6.4</v>
      </c>
      <c r="W160" s="32">
        <v>16000</v>
      </c>
      <c r="X160" s="30">
        <v>16</v>
      </c>
      <c r="Y160" s="19">
        <v>0</v>
      </c>
      <c r="Z160" s="23">
        <v>0</v>
      </c>
      <c r="AA160" s="24">
        <v>0</v>
      </c>
      <c r="AB160" s="33">
        <v>0</v>
      </c>
      <c r="AC160" s="34">
        <v>0</v>
      </c>
      <c r="AD160" s="35">
        <v>0</v>
      </c>
      <c r="AE160" s="36">
        <v>0</v>
      </c>
      <c r="AF160" s="23">
        <v>0</v>
      </c>
      <c r="AG160" s="24">
        <v>0</v>
      </c>
      <c r="AH160" s="33">
        <v>0</v>
      </c>
      <c r="AI160" s="37">
        <v>0</v>
      </c>
      <c r="AJ160" s="35">
        <v>0</v>
      </c>
      <c r="AK160" s="36">
        <v>0</v>
      </c>
      <c r="AL160" s="38">
        <v>0</v>
      </c>
      <c r="AM160" s="35">
        <v>0</v>
      </c>
      <c r="AN160" s="19">
        <v>0</v>
      </c>
      <c r="AO160" s="23">
        <v>0</v>
      </c>
      <c r="AP160" s="24">
        <v>0</v>
      </c>
      <c r="AQ160" s="31">
        <f t="shared" si="14"/>
        <v>12.4</v>
      </c>
      <c r="AR160" s="32">
        <f t="shared" si="14"/>
        <v>31000</v>
      </c>
      <c r="AS160" s="30">
        <v>16</v>
      </c>
    </row>
    <row r="161" spans="1:45" ht="16" x14ac:dyDescent="0.2">
      <c r="A161" s="19">
        <v>158</v>
      </c>
      <c r="B161" s="21" t="s">
        <v>178</v>
      </c>
      <c r="C161" s="20" t="s">
        <v>183</v>
      </c>
      <c r="D161" s="345"/>
      <c r="E161" s="22">
        <v>14</v>
      </c>
      <c r="F161" s="23">
        <f t="shared" si="10"/>
        <v>35000</v>
      </c>
      <c r="G161" s="19">
        <v>0</v>
      </c>
      <c r="H161" s="23">
        <v>0</v>
      </c>
      <c r="I161" s="24">
        <v>0</v>
      </c>
      <c r="J161" s="19">
        <v>0</v>
      </c>
      <c r="K161" s="23">
        <v>0</v>
      </c>
      <c r="L161" s="24">
        <v>0</v>
      </c>
      <c r="M161" s="25">
        <v>4</v>
      </c>
      <c r="N161" s="26">
        <v>10000</v>
      </c>
      <c r="O161" s="27">
        <v>10</v>
      </c>
      <c r="P161" s="28">
        <f t="shared" si="11"/>
        <v>0.8</v>
      </c>
      <c r="Q161" s="29">
        <f t="shared" si="12"/>
        <v>2000</v>
      </c>
      <c r="R161" s="30">
        <v>2</v>
      </c>
      <c r="S161" s="19">
        <v>0</v>
      </c>
      <c r="T161" s="23">
        <v>0</v>
      </c>
      <c r="U161" s="24">
        <v>0</v>
      </c>
      <c r="V161" s="31">
        <f t="shared" si="13"/>
        <v>4.8</v>
      </c>
      <c r="W161" s="32">
        <v>12000</v>
      </c>
      <c r="X161" s="30">
        <v>12</v>
      </c>
      <c r="Y161" s="19">
        <v>0</v>
      </c>
      <c r="Z161" s="23">
        <v>0</v>
      </c>
      <c r="AA161" s="24">
        <v>0</v>
      </c>
      <c r="AB161" s="33">
        <v>0</v>
      </c>
      <c r="AC161" s="34">
        <v>0</v>
      </c>
      <c r="AD161" s="35">
        <v>0</v>
      </c>
      <c r="AE161" s="36">
        <v>0</v>
      </c>
      <c r="AF161" s="23">
        <v>0</v>
      </c>
      <c r="AG161" s="24">
        <v>0</v>
      </c>
      <c r="AH161" s="33">
        <v>0</v>
      </c>
      <c r="AI161" s="37">
        <v>0</v>
      </c>
      <c r="AJ161" s="35">
        <v>0</v>
      </c>
      <c r="AK161" s="36">
        <v>0</v>
      </c>
      <c r="AL161" s="38">
        <v>0</v>
      </c>
      <c r="AM161" s="35">
        <v>0</v>
      </c>
      <c r="AN161" s="19">
        <v>0</v>
      </c>
      <c r="AO161" s="23">
        <v>0</v>
      </c>
      <c r="AP161" s="24">
        <v>0</v>
      </c>
      <c r="AQ161" s="31">
        <f t="shared" si="14"/>
        <v>9.6</v>
      </c>
      <c r="AR161" s="32">
        <f t="shared" si="14"/>
        <v>24000</v>
      </c>
      <c r="AS161" s="30">
        <v>12</v>
      </c>
    </row>
    <row r="162" spans="1:45" ht="16" x14ac:dyDescent="0.2">
      <c r="A162" s="19">
        <v>159</v>
      </c>
      <c r="B162" s="21" t="s">
        <v>178</v>
      </c>
      <c r="C162" s="20" t="s">
        <v>184</v>
      </c>
      <c r="D162" s="345"/>
      <c r="E162" s="22">
        <v>42.8</v>
      </c>
      <c r="F162" s="23">
        <f t="shared" si="10"/>
        <v>107000</v>
      </c>
      <c r="G162" s="19">
        <v>0</v>
      </c>
      <c r="H162" s="23">
        <v>0</v>
      </c>
      <c r="I162" s="24">
        <v>0</v>
      </c>
      <c r="J162" s="19">
        <v>0</v>
      </c>
      <c r="K162" s="23">
        <v>0</v>
      </c>
      <c r="L162" s="24">
        <v>0</v>
      </c>
      <c r="M162" s="25">
        <v>8</v>
      </c>
      <c r="N162" s="26">
        <v>20000</v>
      </c>
      <c r="O162" s="27">
        <v>20</v>
      </c>
      <c r="P162" s="28">
        <f t="shared" si="11"/>
        <v>6.4</v>
      </c>
      <c r="Q162" s="29">
        <f t="shared" si="12"/>
        <v>16000</v>
      </c>
      <c r="R162" s="30">
        <v>16</v>
      </c>
      <c r="S162" s="19">
        <v>0</v>
      </c>
      <c r="T162" s="23">
        <v>0</v>
      </c>
      <c r="U162" s="24">
        <v>0</v>
      </c>
      <c r="V162" s="31">
        <f t="shared" si="13"/>
        <v>13.2</v>
      </c>
      <c r="W162" s="32">
        <v>33000</v>
      </c>
      <c r="X162" s="30">
        <v>33</v>
      </c>
      <c r="Y162" s="19">
        <v>0</v>
      </c>
      <c r="Z162" s="23">
        <v>0</v>
      </c>
      <c r="AA162" s="24">
        <v>0</v>
      </c>
      <c r="AB162" s="33">
        <v>0</v>
      </c>
      <c r="AC162" s="34">
        <v>0</v>
      </c>
      <c r="AD162" s="35">
        <v>0</v>
      </c>
      <c r="AE162" s="36">
        <v>0</v>
      </c>
      <c r="AF162" s="23">
        <v>0</v>
      </c>
      <c r="AG162" s="24">
        <v>0</v>
      </c>
      <c r="AH162" s="33">
        <v>0</v>
      </c>
      <c r="AI162" s="37">
        <v>0</v>
      </c>
      <c r="AJ162" s="35">
        <v>0</v>
      </c>
      <c r="AK162" s="36">
        <v>0</v>
      </c>
      <c r="AL162" s="38">
        <v>0</v>
      </c>
      <c r="AM162" s="35">
        <v>0</v>
      </c>
      <c r="AN162" s="19">
        <v>0</v>
      </c>
      <c r="AO162" s="23">
        <v>0</v>
      </c>
      <c r="AP162" s="24">
        <v>0</v>
      </c>
      <c r="AQ162" s="31">
        <f t="shared" si="14"/>
        <v>27.6</v>
      </c>
      <c r="AR162" s="32">
        <f t="shared" si="14"/>
        <v>69000</v>
      </c>
      <c r="AS162" s="30">
        <v>36</v>
      </c>
    </row>
    <row r="163" spans="1:45" ht="16" x14ac:dyDescent="0.2">
      <c r="A163" s="19">
        <v>160</v>
      </c>
      <c r="B163" s="21" t="s">
        <v>178</v>
      </c>
      <c r="C163" s="20" t="s">
        <v>185</v>
      </c>
      <c r="D163" s="345"/>
      <c r="E163" s="22">
        <v>25.20000000000001</v>
      </c>
      <c r="F163" s="23">
        <f t="shared" si="10"/>
        <v>63000.000000000022</v>
      </c>
      <c r="G163" s="19">
        <v>0</v>
      </c>
      <c r="H163" s="23">
        <v>0</v>
      </c>
      <c r="I163" s="24">
        <v>0</v>
      </c>
      <c r="J163" s="19">
        <v>0</v>
      </c>
      <c r="K163" s="23">
        <v>0</v>
      </c>
      <c r="L163" s="24">
        <v>0</v>
      </c>
      <c r="M163" s="25">
        <v>0</v>
      </c>
      <c r="N163" s="26">
        <v>0</v>
      </c>
      <c r="O163" s="27">
        <v>0</v>
      </c>
      <c r="P163" s="28">
        <f t="shared" si="11"/>
        <v>2</v>
      </c>
      <c r="Q163" s="29">
        <f t="shared" si="12"/>
        <v>5000</v>
      </c>
      <c r="R163" s="30">
        <v>5</v>
      </c>
      <c r="S163" s="19">
        <v>0</v>
      </c>
      <c r="T163" s="23">
        <v>0</v>
      </c>
      <c r="U163" s="24">
        <v>0</v>
      </c>
      <c r="V163" s="31">
        <f t="shared" si="13"/>
        <v>6.4</v>
      </c>
      <c r="W163" s="32">
        <v>16000</v>
      </c>
      <c r="X163" s="30">
        <v>16</v>
      </c>
      <c r="Y163" s="19">
        <v>0</v>
      </c>
      <c r="Z163" s="23">
        <v>0</v>
      </c>
      <c r="AA163" s="24">
        <v>0</v>
      </c>
      <c r="AB163" s="33">
        <v>0</v>
      </c>
      <c r="AC163" s="34">
        <v>0</v>
      </c>
      <c r="AD163" s="35">
        <v>0</v>
      </c>
      <c r="AE163" s="36">
        <v>0</v>
      </c>
      <c r="AF163" s="23">
        <v>0</v>
      </c>
      <c r="AG163" s="24">
        <v>0</v>
      </c>
      <c r="AH163" s="33">
        <v>0</v>
      </c>
      <c r="AI163" s="37">
        <v>0</v>
      </c>
      <c r="AJ163" s="35">
        <v>0</v>
      </c>
      <c r="AK163" s="36">
        <v>0</v>
      </c>
      <c r="AL163" s="38">
        <v>0</v>
      </c>
      <c r="AM163" s="35">
        <v>0</v>
      </c>
      <c r="AN163" s="19">
        <v>0</v>
      </c>
      <c r="AO163" s="23">
        <v>0</v>
      </c>
      <c r="AP163" s="24">
        <v>0</v>
      </c>
      <c r="AQ163" s="31">
        <f t="shared" si="14"/>
        <v>8.4</v>
      </c>
      <c r="AR163" s="32">
        <f t="shared" si="14"/>
        <v>21000</v>
      </c>
      <c r="AS163" s="30">
        <v>17</v>
      </c>
    </row>
    <row r="164" spans="1:45" ht="16" x14ac:dyDescent="0.2">
      <c r="A164" s="19">
        <v>161</v>
      </c>
      <c r="B164" s="21" t="s">
        <v>178</v>
      </c>
      <c r="C164" s="20" t="s">
        <v>186</v>
      </c>
      <c r="D164" s="345"/>
      <c r="E164" s="22">
        <v>19</v>
      </c>
      <c r="F164" s="23">
        <f t="shared" si="10"/>
        <v>47500</v>
      </c>
      <c r="G164" s="19">
        <v>0</v>
      </c>
      <c r="H164" s="23">
        <v>0</v>
      </c>
      <c r="I164" s="24">
        <v>0</v>
      </c>
      <c r="J164" s="19">
        <v>0</v>
      </c>
      <c r="K164" s="23">
        <v>0</v>
      </c>
      <c r="L164" s="24">
        <v>0</v>
      </c>
      <c r="M164" s="25">
        <v>6</v>
      </c>
      <c r="N164" s="26">
        <v>15000</v>
      </c>
      <c r="O164" s="27">
        <v>15</v>
      </c>
      <c r="P164" s="28">
        <f t="shared" si="11"/>
        <v>1.6</v>
      </c>
      <c r="Q164" s="29">
        <f t="shared" si="12"/>
        <v>4000</v>
      </c>
      <c r="R164" s="30">
        <v>4</v>
      </c>
      <c r="S164" s="19">
        <v>0</v>
      </c>
      <c r="T164" s="23">
        <v>0</v>
      </c>
      <c r="U164" s="24">
        <v>0</v>
      </c>
      <c r="V164" s="31">
        <f t="shared" si="13"/>
        <v>7.6</v>
      </c>
      <c r="W164" s="32">
        <v>19000</v>
      </c>
      <c r="X164" s="30">
        <v>19</v>
      </c>
      <c r="Y164" s="19">
        <v>0</v>
      </c>
      <c r="Z164" s="23">
        <v>0</v>
      </c>
      <c r="AA164" s="24">
        <v>0</v>
      </c>
      <c r="AB164" s="33">
        <v>0</v>
      </c>
      <c r="AC164" s="34">
        <v>0</v>
      </c>
      <c r="AD164" s="35">
        <v>0</v>
      </c>
      <c r="AE164" s="36">
        <v>0</v>
      </c>
      <c r="AF164" s="23">
        <v>0</v>
      </c>
      <c r="AG164" s="24">
        <v>0</v>
      </c>
      <c r="AH164" s="33">
        <v>0</v>
      </c>
      <c r="AI164" s="37">
        <v>0</v>
      </c>
      <c r="AJ164" s="35">
        <v>0</v>
      </c>
      <c r="AK164" s="36">
        <v>0</v>
      </c>
      <c r="AL164" s="38">
        <v>0</v>
      </c>
      <c r="AM164" s="35">
        <v>0</v>
      </c>
      <c r="AN164" s="19">
        <v>0</v>
      </c>
      <c r="AO164" s="23">
        <v>0</v>
      </c>
      <c r="AP164" s="24">
        <v>0</v>
      </c>
      <c r="AQ164" s="31">
        <f t="shared" si="14"/>
        <v>15.2</v>
      </c>
      <c r="AR164" s="32">
        <f t="shared" si="14"/>
        <v>38000</v>
      </c>
      <c r="AS164" s="30">
        <v>20</v>
      </c>
    </row>
    <row r="165" spans="1:45" ht="16" x14ac:dyDescent="0.2">
      <c r="A165" s="19">
        <v>162</v>
      </c>
      <c r="B165" s="21" t="s">
        <v>178</v>
      </c>
      <c r="C165" s="20" t="s">
        <v>187</v>
      </c>
      <c r="D165" s="345"/>
      <c r="E165" s="22">
        <v>13.200000000000001</v>
      </c>
      <c r="F165" s="23">
        <f t="shared" si="10"/>
        <v>33000</v>
      </c>
      <c r="G165" s="19">
        <v>0</v>
      </c>
      <c r="H165" s="23">
        <v>0</v>
      </c>
      <c r="I165" s="24">
        <v>0</v>
      </c>
      <c r="J165" s="19">
        <v>0</v>
      </c>
      <c r="K165" s="23">
        <v>0</v>
      </c>
      <c r="L165" s="24">
        <v>0</v>
      </c>
      <c r="M165" s="25">
        <v>3.2</v>
      </c>
      <c r="N165" s="26">
        <v>8000</v>
      </c>
      <c r="O165" s="27">
        <v>8</v>
      </c>
      <c r="P165" s="28">
        <f t="shared" si="11"/>
        <v>6.8</v>
      </c>
      <c r="Q165" s="29">
        <f t="shared" si="12"/>
        <v>17000</v>
      </c>
      <c r="R165" s="30">
        <v>17</v>
      </c>
      <c r="S165" s="19">
        <v>0</v>
      </c>
      <c r="T165" s="23">
        <v>0</v>
      </c>
      <c r="U165" s="24">
        <v>0</v>
      </c>
      <c r="V165" s="31">
        <f t="shared" si="13"/>
        <v>4.8</v>
      </c>
      <c r="W165" s="32">
        <v>12000</v>
      </c>
      <c r="X165" s="30">
        <v>12</v>
      </c>
      <c r="Y165" s="19">
        <v>0</v>
      </c>
      <c r="Z165" s="23">
        <v>0</v>
      </c>
      <c r="AA165" s="24">
        <v>0</v>
      </c>
      <c r="AB165" s="33">
        <v>0</v>
      </c>
      <c r="AC165" s="34">
        <v>0</v>
      </c>
      <c r="AD165" s="35">
        <v>0</v>
      </c>
      <c r="AE165" s="36">
        <v>0</v>
      </c>
      <c r="AF165" s="23">
        <v>0</v>
      </c>
      <c r="AG165" s="24">
        <v>0</v>
      </c>
      <c r="AH165" s="33">
        <v>0</v>
      </c>
      <c r="AI165" s="37">
        <v>0</v>
      </c>
      <c r="AJ165" s="35">
        <v>0</v>
      </c>
      <c r="AK165" s="36">
        <v>0</v>
      </c>
      <c r="AL165" s="38">
        <v>0</v>
      </c>
      <c r="AM165" s="35">
        <v>0</v>
      </c>
      <c r="AN165" s="19">
        <v>0</v>
      </c>
      <c r="AO165" s="23">
        <v>0</v>
      </c>
      <c r="AP165" s="24">
        <v>0</v>
      </c>
      <c r="AQ165" s="31">
        <f t="shared" si="14"/>
        <v>14.8</v>
      </c>
      <c r="AR165" s="32">
        <f t="shared" si="14"/>
        <v>37000</v>
      </c>
      <c r="AS165" s="30">
        <v>12</v>
      </c>
    </row>
    <row r="166" spans="1:45" ht="16" x14ac:dyDescent="0.2">
      <c r="A166" s="19">
        <v>163</v>
      </c>
      <c r="B166" s="21" t="s">
        <v>178</v>
      </c>
      <c r="C166" s="20" t="s">
        <v>94</v>
      </c>
      <c r="D166" s="345"/>
      <c r="E166" s="22">
        <v>21</v>
      </c>
      <c r="F166" s="23">
        <f t="shared" si="10"/>
        <v>52500</v>
      </c>
      <c r="G166" s="19">
        <v>0</v>
      </c>
      <c r="H166" s="23">
        <v>0</v>
      </c>
      <c r="I166" s="24">
        <v>0</v>
      </c>
      <c r="J166" s="19">
        <v>0</v>
      </c>
      <c r="K166" s="23">
        <v>0</v>
      </c>
      <c r="L166" s="24">
        <v>0</v>
      </c>
      <c r="M166" s="25">
        <v>0</v>
      </c>
      <c r="N166" s="26">
        <v>0</v>
      </c>
      <c r="O166" s="27">
        <v>0</v>
      </c>
      <c r="P166" s="28">
        <f t="shared" si="11"/>
        <v>0.4</v>
      </c>
      <c r="Q166" s="29">
        <f t="shared" si="12"/>
        <v>1000</v>
      </c>
      <c r="R166" s="30">
        <v>1</v>
      </c>
      <c r="S166" s="19">
        <v>0</v>
      </c>
      <c r="T166" s="23">
        <v>0</v>
      </c>
      <c r="U166" s="24">
        <v>0</v>
      </c>
      <c r="V166" s="31">
        <f t="shared" si="13"/>
        <v>6.4</v>
      </c>
      <c r="W166" s="32">
        <v>16000</v>
      </c>
      <c r="X166" s="30">
        <v>16</v>
      </c>
      <c r="Y166" s="19">
        <v>0</v>
      </c>
      <c r="Z166" s="23">
        <v>0</v>
      </c>
      <c r="AA166" s="24">
        <v>0</v>
      </c>
      <c r="AB166" s="33">
        <v>0</v>
      </c>
      <c r="AC166" s="34">
        <v>0</v>
      </c>
      <c r="AD166" s="35">
        <v>0</v>
      </c>
      <c r="AE166" s="36">
        <v>0</v>
      </c>
      <c r="AF166" s="23">
        <v>0</v>
      </c>
      <c r="AG166" s="24">
        <v>0</v>
      </c>
      <c r="AH166" s="33">
        <v>0</v>
      </c>
      <c r="AI166" s="37">
        <v>0</v>
      </c>
      <c r="AJ166" s="35">
        <v>0</v>
      </c>
      <c r="AK166" s="36">
        <v>0</v>
      </c>
      <c r="AL166" s="38">
        <v>0</v>
      </c>
      <c r="AM166" s="35">
        <v>0</v>
      </c>
      <c r="AN166" s="19">
        <v>0</v>
      </c>
      <c r="AO166" s="23">
        <v>0</v>
      </c>
      <c r="AP166" s="24">
        <v>0</v>
      </c>
      <c r="AQ166" s="31">
        <f t="shared" si="14"/>
        <v>6.8000000000000007</v>
      </c>
      <c r="AR166" s="32">
        <f t="shared" si="14"/>
        <v>17000</v>
      </c>
      <c r="AS166" s="30">
        <v>17</v>
      </c>
    </row>
    <row r="167" spans="1:45" ht="16" x14ac:dyDescent="0.2">
      <c r="A167" s="19">
        <v>164</v>
      </c>
      <c r="B167" s="21" t="s">
        <v>178</v>
      </c>
      <c r="C167" s="20" t="s">
        <v>188</v>
      </c>
      <c r="D167" s="345"/>
      <c r="E167" s="22">
        <v>22.200000000000003</v>
      </c>
      <c r="F167" s="23">
        <f t="shared" si="10"/>
        <v>55500.000000000007</v>
      </c>
      <c r="G167" s="19">
        <v>0</v>
      </c>
      <c r="H167" s="23">
        <v>0</v>
      </c>
      <c r="I167" s="24">
        <v>0</v>
      </c>
      <c r="J167" s="19">
        <v>0</v>
      </c>
      <c r="K167" s="23">
        <v>0</v>
      </c>
      <c r="L167" s="24">
        <v>0</v>
      </c>
      <c r="M167" s="25">
        <v>7.2</v>
      </c>
      <c r="N167" s="26">
        <v>18000</v>
      </c>
      <c r="O167" s="27">
        <v>18</v>
      </c>
      <c r="P167" s="28">
        <f t="shared" si="11"/>
        <v>3.2</v>
      </c>
      <c r="Q167" s="29">
        <f t="shared" si="12"/>
        <v>8000</v>
      </c>
      <c r="R167" s="30">
        <v>8</v>
      </c>
      <c r="S167" s="19">
        <v>0</v>
      </c>
      <c r="T167" s="23">
        <v>0</v>
      </c>
      <c r="U167" s="24">
        <v>0</v>
      </c>
      <c r="V167" s="31">
        <f t="shared" si="13"/>
        <v>7.2</v>
      </c>
      <c r="W167" s="32">
        <v>18000</v>
      </c>
      <c r="X167" s="30">
        <v>18</v>
      </c>
      <c r="Y167" s="19">
        <v>0</v>
      </c>
      <c r="Z167" s="23">
        <v>0</v>
      </c>
      <c r="AA167" s="24">
        <v>0</v>
      </c>
      <c r="AB167" s="33">
        <v>0</v>
      </c>
      <c r="AC167" s="34">
        <v>0</v>
      </c>
      <c r="AD167" s="35">
        <v>0</v>
      </c>
      <c r="AE167" s="36">
        <v>0</v>
      </c>
      <c r="AF167" s="23">
        <v>0</v>
      </c>
      <c r="AG167" s="24">
        <v>0</v>
      </c>
      <c r="AH167" s="33">
        <v>0</v>
      </c>
      <c r="AI167" s="37">
        <v>0</v>
      </c>
      <c r="AJ167" s="35">
        <v>0</v>
      </c>
      <c r="AK167" s="36">
        <v>0</v>
      </c>
      <c r="AL167" s="38">
        <v>0</v>
      </c>
      <c r="AM167" s="35">
        <v>0</v>
      </c>
      <c r="AN167" s="19">
        <v>0</v>
      </c>
      <c r="AO167" s="23">
        <v>0</v>
      </c>
      <c r="AP167" s="24">
        <v>0</v>
      </c>
      <c r="AQ167" s="31">
        <f t="shared" si="14"/>
        <v>17.600000000000001</v>
      </c>
      <c r="AR167" s="32">
        <f t="shared" si="14"/>
        <v>44000</v>
      </c>
      <c r="AS167" s="30">
        <v>19</v>
      </c>
    </row>
    <row r="168" spans="1:45" ht="16" x14ac:dyDescent="0.2">
      <c r="A168" s="19">
        <v>165</v>
      </c>
      <c r="B168" s="21" t="s">
        <v>178</v>
      </c>
      <c r="C168" s="20" t="s">
        <v>189</v>
      </c>
      <c r="D168" s="345"/>
      <c r="E168" s="22">
        <v>20.400000000000002</v>
      </c>
      <c r="F168" s="23">
        <f t="shared" si="10"/>
        <v>51000.000000000007</v>
      </c>
      <c r="G168" s="19">
        <v>0</v>
      </c>
      <c r="H168" s="23">
        <v>0</v>
      </c>
      <c r="I168" s="24">
        <v>0</v>
      </c>
      <c r="J168" s="19">
        <v>0</v>
      </c>
      <c r="K168" s="23">
        <v>0</v>
      </c>
      <c r="L168" s="24">
        <v>0</v>
      </c>
      <c r="M168" s="25">
        <v>4.4000000000000004</v>
      </c>
      <c r="N168" s="26">
        <v>11000</v>
      </c>
      <c r="O168" s="27">
        <v>11</v>
      </c>
      <c r="P168" s="28">
        <f t="shared" si="11"/>
        <v>2.4</v>
      </c>
      <c r="Q168" s="29">
        <f t="shared" si="12"/>
        <v>6000</v>
      </c>
      <c r="R168" s="30">
        <v>6</v>
      </c>
      <c r="S168" s="19">
        <v>0</v>
      </c>
      <c r="T168" s="23">
        <v>0</v>
      </c>
      <c r="U168" s="24">
        <v>0</v>
      </c>
      <c r="V168" s="31">
        <f t="shared" si="13"/>
        <v>7.2</v>
      </c>
      <c r="W168" s="32">
        <v>18000</v>
      </c>
      <c r="X168" s="30">
        <v>18</v>
      </c>
      <c r="Y168" s="19">
        <v>0</v>
      </c>
      <c r="Z168" s="23">
        <v>0</v>
      </c>
      <c r="AA168" s="24">
        <v>0</v>
      </c>
      <c r="AB168" s="33">
        <v>0</v>
      </c>
      <c r="AC168" s="34">
        <v>0</v>
      </c>
      <c r="AD168" s="35">
        <v>0</v>
      </c>
      <c r="AE168" s="36">
        <v>0</v>
      </c>
      <c r="AF168" s="23">
        <v>0</v>
      </c>
      <c r="AG168" s="24">
        <v>0</v>
      </c>
      <c r="AH168" s="33">
        <v>0</v>
      </c>
      <c r="AI168" s="37">
        <v>0</v>
      </c>
      <c r="AJ168" s="35">
        <v>0</v>
      </c>
      <c r="AK168" s="36">
        <v>0</v>
      </c>
      <c r="AL168" s="38">
        <v>0</v>
      </c>
      <c r="AM168" s="35">
        <v>0</v>
      </c>
      <c r="AN168" s="19">
        <v>0</v>
      </c>
      <c r="AO168" s="23">
        <v>0</v>
      </c>
      <c r="AP168" s="24">
        <v>0</v>
      </c>
      <c r="AQ168" s="31">
        <f t="shared" si="14"/>
        <v>14</v>
      </c>
      <c r="AR168" s="32">
        <f t="shared" si="14"/>
        <v>35000</v>
      </c>
      <c r="AS168" s="30">
        <v>19</v>
      </c>
    </row>
    <row r="169" spans="1:45" ht="16" x14ac:dyDescent="0.2">
      <c r="A169" s="19">
        <v>166</v>
      </c>
      <c r="B169" s="21" t="s">
        <v>178</v>
      </c>
      <c r="C169" s="20" t="s">
        <v>190</v>
      </c>
      <c r="D169" s="345"/>
      <c r="E169" s="22">
        <v>23.8</v>
      </c>
      <c r="F169" s="23">
        <f t="shared" si="10"/>
        <v>59500</v>
      </c>
      <c r="G169" s="19">
        <v>0</v>
      </c>
      <c r="H169" s="23">
        <v>0</v>
      </c>
      <c r="I169" s="24">
        <v>0</v>
      </c>
      <c r="J169" s="19">
        <v>0</v>
      </c>
      <c r="K169" s="23">
        <v>0</v>
      </c>
      <c r="L169" s="24">
        <v>0</v>
      </c>
      <c r="M169" s="25">
        <v>6.8</v>
      </c>
      <c r="N169" s="26">
        <v>17000</v>
      </c>
      <c r="O169" s="27">
        <v>17</v>
      </c>
      <c r="P169" s="28">
        <f t="shared" si="11"/>
        <v>6.8</v>
      </c>
      <c r="Q169" s="29">
        <f t="shared" si="12"/>
        <v>17000</v>
      </c>
      <c r="R169" s="30">
        <v>17</v>
      </c>
      <c r="S169" s="19">
        <v>0</v>
      </c>
      <c r="T169" s="23">
        <v>0</v>
      </c>
      <c r="U169" s="24">
        <v>0</v>
      </c>
      <c r="V169" s="31">
        <f t="shared" si="13"/>
        <v>8.8000000000000007</v>
      </c>
      <c r="W169" s="32">
        <v>22000</v>
      </c>
      <c r="X169" s="30">
        <v>22</v>
      </c>
      <c r="Y169" s="19">
        <v>0</v>
      </c>
      <c r="Z169" s="23">
        <v>0</v>
      </c>
      <c r="AA169" s="24">
        <v>0</v>
      </c>
      <c r="AB169" s="33">
        <v>0</v>
      </c>
      <c r="AC169" s="34">
        <v>0</v>
      </c>
      <c r="AD169" s="35">
        <v>0</v>
      </c>
      <c r="AE169" s="36">
        <v>0</v>
      </c>
      <c r="AF169" s="23">
        <v>0</v>
      </c>
      <c r="AG169" s="24">
        <v>0</v>
      </c>
      <c r="AH169" s="33">
        <v>0</v>
      </c>
      <c r="AI169" s="37">
        <v>0</v>
      </c>
      <c r="AJ169" s="35">
        <v>0</v>
      </c>
      <c r="AK169" s="36">
        <v>0</v>
      </c>
      <c r="AL169" s="38">
        <v>0</v>
      </c>
      <c r="AM169" s="35">
        <v>0</v>
      </c>
      <c r="AN169" s="19">
        <v>0</v>
      </c>
      <c r="AO169" s="23">
        <v>0</v>
      </c>
      <c r="AP169" s="24">
        <v>0</v>
      </c>
      <c r="AQ169" s="31">
        <f t="shared" si="14"/>
        <v>22.4</v>
      </c>
      <c r="AR169" s="32">
        <f t="shared" si="14"/>
        <v>56000</v>
      </c>
      <c r="AS169" s="30">
        <v>23</v>
      </c>
    </row>
    <row r="170" spans="1:45" ht="16" x14ac:dyDescent="0.2">
      <c r="A170" s="19">
        <v>167</v>
      </c>
      <c r="B170" s="21" t="s">
        <v>191</v>
      </c>
      <c r="C170" s="20" t="s">
        <v>192</v>
      </c>
      <c r="D170" s="345"/>
      <c r="E170" s="22">
        <v>6</v>
      </c>
      <c r="F170" s="23">
        <f t="shared" si="10"/>
        <v>15000</v>
      </c>
      <c r="G170" s="19">
        <v>0</v>
      </c>
      <c r="H170" s="23">
        <v>0</v>
      </c>
      <c r="I170" s="24">
        <v>0</v>
      </c>
      <c r="J170" s="19">
        <v>0</v>
      </c>
      <c r="K170" s="23">
        <v>0</v>
      </c>
      <c r="L170" s="24">
        <v>0</v>
      </c>
      <c r="M170" s="25">
        <v>2</v>
      </c>
      <c r="N170" s="26">
        <v>5000</v>
      </c>
      <c r="O170" s="27">
        <v>5</v>
      </c>
      <c r="P170" s="28">
        <f t="shared" si="11"/>
        <v>2</v>
      </c>
      <c r="Q170" s="29">
        <f t="shared" si="12"/>
        <v>5000</v>
      </c>
      <c r="R170" s="30">
        <v>5</v>
      </c>
      <c r="S170" s="19">
        <v>0</v>
      </c>
      <c r="T170" s="23">
        <v>0</v>
      </c>
      <c r="U170" s="24">
        <v>0</v>
      </c>
      <c r="V170" s="31">
        <f t="shared" si="13"/>
        <v>4.4000000000000004</v>
      </c>
      <c r="W170" s="32">
        <v>11000</v>
      </c>
      <c r="X170" s="30">
        <v>11</v>
      </c>
      <c r="Y170" s="19">
        <v>0</v>
      </c>
      <c r="Z170" s="23">
        <v>0</v>
      </c>
      <c r="AA170" s="24">
        <v>0</v>
      </c>
      <c r="AB170" s="33">
        <v>0</v>
      </c>
      <c r="AC170" s="34">
        <v>0</v>
      </c>
      <c r="AD170" s="35">
        <v>0</v>
      </c>
      <c r="AE170" s="36">
        <v>0</v>
      </c>
      <c r="AF170" s="23">
        <v>0</v>
      </c>
      <c r="AG170" s="24">
        <v>0</v>
      </c>
      <c r="AH170" s="33">
        <v>0</v>
      </c>
      <c r="AI170" s="37">
        <v>0</v>
      </c>
      <c r="AJ170" s="35">
        <v>0</v>
      </c>
      <c r="AK170" s="36">
        <v>0</v>
      </c>
      <c r="AL170" s="38">
        <v>0</v>
      </c>
      <c r="AM170" s="35">
        <v>0</v>
      </c>
      <c r="AN170" s="19">
        <v>0</v>
      </c>
      <c r="AO170" s="23">
        <v>0</v>
      </c>
      <c r="AP170" s="24">
        <v>0</v>
      </c>
      <c r="AQ170" s="31">
        <f t="shared" si="14"/>
        <v>8.4</v>
      </c>
      <c r="AR170" s="32">
        <f t="shared" si="14"/>
        <v>21000</v>
      </c>
      <c r="AS170" s="30">
        <v>11</v>
      </c>
    </row>
    <row r="171" spans="1:45" ht="16" x14ac:dyDescent="0.2">
      <c r="A171" s="19">
        <v>168</v>
      </c>
      <c r="B171" s="21" t="s">
        <v>191</v>
      </c>
      <c r="C171" s="20" t="s">
        <v>193</v>
      </c>
      <c r="D171" s="345"/>
      <c r="E171" s="22">
        <v>5</v>
      </c>
      <c r="F171" s="23">
        <f t="shared" si="10"/>
        <v>12500</v>
      </c>
      <c r="G171" s="19">
        <v>0</v>
      </c>
      <c r="H171" s="23">
        <v>0</v>
      </c>
      <c r="I171" s="24">
        <v>0</v>
      </c>
      <c r="J171" s="19">
        <v>0</v>
      </c>
      <c r="K171" s="23">
        <v>0</v>
      </c>
      <c r="L171" s="24">
        <v>0</v>
      </c>
      <c r="M171" s="25">
        <v>2</v>
      </c>
      <c r="N171" s="26">
        <v>5000</v>
      </c>
      <c r="O171" s="27">
        <v>5</v>
      </c>
      <c r="P171" s="28">
        <f t="shared" si="11"/>
        <v>0.4</v>
      </c>
      <c r="Q171" s="29">
        <f t="shared" si="12"/>
        <v>1000</v>
      </c>
      <c r="R171" s="30">
        <v>1</v>
      </c>
      <c r="S171" s="19">
        <v>0</v>
      </c>
      <c r="T171" s="23">
        <v>0</v>
      </c>
      <c r="U171" s="24">
        <v>0</v>
      </c>
      <c r="V171" s="31">
        <f t="shared" si="13"/>
        <v>2.8</v>
      </c>
      <c r="W171" s="32">
        <v>7000</v>
      </c>
      <c r="X171" s="30">
        <v>7</v>
      </c>
      <c r="Y171" s="19">
        <v>0</v>
      </c>
      <c r="Z171" s="23">
        <v>0</v>
      </c>
      <c r="AA171" s="24">
        <v>0</v>
      </c>
      <c r="AB171" s="33">
        <v>0</v>
      </c>
      <c r="AC171" s="34">
        <v>0</v>
      </c>
      <c r="AD171" s="35">
        <v>0</v>
      </c>
      <c r="AE171" s="36">
        <v>0</v>
      </c>
      <c r="AF171" s="23">
        <v>0</v>
      </c>
      <c r="AG171" s="24">
        <v>0</v>
      </c>
      <c r="AH171" s="33">
        <v>0</v>
      </c>
      <c r="AI171" s="37">
        <v>0</v>
      </c>
      <c r="AJ171" s="35">
        <v>0</v>
      </c>
      <c r="AK171" s="36">
        <v>0</v>
      </c>
      <c r="AL171" s="38">
        <v>0</v>
      </c>
      <c r="AM171" s="35">
        <v>0</v>
      </c>
      <c r="AN171" s="19">
        <v>0</v>
      </c>
      <c r="AO171" s="23">
        <v>0</v>
      </c>
      <c r="AP171" s="24">
        <v>0</v>
      </c>
      <c r="AQ171" s="31">
        <f t="shared" si="14"/>
        <v>5.1999999999999993</v>
      </c>
      <c r="AR171" s="32">
        <f t="shared" si="14"/>
        <v>13000</v>
      </c>
      <c r="AS171" s="30">
        <v>7</v>
      </c>
    </row>
    <row r="172" spans="1:45" ht="16" x14ac:dyDescent="0.2">
      <c r="A172" s="19">
        <v>169</v>
      </c>
      <c r="B172" s="21" t="s">
        <v>191</v>
      </c>
      <c r="C172" s="20" t="s">
        <v>194</v>
      </c>
      <c r="D172" s="345"/>
      <c r="E172" s="22">
        <v>17.600000000000001</v>
      </c>
      <c r="F172" s="23">
        <f t="shared" si="10"/>
        <v>44000</v>
      </c>
      <c r="G172" s="19">
        <v>0</v>
      </c>
      <c r="H172" s="23">
        <v>0</v>
      </c>
      <c r="I172" s="24">
        <v>0</v>
      </c>
      <c r="J172" s="19">
        <v>0</v>
      </c>
      <c r="K172" s="23">
        <v>0</v>
      </c>
      <c r="L172" s="24">
        <v>0</v>
      </c>
      <c r="M172" s="25">
        <v>2</v>
      </c>
      <c r="N172" s="26">
        <v>5000</v>
      </c>
      <c r="O172" s="27">
        <v>5</v>
      </c>
      <c r="P172" s="28">
        <f t="shared" si="11"/>
        <v>5.2</v>
      </c>
      <c r="Q172" s="29">
        <f t="shared" si="12"/>
        <v>13000</v>
      </c>
      <c r="R172" s="30">
        <v>13</v>
      </c>
      <c r="S172" s="19">
        <v>0</v>
      </c>
      <c r="T172" s="23">
        <v>0</v>
      </c>
      <c r="U172" s="24">
        <v>0</v>
      </c>
      <c r="V172" s="31">
        <f t="shared" si="13"/>
        <v>7.6</v>
      </c>
      <c r="W172" s="32">
        <v>19000</v>
      </c>
      <c r="X172" s="30">
        <v>19</v>
      </c>
      <c r="Y172" s="19">
        <v>0</v>
      </c>
      <c r="Z172" s="23">
        <v>0</v>
      </c>
      <c r="AA172" s="24">
        <v>0</v>
      </c>
      <c r="AB172" s="33">
        <v>0</v>
      </c>
      <c r="AC172" s="34">
        <v>0</v>
      </c>
      <c r="AD172" s="35">
        <v>0</v>
      </c>
      <c r="AE172" s="36">
        <v>0</v>
      </c>
      <c r="AF172" s="23">
        <v>0</v>
      </c>
      <c r="AG172" s="24">
        <v>0</v>
      </c>
      <c r="AH172" s="33">
        <v>0</v>
      </c>
      <c r="AI172" s="37">
        <v>0</v>
      </c>
      <c r="AJ172" s="35">
        <v>0</v>
      </c>
      <c r="AK172" s="36">
        <v>0</v>
      </c>
      <c r="AL172" s="38">
        <v>0</v>
      </c>
      <c r="AM172" s="35">
        <v>0</v>
      </c>
      <c r="AN172" s="19">
        <v>0</v>
      </c>
      <c r="AO172" s="23">
        <v>0</v>
      </c>
      <c r="AP172" s="24">
        <v>0</v>
      </c>
      <c r="AQ172" s="31">
        <f t="shared" si="14"/>
        <v>14.8</v>
      </c>
      <c r="AR172" s="32">
        <f t="shared" si="14"/>
        <v>37000</v>
      </c>
      <c r="AS172" s="30">
        <v>19</v>
      </c>
    </row>
    <row r="173" spans="1:45" ht="16" x14ac:dyDescent="0.2">
      <c r="A173" s="19">
        <v>170</v>
      </c>
      <c r="B173" s="21" t="s">
        <v>191</v>
      </c>
      <c r="C173" s="20" t="s">
        <v>195</v>
      </c>
      <c r="D173" s="345"/>
      <c r="E173" s="22">
        <v>11</v>
      </c>
      <c r="F173" s="23">
        <f t="shared" si="10"/>
        <v>27500</v>
      </c>
      <c r="G173" s="19">
        <v>0</v>
      </c>
      <c r="H173" s="23">
        <v>0</v>
      </c>
      <c r="I173" s="24">
        <v>0</v>
      </c>
      <c r="J173" s="19">
        <v>0</v>
      </c>
      <c r="K173" s="23">
        <v>0</v>
      </c>
      <c r="L173" s="24">
        <v>0</v>
      </c>
      <c r="M173" s="25">
        <v>3.6</v>
      </c>
      <c r="N173" s="26">
        <v>9000</v>
      </c>
      <c r="O173" s="27">
        <v>9</v>
      </c>
      <c r="P173" s="28">
        <f t="shared" si="11"/>
        <v>3.2</v>
      </c>
      <c r="Q173" s="29">
        <f t="shared" si="12"/>
        <v>8000</v>
      </c>
      <c r="R173" s="30">
        <v>8</v>
      </c>
      <c r="S173" s="19">
        <v>0</v>
      </c>
      <c r="T173" s="23">
        <v>0</v>
      </c>
      <c r="U173" s="24">
        <v>0</v>
      </c>
      <c r="V173" s="31">
        <f t="shared" si="13"/>
        <v>7.2</v>
      </c>
      <c r="W173" s="32">
        <v>18000</v>
      </c>
      <c r="X173" s="30">
        <v>18</v>
      </c>
      <c r="Y173" s="19">
        <v>0</v>
      </c>
      <c r="Z173" s="23">
        <v>0</v>
      </c>
      <c r="AA173" s="24">
        <v>0</v>
      </c>
      <c r="AB173" s="33">
        <v>0</v>
      </c>
      <c r="AC173" s="34">
        <v>0</v>
      </c>
      <c r="AD173" s="35">
        <v>0</v>
      </c>
      <c r="AE173" s="36">
        <v>0</v>
      </c>
      <c r="AF173" s="23">
        <v>0</v>
      </c>
      <c r="AG173" s="24">
        <v>0</v>
      </c>
      <c r="AH173" s="33">
        <v>0</v>
      </c>
      <c r="AI173" s="37">
        <v>0</v>
      </c>
      <c r="AJ173" s="35">
        <v>0</v>
      </c>
      <c r="AK173" s="36">
        <v>0</v>
      </c>
      <c r="AL173" s="38">
        <v>0</v>
      </c>
      <c r="AM173" s="35">
        <v>0</v>
      </c>
      <c r="AN173" s="19">
        <v>0</v>
      </c>
      <c r="AO173" s="23">
        <v>0</v>
      </c>
      <c r="AP173" s="24">
        <v>0</v>
      </c>
      <c r="AQ173" s="31">
        <f t="shared" si="14"/>
        <v>14</v>
      </c>
      <c r="AR173" s="32">
        <f t="shared" si="14"/>
        <v>35000</v>
      </c>
      <c r="AS173" s="30">
        <v>18</v>
      </c>
    </row>
    <row r="174" spans="1:45" ht="16" x14ac:dyDescent="0.2">
      <c r="A174" s="19">
        <v>171</v>
      </c>
      <c r="B174" s="21" t="s">
        <v>191</v>
      </c>
      <c r="C174" s="20" t="s">
        <v>196</v>
      </c>
      <c r="D174" s="345" t="s">
        <v>25</v>
      </c>
      <c r="E174" s="22">
        <v>15</v>
      </c>
      <c r="F174" s="23">
        <f t="shared" si="10"/>
        <v>37500</v>
      </c>
      <c r="G174" s="19">
        <v>0</v>
      </c>
      <c r="H174" s="23">
        <v>0</v>
      </c>
      <c r="I174" s="24">
        <v>0</v>
      </c>
      <c r="J174" s="19">
        <v>0</v>
      </c>
      <c r="K174" s="23">
        <v>0</v>
      </c>
      <c r="L174" s="24">
        <v>0</v>
      </c>
      <c r="M174" s="25">
        <v>3.6</v>
      </c>
      <c r="N174" s="26">
        <v>9000</v>
      </c>
      <c r="O174" s="27">
        <v>9</v>
      </c>
      <c r="P174" s="28">
        <f t="shared" si="11"/>
        <v>1.6</v>
      </c>
      <c r="Q174" s="29">
        <f t="shared" si="12"/>
        <v>4000</v>
      </c>
      <c r="R174" s="30">
        <v>4</v>
      </c>
      <c r="S174" s="19">
        <v>0</v>
      </c>
      <c r="T174" s="23">
        <v>0</v>
      </c>
      <c r="U174" s="24">
        <v>0</v>
      </c>
      <c r="V174" s="31">
        <f t="shared" si="13"/>
        <v>5.6</v>
      </c>
      <c r="W174" s="32">
        <v>14000</v>
      </c>
      <c r="X174" s="30">
        <v>14</v>
      </c>
      <c r="Y174" s="19">
        <v>0</v>
      </c>
      <c r="Z174" s="23">
        <v>0</v>
      </c>
      <c r="AA174" s="24">
        <v>0</v>
      </c>
      <c r="AB174" s="33">
        <v>0</v>
      </c>
      <c r="AC174" s="34">
        <v>0</v>
      </c>
      <c r="AD174" s="35">
        <v>0</v>
      </c>
      <c r="AE174" s="36">
        <v>0</v>
      </c>
      <c r="AF174" s="23">
        <v>0</v>
      </c>
      <c r="AG174" s="24">
        <v>0</v>
      </c>
      <c r="AH174" s="33">
        <v>0</v>
      </c>
      <c r="AI174" s="37">
        <v>0</v>
      </c>
      <c r="AJ174" s="35">
        <v>0</v>
      </c>
      <c r="AK174" s="36">
        <v>0</v>
      </c>
      <c r="AL174" s="38">
        <v>0</v>
      </c>
      <c r="AM174" s="35">
        <v>0</v>
      </c>
      <c r="AN174" s="19">
        <v>0</v>
      </c>
      <c r="AO174" s="23">
        <v>0</v>
      </c>
      <c r="AP174" s="24">
        <v>0</v>
      </c>
      <c r="AQ174" s="31">
        <f t="shared" si="14"/>
        <v>10.8</v>
      </c>
      <c r="AR174" s="32">
        <f t="shared" si="14"/>
        <v>27000</v>
      </c>
      <c r="AS174" s="30">
        <v>14</v>
      </c>
    </row>
    <row r="175" spans="1:45" ht="16" x14ac:dyDescent="0.2">
      <c r="A175" s="19">
        <v>172</v>
      </c>
      <c r="B175" s="21" t="s">
        <v>191</v>
      </c>
      <c r="C175" s="20" t="s">
        <v>197</v>
      </c>
      <c r="D175" s="345"/>
      <c r="E175" s="22">
        <v>7.2</v>
      </c>
      <c r="F175" s="23">
        <f t="shared" si="10"/>
        <v>18000</v>
      </c>
      <c r="G175" s="19">
        <v>0</v>
      </c>
      <c r="H175" s="23">
        <v>0</v>
      </c>
      <c r="I175" s="24">
        <v>0</v>
      </c>
      <c r="J175" s="19">
        <v>0</v>
      </c>
      <c r="K175" s="23">
        <v>0</v>
      </c>
      <c r="L175" s="24">
        <v>0</v>
      </c>
      <c r="M175" s="25">
        <v>2</v>
      </c>
      <c r="N175" s="26">
        <v>5000</v>
      </c>
      <c r="O175" s="27">
        <v>5</v>
      </c>
      <c r="P175" s="28">
        <f t="shared" si="11"/>
        <v>0.4</v>
      </c>
      <c r="Q175" s="29">
        <f t="shared" si="12"/>
        <v>1000</v>
      </c>
      <c r="R175" s="30">
        <v>1</v>
      </c>
      <c r="S175" s="19">
        <v>0</v>
      </c>
      <c r="T175" s="23">
        <v>0</v>
      </c>
      <c r="U175" s="24">
        <v>0</v>
      </c>
      <c r="V175" s="31">
        <f t="shared" si="13"/>
        <v>3.2</v>
      </c>
      <c r="W175" s="32">
        <v>8000</v>
      </c>
      <c r="X175" s="30">
        <v>8</v>
      </c>
      <c r="Y175" s="19">
        <v>0</v>
      </c>
      <c r="Z175" s="23">
        <v>0</v>
      </c>
      <c r="AA175" s="24">
        <v>0</v>
      </c>
      <c r="AB175" s="33">
        <v>0</v>
      </c>
      <c r="AC175" s="34">
        <v>0</v>
      </c>
      <c r="AD175" s="35">
        <v>0</v>
      </c>
      <c r="AE175" s="36">
        <v>0</v>
      </c>
      <c r="AF175" s="23">
        <v>0</v>
      </c>
      <c r="AG175" s="24">
        <v>0</v>
      </c>
      <c r="AH175" s="33">
        <v>0</v>
      </c>
      <c r="AI175" s="37">
        <v>0</v>
      </c>
      <c r="AJ175" s="35">
        <v>0</v>
      </c>
      <c r="AK175" s="36">
        <v>0</v>
      </c>
      <c r="AL175" s="38">
        <v>0</v>
      </c>
      <c r="AM175" s="35">
        <v>0</v>
      </c>
      <c r="AN175" s="19">
        <v>0</v>
      </c>
      <c r="AO175" s="23">
        <v>0</v>
      </c>
      <c r="AP175" s="24">
        <v>0</v>
      </c>
      <c r="AQ175" s="31">
        <f t="shared" si="14"/>
        <v>5.6</v>
      </c>
      <c r="AR175" s="32">
        <f t="shared" si="14"/>
        <v>14000</v>
      </c>
      <c r="AS175" s="30">
        <v>8</v>
      </c>
    </row>
    <row r="176" spans="1:45" ht="16" x14ac:dyDescent="0.2">
      <c r="A176" s="19">
        <v>173</v>
      </c>
      <c r="B176" s="21" t="s">
        <v>191</v>
      </c>
      <c r="C176" s="20" t="s">
        <v>198</v>
      </c>
      <c r="D176" s="345"/>
      <c r="E176" s="22">
        <v>19.8</v>
      </c>
      <c r="F176" s="23">
        <f t="shared" si="10"/>
        <v>49500</v>
      </c>
      <c r="G176" s="19">
        <v>0</v>
      </c>
      <c r="H176" s="23">
        <v>0</v>
      </c>
      <c r="I176" s="24">
        <v>0</v>
      </c>
      <c r="J176" s="19">
        <v>0</v>
      </c>
      <c r="K176" s="23">
        <v>0</v>
      </c>
      <c r="L176" s="24">
        <v>0</v>
      </c>
      <c r="M176" s="25">
        <v>4.4000000000000004</v>
      </c>
      <c r="N176" s="26">
        <v>11000</v>
      </c>
      <c r="O176" s="27">
        <v>11</v>
      </c>
      <c r="P176" s="28">
        <f t="shared" si="11"/>
        <v>3.6</v>
      </c>
      <c r="Q176" s="29">
        <f t="shared" si="12"/>
        <v>9000</v>
      </c>
      <c r="R176" s="30">
        <v>9</v>
      </c>
      <c r="S176" s="19">
        <v>0</v>
      </c>
      <c r="T176" s="23">
        <v>0</v>
      </c>
      <c r="U176" s="24">
        <v>0</v>
      </c>
      <c r="V176" s="31">
        <f t="shared" si="13"/>
        <v>8</v>
      </c>
      <c r="W176" s="32">
        <v>20000</v>
      </c>
      <c r="X176" s="30">
        <v>20</v>
      </c>
      <c r="Y176" s="19">
        <v>0</v>
      </c>
      <c r="Z176" s="23">
        <v>0</v>
      </c>
      <c r="AA176" s="24">
        <v>0</v>
      </c>
      <c r="AB176" s="33">
        <v>0</v>
      </c>
      <c r="AC176" s="34">
        <v>0</v>
      </c>
      <c r="AD176" s="35">
        <v>0</v>
      </c>
      <c r="AE176" s="36">
        <v>0</v>
      </c>
      <c r="AF176" s="23">
        <v>0</v>
      </c>
      <c r="AG176" s="24">
        <v>0</v>
      </c>
      <c r="AH176" s="33">
        <v>0</v>
      </c>
      <c r="AI176" s="37">
        <v>0</v>
      </c>
      <c r="AJ176" s="35">
        <v>0</v>
      </c>
      <c r="AK176" s="36">
        <v>0</v>
      </c>
      <c r="AL176" s="38">
        <v>0</v>
      </c>
      <c r="AM176" s="35">
        <v>0</v>
      </c>
      <c r="AN176" s="19">
        <v>0</v>
      </c>
      <c r="AO176" s="23">
        <v>0</v>
      </c>
      <c r="AP176" s="24">
        <v>0</v>
      </c>
      <c r="AQ176" s="31">
        <f t="shared" si="14"/>
        <v>16</v>
      </c>
      <c r="AR176" s="32">
        <f t="shared" si="14"/>
        <v>40000</v>
      </c>
      <c r="AS176" s="30">
        <v>20</v>
      </c>
    </row>
    <row r="177" spans="1:45" ht="16" x14ac:dyDescent="0.2">
      <c r="A177" s="19">
        <v>174</v>
      </c>
      <c r="B177" s="21" t="s">
        <v>191</v>
      </c>
      <c r="C177" s="20" t="s">
        <v>199</v>
      </c>
      <c r="D177" s="345"/>
      <c r="E177" s="22">
        <v>13</v>
      </c>
      <c r="F177" s="23">
        <f t="shared" si="10"/>
        <v>32500</v>
      </c>
      <c r="G177" s="19">
        <v>0</v>
      </c>
      <c r="H177" s="23">
        <v>0</v>
      </c>
      <c r="I177" s="24">
        <v>0</v>
      </c>
      <c r="J177" s="19">
        <v>0</v>
      </c>
      <c r="K177" s="23">
        <v>0</v>
      </c>
      <c r="L177" s="24">
        <v>0</v>
      </c>
      <c r="M177" s="25">
        <v>3.2</v>
      </c>
      <c r="N177" s="26">
        <v>8000</v>
      </c>
      <c r="O177" s="27">
        <v>8</v>
      </c>
      <c r="P177" s="28">
        <f t="shared" si="11"/>
        <v>2.8</v>
      </c>
      <c r="Q177" s="29">
        <f t="shared" si="12"/>
        <v>7000</v>
      </c>
      <c r="R177" s="30">
        <v>7</v>
      </c>
      <c r="S177" s="19">
        <v>0</v>
      </c>
      <c r="T177" s="23">
        <v>0</v>
      </c>
      <c r="U177" s="24">
        <v>0</v>
      </c>
      <c r="V177" s="31">
        <f t="shared" si="13"/>
        <v>6.4</v>
      </c>
      <c r="W177" s="32">
        <v>16000</v>
      </c>
      <c r="X177" s="30">
        <v>16</v>
      </c>
      <c r="Y177" s="19">
        <v>0</v>
      </c>
      <c r="Z177" s="23">
        <v>0</v>
      </c>
      <c r="AA177" s="24">
        <v>0</v>
      </c>
      <c r="AB177" s="33">
        <v>0</v>
      </c>
      <c r="AC177" s="34">
        <v>0</v>
      </c>
      <c r="AD177" s="35">
        <v>0</v>
      </c>
      <c r="AE177" s="36">
        <v>0</v>
      </c>
      <c r="AF177" s="23">
        <v>0</v>
      </c>
      <c r="AG177" s="24">
        <v>0</v>
      </c>
      <c r="AH177" s="33">
        <v>0</v>
      </c>
      <c r="AI177" s="37">
        <v>0</v>
      </c>
      <c r="AJ177" s="35">
        <v>0</v>
      </c>
      <c r="AK177" s="36">
        <v>0</v>
      </c>
      <c r="AL177" s="38">
        <v>0</v>
      </c>
      <c r="AM177" s="35">
        <v>0</v>
      </c>
      <c r="AN177" s="19">
        <v>0</v>
      </c>
      <c r="AO177" s="23">
        <v>0</v>
      </c>
      <c r="AP177" s="24">
        <v>0</v>
      </c>
      <c r="AQ177" s="31">
        <f t="shared" si="14"/>
        <v>12.4</v>
      </c>
      <c r="AR177" s="32">
        <f t="shared" si="14"/>
        <v>31000</v>
      </c>
      <c r="AS177" s="30">
        <v>16</v>
      </c>
    </row>
    <row r="178" spans="1:45" ht="16" x14ac:dyDescent="0.2">
      <c r="A178" s="19">
        <v>175</v>
      </c>
      <c r="B178" s="21" t="s">
        <v>191</v>
      </c>
      <c r="C178" s="20" t="s">
        <v>200</v>
      </c>
      <c r="D178" s="345"/>
      <c r="E178" s="22">
        <v>10</v>
      </c>
      <c r="F178" s="23">
        <f t="shared" si="10"/>
        <v>25000</v>
      </c>
      <c r="G178" s="19">
        <v>0</v>
      </c>
      <c r="H178" s="23">
        <v>0</v>
      </c>
      <c r="I178" s="24">
        <v>0</v>
      </c>
      <c r="J178" s="19">
        <v>0</v>
      </c>
      <c r="K178" s="23">
        <v>0</v>
      </c>
      <c r="L178" s="24">
        <v>0</v>
      </c>
      <c r="M178" s="25">
        <v>2.4</v>
      </c>
      <c r="N178" s="26">
        <v>6000</v>
      </c>
      <c r="O178" s="27">
        <v>6</v>
      </c>
      <c r="P178" s="28">
        <f t="shared" si="11"/>
        <v>2.8</v>
      </c>
      <c r="Q178" s="29">
        <f t="shared" si="12"/>
        <v>7000</v>
      </c>
      <c r="R178" s="30">
        <v>7</v>
      </c>
      <c r="S178" s="19">
        <v>0</v>
      </c>
      <c r="T178" s="23">
        <v>0</v>
      </c>
      <c r="U178" s="24">
        <v>0</v>
      </c>
      <c r="V178" s="31">
        <f t="shared" si="13"/>
        <v>5.6</v>
      </c>
      <c r="W178" s="32">
        <v>14000</v>
      </c>
      <c r="X178" s="30">
        <v>14</v>
      </c>
      <c r="Y178" s="19">
        <v>0</v>
      </c>
      <c r="Z178" s="23">
        <v>0</v>
      </c>
      <c r="AA178" s="24">
        <v>0</v>
      </c>
      <c r="AB178" s="33">
        <v>0</v>
      </c>
      <c r="AC178" s="34">
        <v>0</v>
      </c>
      <c r="AD178" s="35">
        <v>0</v>
      </c>
      <c r="AE178" s="36">
        <v>0</v>
      </c>
      <c r="AF178" s="23">
        <v>0</v>
      </c>
      <c r="AG178" s="24">
        <v>0</v>
      </c>
      <c r="AH178" s="33">
        <v>0</v>
      </c>
      <c r="AI178" s="37">
        <v>0</v>
      </c>
      <c r="AJ178" s="35">
        <v>0</v>
      </c>
      <c r="AK178" s="36">
        <v>0</v>
      </c>
      <c r="AL178" s="38">
        <v>0</v>
      </c>
      <c r="AM178" s="35">
        <v>0</v>
      </c>
      <c r="AN178" s="19">
        <v>0</v>
      </c>
      <c r="AO178" s="23">
        <v>0</v>
      </c>
      <c r="AP178" s="24">
        <v>0</v>
      </c>
      <c r="AQ178" s="31">
        <f t="shared" si="14"/>
        <v>10.799999999999999</v>
      </c>
      <c r="AR178" s="32">
        <f t="shared" si="14"/>
        <v>27000</v>
      </c>
      <c r="AS178" s="30">
        <v>14</v>
      </c>
    </row>
    <row r="179" spans="1:45" ht="16" x14ac:dyDescent="0.2">
      <c r="A179" s="19">
        <v>176</v>
      </c>
      <c r="B179" s="21" t="s">
        <v>191</v>
      </c>
      <c r="C179" s="20" t="s">
        <v>201</v>
      </c>
      <c r="D179" s="345"/>
      <c r="E179" s="22">
        <v>11.8</v>
      </c>
      <c r="F179" s="23">
        <f t="shared" si="10"/>
        <v>29500</v>
      </c>
      <c r="G179" s="19">
        <v>0</v>
      </c>
      <c r="H179" s="23">
        <v>0</v>
      </c>
      <c r="I179" s="24">
        <v>0</v>
      </c>
      <c r="J179" s="19">
        <v>0</v>
      </c>
      <c r="K179" s="23">
        <v>0</v>
      </c>
      <c r="L179" s="24">
        <v>0</v>
      </c>
      <c r="M179" s="25">
        <v>3.6</v>
      </c>
      <c r="N179" s="26">
        <v>9000</v>
      </c>
      <c r="O179" s="27">
        <v>9</v>
      </c>
      <c r="P179" s="28">
        <f t="shared" si="11"/>
        <v>4.4000000000000004</v>
      </c>
      <c r="Q179" s="29">
        <f t="shared" si="12"/>
        <v>11000</v>
      </c>
      <c r="R179" s="30">
        <v>11</v>
      </c>
      <c r="S179" s="19">
        <v>0</v>
      </c>
      <c r="T179" s="23">
        <v>0</v>
      </c>
      <c r="U179" s="24">
        <v>0</v>
      </c>
      <c r="V179" s="31">
        <f t="shared" si="13"/>
        <v>8</v>
      </c>
      <c r="W179" s="32">
        <v>20000</v>
      </c>
      <c r="X179" s="30">
        <v>20</v>
      </c>
      <c r="Y179" s="19">
        <v>0</v>
      </c>
      <c r="Z179" s="23">
        <v>0</v>
      </c>
      <c r="AA179" s="24">
        <v>0</v>
      </c>
      <c r="AB179" s="33">
        <v>0</v>
      </c>
      <c r="AC179" s="34">
        <v>0</v>
      </c>
      <c r="AD179" s="35">
        <v>0</v>
      </c>
      <c r="AE179" s="36">
        <v>0</v>
      </c>
      <c r="AF179" s="23">
        <v>0</v>
      </c>
      <c r="AG179" s="24">
        <v>0</v>
      </c>
      <c r="AH179" s="33">
        <v>0</v>
      </c>
      <c r="AI179" s="37">
        <v>0</v>
      </c>
      <c r="AJ179" s="35">
        <v>0</v>
      </c>
      <c r="AK179" s="36">
        <v>0</v>
      </c>
      <c r="AL179" s="38">
        <v>0</v>
      </c>
      <c r="AM179" s="35">
        <v>0</v>
      </c>
      <c r="AN179" s="19">
        <v>0</v>
      </c>
      <c r="AO179" s="23">
        <v>0</v>
      </c>
      <c r="AP179" s="24">
        <v>0</v>
      </c>
      <c r="AQ179" s="31">
        <f t="shared" si="14"/>
        <v>16</v>
      </c>
      <c r="AR179" s="32">
        <f t="shared" si="14"/>
        <v>40000</v>
      </c>
      <c r="AS179" s="30">
        <v>20</v>
      </c>
    </row>
    <row r="180" spans="1:45" ht="16" x14ac:dyDescent="0.2">
      <c r="A180" s="19">
        <v>177</v>
      </c>
      <c r="B180" s="21" t="s">
        <v>191</v>
      </c>
      <c r="C180" s="20" t="s">
        <v>202</v>
      </c>
      <c r="D180" s="345"/>
      <c r="E180" s="22">
        <v>5.8000000000000007</v>
      </c>
      <c r="F180" s="23">
        <f t="shared" si="10"/>
        <v>14500.000000000002</v>
      </c>
      <c r="G180" s="19">
        <v>0</v>
      </c>
      <c r="H180" s="23">
        <v>0</v>
      </c>
      <c r="I180" s="24">
        <v>0</v>
      </c>
      <c r="J180" s="19">
        <v>0</v>
      </c>
      <c r="K180" s="23">
        <v>0</v>
      </c>
      <c r="L180" s="24">
        <v>0</v>
      </c>
      <c r="M180" s="25">
        <v>1.6</v>
      </c>
      <c r="N180" s="26">
        <v>4000</v>
      </c>
      <c r="O180" s="27">
        <v>4</v>
      </c>
      <c r="P180" s="28">
        <f t="shared" si="11"/>
        <v>0.4</v>
      </c>
      <c r="Q180" s="29">
        <f t="shared" si="12"/>
        <v>1000</v>
      </c>
      <c r="R180" s="30">
        <v>1</v>
      </c>
      <c r="S180" s="19">
        <v>0</v>
      </c>
      <c r="T180" s="23">
        <v>0</v>
      </c>
      <c r="U180" s="24">
        <v>0</v>
      </c>
      <c r="V180" s="31">
        <f t="shared" si="13"/>
        <v>2.4</v>
      </c>
      <c r="W180" s="32">
        <v>6000</v>
      </c>
      <c r="X180" s="30">
        <v>6</v>
      </c>
      <c r="Y180" s="19">
        <v>0</v>
      </c>
      <c r="Z180" s="23">
        <v>0</v>
      </c>
      <c r="AA180" s="24">
        <v>0</v>
      </c>
      <c r="AB180" s="33">
        <v>0</v>
      </c>
      <c r="AC180" s="34">
        <v>0</v>
      </c>
      <c r="AD180" s="35">
        <v>0</v>
      </c>
      <c r="AE180" s="36">
        <v>0</v>
      </c>
      <c r="AF180" s="23">
        <v>0</v>
      </c>
      <c r="AG180" s="24">
        <v>0</v>
      </c>
      <c r="AH180" s="33">
        <v>0</v>
      </c>
      <c r="AI180" s="37">
        <v>0</v>
      </c>
      <c r="AJ180" s="35">
        <v>0</v>
      </c>
      <c r="AK180" s="36">
        <v>0</v>
      </c>
      <c r="AL180" s="38">
        <v>0</v>
      </c>
      <c r="AM180" s="35">
        <v>0</v>
      </c>
      <c r="AN180" s="19">
        <v>0</v>
      </c>
      <c r="AO180" s="23">
        <v>0</v>
      </c>
      <c r="AP180" s="24">
        <v>0</v>
      </c>
      <c r="AQ180" s="31">
        <f t="shared" si="14"/>
        <v>4.4000000000000004</v>
      </c>
      <c r="AR180" s="32">
        <f t="shared" si="14"/>
        <v>11000</v>
      </c>
      <c r="AS180" s="30">
        <v>6</v>
      </c>
    </row>
    <row r="181" spans="1:45" ht="16" x14ac:dyDescent="0.2">
      <c r="A181" s="19">
        <v>178</v>
      </c>
      <c r="B181" s="21" t="s">
        <v>191</v>
      </c>
      <c r="C181" s="20" t="s">
        <v>203</v>
      </c>
      <c r="D181" s="345"/>
      <c r="E181" s="22">
        <v>10.199999999999999</v>
      </c>
      <c r="F181" s="23">
        <f t="shared" si="10"/>
        <v>25500</v>
      </c>
      <c r="G181" s="19">
        <v>0</v>
      </c>
      <c r="H181" s="23">
        <v>0</v>
      </c>
      <c r="I181" s="24">
        <v>0</v>
      </c>
      <c r="J181" s="19">
        <v>0</v>
      </c>
      <c r="K181" s="23">
        <v>0</v>
      </c>
      <c r="L181" s="24">
        <v>0</v>
      </c>
      <c r="M181" s="25">
        <v>3.2</v>
      </c>
      <c r="N181" s="26">
        <v>8000</v>
      </c>
      <c r="O181" s="27">
        <v>8</v>
      </c>
      <c r="P181" s="28">
        <f t="shared" si="11"/>
        <v>0.4</v>
      </c>
      <c r="Q181" s="29">
        <f t="shared" si="12"/>
        <v>1000</v>
      </c>
      <c r="R181" s="30">
        <v>1</v>
      </c>
      <c r="S181" s="19">
        <v>0</v>
      </c>
      <c r="T181" s="23">
        <v>0</v>
      </c>
      <c r="U181" s="24">
        <v>0</v>
      </c>
      <c r="V181" s="31">
        <f t="shared" si="13"/>
        <v>3.6</v>
      </c>
      <c r="W181" s="32">
        <v>9000</v>
      </c>
      <c r="X181" s="30">
        <v>9</v>
      </c>
      <c r="Y181" s="19">
        <v>0</v>
      </c>
      <c r="Z181" s="23">
        <v>0</v>
      </c>
      <c r="AA181" s="24">
        <v>0</v>
      </c>
      <c r="AB181" s="33">
        <v>0</v>
      </c>
      <c r="AC181" s="34">
        <v>0</v>
      </c>
      <c r="AD181" s="35">
        <v>0</v>
      </c>
      <c r="AE181" s="36">
        <v>0</v>
      </c>
      <c r="AF181" s="23">
        <v>0</v>
      </c>
      <c r="AG181" s="24">
        <v>0</v>
      </c>
      <c r="AH181" s="33">
        <v>0</v>
      </c>
      <c r="AI181" s="37">
        <v>0</v>
      </c>
      <c r="AJ181" s="35">
        <v>0</v>
      </c>
      <c r="AK181" s="36">
        <v>0</v>
      </c>
      <c r="AL181" s="38">
        <v>0</v>
      </c>
      <c r="AM181" s="35">
        <v>0</v>
      </c>
      <c r="AN181" s="19">
        <v>0</v>
      </c>
      <c r="AO181" s="23">
        <v>0</v>
      </c>
      <c r="AP181" s="24">
        <v>0</v>
      </c>
      <c r="AQ181" s="31">
        <f t="shared" si="14"/>
        <v>7.2</v>
      </c>
      <c r="AR181" s="32">
        <f t="shared" si="14"/>
        <v>18000</v>
      </c>
      <c r="AS181" s="30">
        <v>10</v>
      </c>
    </row>
    <row r="182" spans="1:45" ht="16" x14ac:dyDescent="0.2">
      <c r="A182" s="19">
        <v>179</v>
      </c>
      <c r="B182" s="21" t="s">
        <v>191</v>
      </c>
      <c r="C182" s="20" t="s">
        <v>204</v>
      </c>
      <c r="D182" s="345"/>
      <c r="E182" s="22">
        <v>12.2</v>
      </c>
      <c r="F182" s="23">
        <f t="shared" si="10"/>
        <v>30500</v>
      </c>
      <c r="G182" s="19">
        <v>0</v>
      </c>
      <c r="H182" s="23">
        <v>0</v>
      </c>
      <c r="I182" s="24">
        <v>0</v>
      </c>
      <c r="J182" s="19">
        <v>0</v>
      </c>
      <c r="K182" s="23">
        <v>0</v>
      </c>
      <c r="L182" s="24">
        <v>0</v>
      </c>
      <c r="M182" s="25">
        <v>2.4</v>
      </c>
      <c r="N182" s="26">
        <v>6000</v>
      </c>
      <c r="O182" s="27">
        <v>6</v>
      </c>
      <c r="P182" s="28">
        <f t="shared" si="11"/>
        <v>1.6</v>
      </c>
      <c r="Q182" s="29">
        <f t="shared" si="12"/>
        <v>4000</v>
      </c>
      <c r="R182" s="30">
        <v>4</v>
      </c>
      <c r="S182" s="19">
        <v>0</v>
      </c>
      <c r="T182" s="23">
        <v>0</v>
      </c>
      <c r="U182" s="24">
        <v>0</v>
      </c>
      <c r="V182" s="31">
        <f t="shared" si="13"/>
        <v>4</v>
      </c>
      <c r="W182" s="32">
        <v>10000</v>
      </c>
      <c r="X182" s="30">
        <v>10</v>
      </c>
      <c r="Y182" s="19">
        <v>0</v>
      </c>
      <c r="Z182" s="23">
        <v>0</v>
      </c>
      <c r="AA182" s="24">
        <v>0</v>
      </c>
      <c r="AB182" s="33">
        <v>0</v>
      </c>
      <c r="AC182" s="34">
        <v>0</v>
      </c>
      <c r="AD182" s="35">
        <v>0</v>
      </c>
      <c r="AE182" s="36">
        <v>0</v>
      </c>
      <c r="AF182" s="23">
        <v>0</v>
      </c>
      <c r="AG182" s="24">
        <v>0</v>
      </c>
      <c r="AH182" s="33">
        <v>0</v>
      </c>
      <c r="AI182" s="37">
        <v>0</v>
      </c>
      <c r="AJ182" s="35">
        <v>0</v>
      </c>
      <c r="AK182" s="36">
        <v>0</v>
      </c>
      <c r="AL182" s="38">
        <v>0</v>
      </c>
      <c r="AM182" s="35">
        <v>0</v>
      </c>
      <c r="AN182" s="19">
        <v>0</v>
      </c>
      <c r="AO182" s="23">
        <v>0</v>
      </c>
      <c r="AP182" s="24">
        <v>0</v>
      </c>
      <c r="AQ182" s="31">
        <f t="shared" si="14"/>
        <v>8</v>
      </c>
      <c r="AR182" s="32">
        <f t="shared" si="14"/>
        <v>20000</v>
      </c>
      <c r="AS182" s="30">
        <v>10</v>
      </c>
    </row>
    <row r="183" spans="1:45" ht="16" x14ac:dyDescent="0.2">
      <c r="A183" s="19">
        <v>180</v>
      </c>
      <c r="B183" s="21" t="s">
        <v>191</v>
      </c>
      <c r="C183" s="20" t="s">
        <v>205</v>
      </c>
      <c r="D183" s="345"/>
      <c r="E183" s="22">
        <v>7.4</v>
      </c>
      <c r="F183" s="23">
        <f t="shared" si="10"/>
        <v>18500</v>
      </c>
      <c r="G183" s="19">
        <v>0</v>
      </c>
      <c r="H183" s="23">
        <v>0</v>
      </c>
      <c r="I183" s="24">
        <v>0</v>
      </c>
      <c r="J183" s="19">
        <v>0</v>
      </c>
      <c r="K183" s="23">
        <v>0</v>
      </c>
      <c r="L183" s="24">
        <v>0</v>
      </c>
      <c r="M183" s="25">
        <v>2.4</v>
      </c>
      <c r="N183" s="26">
        <v>6000</v>
      </c>
      <c r="O183" s="27">
        <v>6</v>
      </c>
      <c r="P183" s="28">
        <f t="shared" si="11"/>
        <v>2.4</v>
      </c>
      <c r="Q183" s="29">
        <f t="shared" si="12"/>
        <v>6000</v>
      </c>
      <c r="R183" s="30">
        <v>6</v>
      </c>
      <c r="S183" s="19">
        <v>0</v>
      </c>
      <c r="T183" s="23">
        <v>0</v>
      </c>
      <c r="U183" s="24">
        <v>0</v>
      </c>
      <c r="V183" s="31">
        <f t="shared" si="13"/>
        <v>5.2</v>
      </c>
      <c r="W183" s="32">
        <v>13000</v>
      </c>
      <c r="X183" s="30">
        <v>13</v>
      </c>
      <c r="Y183" s="19">
        <v>0</v>
      </c>
      <c r="Z183" s="23">
        <v>0</v>
      </c>
      <c r="AA183" s="24">
        <v>0</v>
      </c>
      <c r="AB183" s="33">
        <v>0</v>
      </c>
      <c r="AC183" s="34">
        <v>0</v>
      </c>
      <c r="AD183" s="35">
        <v>0</v>
      </c>
      <c r="AE183" s="36">
        <v>0</v>
      </c>
      <c r="AF183" s="23">
        <v>0</v>
      </c>
      <c r="AG183" s="24">
        <v>0</v>
      </c>
      <c r="AH183" s="33">
        <v>0</v>
      </c>
      <c r="AI183" s="37">
        <v>0</v>
      </c>
      <c r="AJ183" s="35">
        <v>0</v>
      </c>
      <c r="AK183" s="36">
        <v>0</v>
      </c>
      <c r="AL183" s="38">
        <v>0</v>
      </c>
      <c r="AM183" s="35">
        <v>0</v>
      </c>
      <c r="AN183" s="19">
        <v>0</v>
      </c>
      <c r="AO183" s="23">
        <v>0</v>
      </c>
      <c r="AP183" s="24">
        <v>0</v>
      </c>
      <c r="AQ183" s="31">
        <f t="shared" si="14"/>
        <v>10</v>
      </c>
      <c r="AR183" s="32">
        <f t="shared" si="14"/>
        <v>25000</v>
      </c>
      <c r="AS183" s="30">
        <v>13</v>
      </c>
    </row>
    <row r="184" spans="1:45" ht="16" x14ac:dyDescent="0.2">
      <c r="A184" s="19">
        <v>181</v>
      </c>
      <c r="B184" s="21" t="s">
        <v>191</v>
      </c>
      <c r="C184" s="20" t="s">
        <v>191</v>
      </c>
      <c r="D184" s="345"/>
      <c r="E184" s="22">
        <v>10.4</v>
      </c>
      <c r="F184" s="23">
        <f t="shared" si="10"/>
        <v>26000</v>
      </c>
      <c r="G184" s="19">
        <v>0</v>
      </c>
      <c r="H184" s="23">
        <v>0</v>
      </c>
      <c r="I184" s="24">
        <v>0</v>
      </c>
      <c r="J184" s="19">
        <v>0</v>
      </c>
      <c r="K184" s="23">
        <v>0</v>
      </c>
      <c r="L184" s="24">
        <v>0</v>
      </c>
      <c r="M184" s="25">
        <v>2</v>
      </c>
      <c r="N184" s="26">
        <v>5000</v>
      </c>
      <c r="O184" s="27">
        <v>5</v>
      </c>
      <c r="P184" s="28">
        <f t="shared" si="11"/>
        <v>2.4</v>
      </c>
      <c r="Q184" s="29">
        <f t="shared" si="12"/>
        <v>6000</v>
      </c>
      <c r="R184" s="30">
        <v>6</v>
      </c>
      <c r="S184" s="19">
        <v>0</v>
      </c>
      <c r="T184" s="23">
        <v>0</v>
      </c>
      <c r="U184" s="24">
        <v>0</v>
      </c>
      <c r="V184" s="31">
        <f t="shared" si="13"/>
        <v>5.2</v>
      </c>
      <c r="W184" s="32">
        <v>13000</v>
      </c>
      <c r="X184" s="30">
        <v>13</v>
      </c>
      <c r="Y184" s="19">
        <v>0</v>
      </c>
      <c r="Z184" s="23">
        <v>0</v>
      </c>
      <c r="AA184" s="24">
        <v>0</v>
      </c>
      <c r="AB184" s="33">
        <v>0</v>
      </c>
      <c r="AC184" s="34">
        <v>0</v>
      </c>
      <c r="AD184" s="35">
        <v>0</v>
      </c>
      <c r="AE184" s="36">
        <v>0</v>
      </c>
      <c r="AF184" s="23">
        <v>0</v>
      </c>
      <c r="AG184" s="24">
        <v>0</v>
      </c>
      <c r="AH184" s="33">
        <v>0</v>
      </c>
      <c r="AI184" s="37">
        <v>0</v>
      </c>
      <c r="AJ184" s="35">
        <v>0</v>
      </c>
      <c r="AK184" s="36">
        <v>0</v>
      </c>
      <c r="AL184" s="38">
        <v>0</v>
      </c>
      <c r="AM184" s="35">
        <v>0</v>
      </c>
      <c r="AN184" s="19">
        <v>0</v>
      </c>
      <c r="AO184" s="23">
        <v>0</v>
      </c>
      <c r="AP184" s="24">
        <v>0</v>
      </c>
      <c r="AQ184" s="31">
        <f t="shared" si="14"/>
        <v>9.6000000000000014</v>
      </c>
      <c r="AR184" s="32">
        <f t="shared" si="14"/>
        <v>24000</v>
      </c>
      <c r="AS184" s="30">
        <v>13</v>
      </c>
    </row>
    <row r="185" spans="1:45" ht="16" x14ac:dyDescent="0.2">
      <c r="A185" s="19">
        <v>182</v>
      </c>
      <c r="B185" s="21" t="s">
        <v>191</v>
      </c>
      <c r="C185" s="20" t="s">
        <v>206</v>
      </c>
      <c r="D185" s="345"/>
      <c r="E185" s="22">
        <v>8</v>
      </c>
      <c r="F185" s="23">
        <f t="shared" si="10"/>
        <v>20000</v>
      </c>
      <c r="G185" s="19">
        <v>0</v>
      </c>
      <c r="H185" s="23">
        <v>0</v>
      </c>
      <c r="I185" s="24">
        <v>0</v>
      </c>
      <c r="J185" s="19">
        <v>0</v>
      </c>
      <c r="K185" s="23">
        <v>0</v>
      </c>
      <c r="L185" s="24">
        <v>0</v>
      </c>
      <c r="M185" s="25">
        <v>2.8</v>
      </c>
      <c r="N185" s="26">
        <v>7000</v>
      </c>
      <c r="O185" s="27">
        <v>7</v>
      </c>
      <c r="P185" s="28">
        <f t="shared" si="11"/>
        <v>1.2</v>
      </c>
      <c r="Q185" s="29">
        <f t="shared" si="12"/>
        <v>3000</v>
      </c>
      <c r="R185" s="30">
        <v>3</v>
      </c>
      <c r="S185" s="19">
        <v>0</v>
      </c>
      <c r="T185" s="23">
        <v>0</v>
      </c>
      <c r="U185" s="24">
        <v>0</v>
      </c>
      <c r="V185" s="31">
        <f t="shared" si="13"/>
        <v>4</v>
      </c>
      <c r="W185" s="32">
        <v>10000</v>
      </c>
      <c r="X185" s="30">
        <v>10</v>
      </c>
      <c r="Y185" s="19">
        <v>0</v>
      </c>
      <c r="Z185" s="23">
        <v>0</v>
      </c>
      <c r="AA185" s="24">
        <v>0</v>
      </c>
      <c r="AB185" s="33">
        <v>0</v>
      </c>
      <c r="AC185" s="34">
        <v>0</v>
      </c>
      <c r="AD185" s="35">
        <v>0</v>
      </c>
      <c r="AE185" s="36">
        <v>0</v>
      </c>
      <c r="AF185" s="23">
        <v>0</v>
      </c>
      <c r="AG185" s="24">
        <v>0</v>
      </c>
      <c r="AH185" s="33">
        <v>0</v>
      </c>
      <c r="AI185" s="37">
        <v>0</v>
      </c>
      <c r="AJ185" s="35">
        <v>0</v>
      </c>
      <c r="AK185" s="36">
        <v>0</v>
      </c>
      <c r="AL185" s="38">
        <v>0</v>
      </c>
      <c r="AM185" s="35">
        <v>0</v>
      </c>
      <c r="AN185" s="19">
        <v>0</v>
      </c>
      <c r="AO185" s="23">
        <v>0</v>
      </c>
      <c r="AP185" s="24">
        <v>0</v>
      </c>
      <c r="AQ185" s="31">
        <f t="shared" si="14"/>
        <v>8</v>
      </c>
      <c r="AR185" s="32">
        <f t="shared" si="14"/>
        <v>20000</v>
      </c>
      <c r="AS185" s="30">
        <v>10</v>
      </c>
    </row>
    <row r="186" spans="1:45" ht="16" x14ac:dyDescent="0.2">
      <c r="A186" s="19">
        <v>183</v>
      </c>
      <c r="B186" s="21" t="s">
        <v>191</v>
      </c>
      <c r="C186" s="20" t="s">
        <v>207</v>
      </c>
      <c r="D186" s="345"/>
      <c r="E186" s="22">
        <v>13.000000000000002</v>
      </c>
      <c r="F186" s="23">
        <f t="shared" si="10"/>
        <v>32500.000000000004</v>
      </c>
      <c r="G186" s="19">
        <v>0</v>
      </c>
      <c r="H186" s="23">
        <v>0</v>
      </c>
      <c r="I186" s="24">
        <v>0</v>
      </c>
      <c r="J186" s="19">
        <v>0</v>
      </c>
      <c r="K186" s="23">
        <v>0</v>
      </c>
      <c r="L186" s="24">
        <v>0</v>
      </c>
      <c r="M186" s="25">
        <v>3.6</v>
      </c>
      <c r="N186" s="26">
        <v>9000</v>
      </c>
      <c r="O186" s="27">
        <v>9</v>
      </c>
      <c r="P186" s="28">
        <f t="shared" si="11"/>
        <v>2</v>
      </c>
      <c r="Q186" s="29">
        <f t="shared" si="12"/>
        <v>5000</v>
      </c>
      <c r="R186" s="30">
        <v>5</v>
      </c>
      <c r="S186" s="19">
        <v>0</v>
      </c>
      <c r="T186" s="23">
        <v>0</v>
      </c>
      <c r="U186" s="24">
        <v>0</v>
      </c>
      <c r="V186" s="31">
        <f t="shared" si="13"/>
        <v>5.6</v>
      </c>
      <c r="W186" s="32">
        <v>14000</v>
      </c>
      <c r="X186" s="30">
        <v>14</v>
      </c>
      <c r="Y186" s="19">
        <v>0</v>
      </c>
      <c r="Z186" s="23">
        <v>0</v>
      </c>
      <c r="AA186" s="24">
        <v>0</v>
      </c>
      <c r="AB186" s="33">
        <v>0</v>
      </c>
      <c r="AC186" s="34">
        <v>0</v>
      </c>
      <c r="AD186" s="35">
        <v>0</v>
      </c>
      <c r="AE186" s="36">
        <v>0</v>
      </c>
      <c r="AF186" s="23">
        <v>0</v>
      </c>
      <c r="AG186" s="24">
        <v>0</v>
      </c>
      <c r="AH186" s="33">
        <v>0</v>
      </c>
      <c r="AI186" s="37">
        <v>0</v>
      </c>
      <c r="AJ186" s="35">
        <v>0</v>
      </c>
      <c r="AK186" s="36">
        <v>0</v>
      </c>
      <c r="AL186" s="38">
        <v>0</v>
      </c>
      <c r="AM186" s="35">
        <v>0</v>
      </c>
      <c r="AN186" s="19">
        <v>0</v>
      </c>
      <c r="AO186" s="23">
        <v>0</v>
      </c>
      <c r="AP186" s="24">
        <v>0</v>
      </c>
      <c r="AQ186" s="31">
        <f t="shared" si="14"/>
        <v>11.2</v>
      </c>
      <c r="AR186" s="32">
        <f t="shared" si="14"/>
        <v>28000</v>
      </c>
      <c r="AS186" s="30">
        <v>14</v>
      </c>
    </row>
    <row r="187" spans="1:45" ht="16" x14ac:dyDescent="0.2">
      <c r="A187" s="19">
        <v>184</v>
      </c>
      <c r="B187" s="21" t="s">
        <v>191</v>
      </c>
      <c r="C187" s="20" t="s">
        <v>208</v>
      </c>
      <c r="D187" s="345"/>
      <c r="E187" s="22">
        <v>8</v>
      </c>
      <c r="F187" s="23">
        <f t="shared" si="10"/>
        <v>20000</v>
      </c>
      <c r="G187" s="19">
        <v>0</v>
      </c>
      <c r="H187" s="23">
        <v>0</v>
      </c>
      <c r="I187" s="24">
        <v>0</v>
      </c>
      <c r="J187" s="19">
        <v>0</v>
      </c>
      <c r="K187" s="23">
        <v>0</v>
      </c>
      <c r="L187" s="24">
        <v>0</v>
      </c>
      <c r="M187" s="25">
        <v>1.6</v>
      </c>
      <c r="N187" s="26">
        <v>4000</v>
      </c>
      <c r="O187" s="27">
        <v>4</v>
      </c>
      <c r="P187" s="28">
        <f t="shared" si="11"/>
        <v>2.4</v>
      </c>
      <c r="Q187" s="29">
        <f t="shared" si="12"/>
        <v>6000</v>
      </c>
      <c r="R187" s="30">
        <v>6</v>
      </c>
      <c r="S187" s="19">
        <v>0</v>
      </c>
      <c r="T187" s="23">
        <v>0</v>
      </c>
      <c r="U187" s="24">
        <v>0</v>
      </c>
      <c r="V187" s="31">
        <f t="shared" si="13"/>
        <v>4.4000000000000004</v>
      </c>
      <c r="W187" s="32">
        <v>11000</v>
      </c>
      <c r="X187" s="30">
        <v>11</v>
      </c>
      <c r="Y187" s="19">
        <v>0</v>
      </c>
      <c r="Z187" s="23">
        <v>0</v>
      </c>
      <c r="AA187" s="24">
        <v>0</v>
      </c>
      <c r="AB187" s="33">
        <v>0</v>
      </c>
      <c r="AC187" s="34">
        <v>0</v>
      </c>
      <c r="AD187" s="35">
        <v>0</v>
      </c>
      <c r="AE187" s="36">
        <v>0</v>
      </c>
      <c r="AF187" s="23">
        <v>0</v>
      </c>
      <c r="AG187" s="24">
        <v>0</v>
      </c>
      <c r="AH187" s="33">
        <v>0</v>
      </c>
      <c r="AI187" s="37">
        <v>0</v>
      </c>
      <c r="AJ187" s="35">
        <v>0</v>
      </c>
      <c r="AK187" s="36">
        <v>0</v>
      </c>
      <c r="AL187" s="38">
        <v>0</v>
      </c>
      <c r="AM187" s="35">
        <v>0</v>
      </c>
      <c r="AN187" s="19">
        <v>0</v>
      </c>
      <c r="AO187" s="23">
        <v>0</v>
      </c>
      <c r="AP187" s="24">
        <v>0</v>
      </c>
      <c r="AQ187" s="31">
        <f t="shared" si="14"/>
        <v>8.4</v>
      </c>
      <c r="AR187" s="32">
        <f t="shared" si="14"/>
        <v>21000</v>
      </c>
      <c r="AS187" s="30">
        <v>11</v>
      </c>
    </row>
    <row r="188" spans="1:45" ht="16" x14ac:dyDescent="0.2">
      <c r="A188" s="19">
        <v>185</v>
      </c>
      <c r="B188" s="21" t="s">
        <v>191</v>
      </c>
      <c r="C188" s="20" t="s">
        <v>209</v>
      </c>
      <c r="D188" s="345"/>
      <c r="E188" s="22">
        <v>20</v>
      </c>
      <c r="F188" s="23">
        <f t="shared" si="10"/>
        <v>50000</v>
      </c>
      <c r="G188" s="19">
        <v>0</v>
      </c>
      <c r="H188" s="23">
        <v>0</v>
      </c>
      <c r="I188" s="24">
        <v>0</v>
      </c>
      <c r="J188" s="19">
        <v>0</v>
      </c>
      <c r="K188" s="23">
        <v>0</v>
      </c>
      <c r="L188" s="24">
        <v>0</v>
      </c>
      <c r="M188" s="25">
        <v>4.4000000000000004</v>
      </c>
      <c r="N188" s="26">
        <v>11000</v>
      </c>
      <c r="O188" s="27">
        <v>11</v>
      </c>
      <c r="P188" s="28">
        <f t="shared" si="11"/>
        <v>3.6</v>
      </c>
      <c r="Q188" s="29">
        <f t="shared" si="12"/>
        <v>9000</v>
      </c>
      <c r="R188" s="30">
        <v>9</v>
      </c>
      <c r="S188" s="19">
        <v>0</v>
      </c>
      <c r="T188" s="23">
        <v>0</v>
      </c>
      <c r="U188" s="24">
        <v>0</v>
      </c>
      <c r="V188" s="31">
        <f t="shared" si="13"/>
        <v>8</v>
      </c>
      <c r="W188" s="32">
        <v>20000</v>
      </c>
      <c r="X188" s="30">
        <v>20</v>
      </c>
      <c r="Y188" s="19">
        <v>0</v>
      </c>
      <c r="Z188" s="23">
        <v>0</v>
      </c>
      <c r="AA188" s="24">
        <v>0</v>
      </c>
      <c r="AB188" s="33">
        <v>0</v>
      </c>
      <c r="AC188" s="34">
        <v>0</v>
      </c>
      <c r="AD188" s="35">
        <v>0</v>
      </c>
      <c r="AE188" s="36">
        <v>0</v>
      </c>
      <c r="AF188" s="23">
        <v>0</v>
      </c>
      <c r="AG188" s="24">
        <v>0</v>
      </c>
      <c r="AH188" s="33">
        <v>0</v>
      </c>
      <c r="AI188" s="37">
        <v>0</v>
      </c>
      <c r="AJ188" s="35">
        <v>0</v>
      </c>
      <c r="AK188" s="36">
        <v>0</v>
      </c>
      <c r="AL188" s="38">
        <v>0</v>
      </c>
      <c r="AM188" s="35">
        <v>0</v>
      </c>
      <c r="AN188" s="19">
        <v>0</v>
      </c>
      <c r="AO188" s="23">
        <v>0</v>
      </c>
      <c r="AP188" s="24">
        <v>0</v>
      </c>
      <c r="AQ188" s="31">
        <f t="shared" si="14"/>
        <v>16</v>
      </c>
      <c r="AR188" s="32">
        <f t="shared" si="14"/>
        <v>40000</v>
      </c>
      <c r="AS188" s="30">
        <v>20</v>
      </c>
    </row>
    <row r="189" spans="1:45" ht="16" x14ac:dyDescent="0.2">
      <c r="A189" s="19">
        <v>186</v>
      </c>
      <c r="B189" s="21" t="s">
        <v>191</v>
      </c>
      <c r="C189" s="20" t="s">
        <v>210</v>
      </c>
      <c r="D189" s="345"/>
      <c r="E189" s="22">
        <v>12.2</v>
      </c>
      <c r="F189" s="23">
        <f t="shared" si="10"/>
        <v>30500</v>
      </c>
      <c r="G189" s="19">
        <v>0</v>
      </c>
      <c r="H189" s="23">
        <v>0</v>
      </c>
      <c r="I189" s="24">
        <v>0</v>
      </c>
      <c r="J189" s="19">
        <v>0</v>
      </c>
      <c r="K189" s="23">
        <v>0</v>
      </c>
      <c r="L189" s="24">
        <v>0</v>
      </c>
      <c r="M189" s="25">
        <v>2.8</v>
      </c>
      <c r="N189" s="26">
        <v>7000</v>
      </c>
      <c r="O189" s="27">
        <v>7</v>
      </c>
      <c r="P189" s="28">
        <f t="shared" si="11"/>
        <v>5.2</v>
      </c>
      <c r="Q189" s="29">
        <f t="shared" si="12"/>
        <v>13000</v>
      </c>
      <c r="R189" s="30">
        <v>13</v>
      </c>
      <c r="S189" s="19">
        <v>0</v>
      </c>
      <c r="T189" s="23">
        <v>0</v>
      </c>
      <c r="U189" s="24">
        <v>0</v>
      </c>
      <c r="V189" s="31">
        <f t="shared" si="13"/>
        <v>7.6</v>
      </c>
      <c r="W189" s="32">
        <v>19000</v>
      </c>
      <c r="X189" s="30">
        <v>19</v>
      </c>
      <c r="Y189" s="19">
        <v>0</v>
      </c>
      <c r="Z189" s="23">
        <v>0</v>
      </c>
      <c r="AA189" s="24">
        <v>0</v>
      </c>
      <c r="AB189" s="33">
        <v>0</v>
      </c>
      <c r="AC189" s="34">
        <v>0</v>
      </c>
      <c r="AD189" s="35">
        <v>0</v>
      </c>
      <c r="AE189" s="36">
        <v>0</v>
      </c>
      <c r="AF189" s="23">
        <v>0</v>
      </c>
      <c r="AG189" s="24">
        <v>0</v>
      </c>
      <c r="AH189" s="33">
        <v>0</v>
      </c>
      <c r="AI189" s="37">
        <v>0</v>
      </c>
      <c r="AJ189" s="35">
        <v>0</v>
      </c>
      <c r="AK189" s="36">
        <v>0</v>
      </c>
      <c r="AL189" s="38">
        <v>0</v>
      </c>
      <c r="AM189" s="35">
        <v>0</v>
      </c>
      <c r="AN189" s="19">
        <v>0</v>
      </c>
      <c r="AO189" s="23">
        <v>0</v>
      </c>
      <c r="AP189" s="24">
        <v>0</v>
      </c>
      <c r="AQ189" s="31">
        <f t="shared" si="14"/>
        <v>15.6</v>
      </c>
      <c r="AR189" s="32">
        <f t="shared" si="14"/>
        <v>39000</v>
      </c>
      <c r="AS189" s="30">
        <v>20</v>
      </c>
    </row>
    <row r="190" spans="1:45" ht="16" x14ac:dyDescent="0.2">
      <c r="A190" s="19">
        <v>187</v>
      </c>
      <c r="B190" s="21" t="s">
        <v>191</v>
      </c>
      <c r="C190" s="20" t="s">
        <v>211</v>
      </c>
      <c r="D190" s="345"/>
      <c r="E190" s="22">
        <v>8</v>
      </c>
      <c r="F190" s="23">
        <f t="shared" si="10"/>
        <v>20000</v>
      </c>
      <c r="G190" s="19">
        <v>0</v>
      </c>
      <c r="H190" s="23">
        <v>0</v>
      </c>
      <c r="I190" s="24">
        <v>0</v>
      </c>
      <c r="J190" s="19">
        <v>0</v>
      </c>
      <c r="K190" s="23">
        <v>0</v>
      </c>
      <c r="L190" s="24">
        <v>0</v>
      </c>
      <c r="M190" s="25">
        <v>2.4</v>
      </c>
      <c r="N190" s="26">
        <v>6000</v>
      </c>
      <c r="O190" s="27">
        <v>6</v>
      </c>
      <c r="P190" s="28">
        <f t="shared" si="11"/>
        <v>3.2</v>
      </c>
      <c r="Q190" s="29">
        <f t="shared" si="12"/>
        <v>8000</v>
      </c>
      <c r="R190" s="30">
        <v>8</v>
      </c>
      <c r="S190" s="19">
        <v>0</v>
      </c>
      <c r="T190" s="23">
        <v>0</v>
      </c>
      <c r="U190" s="24">
        <v>0</v>
      </c>
      <c r="V190" s="31">
        <f t="shared" si="13"/>
        <v>5.6</v>
      </c>
      <c r="W190" s="32">
        <v>14000</v>
      </c>
      <c r="X190" s="30">
        <v>14</v>
      </c>
      <c r="Y190" s="19">
        <v>0</v>
      </c>
      <c r="Z190" s="23">
        <v>0</v>
      </c>
      <c r="AA190" s="24">
        <v>0</v>
      </c>
      <c r="AB190" s="33">
        <v>0</v>
      </c>
      <c r="AC190" s="34">
        <v>0</v>
      </c>
      <c r="AD190" s="35">
        <v>0</v>
      </c>
      <c r="AE190" s="36">
        <v>0</v>
      </c>
      <c r="AF190" s="23">
        <v>0</v>
      </c>
      <c r="AG190" s="24">
        <v>0</v>
      </c>
      <c r="AH190" s="33">
        <v>0</v>
      </c>
      <c r="AI190" s="37">
        <v>0</v>
      </c>
      <c r="AJ190" s="35">
        <v>0</v>
      </c>
      <c r="AK190" s="36">
        <v>0</v>
      </c>
      <c r="AL190" s="38">
        <v>0</v>
      </c>
      <c r="AM190" s="35">
        <v>0</v>
      </c>
      <c r="AN190" s="19">
        <v>0</v>
      </c>
      <c r="AO190" s="23">
        <v>0</v>
      </c>
      <c r="AP190" s="24">
        <v>0</v>
      </c>
      <c r="AQ190" s="31">
        <f t="shared" si="14"/>
        <v>11.2</v>
      </c>
      <c r="AR190" s="32">
        <f t="shared" si="14"/>
        <v>28000</v>
      </c>
      <c r="AS190" s="30">
        <v>14</v>
      </c>
    </row>
    <row r="191" spans="1:45" ht="16" x14ac:dyDescent="0.2">
      <c r="A191" s="19">
        <v>188</v>
      </c>
      <c r="B191" s="21" t="s">
        <v>191</v>
      </c>
      <c r="C191" s="20" t="s">
        <v>212</v>
      </c>
      <c r="D191" s="345" t="s">
        <v>25</v>
      </c>
      <c r="E191" s="22">
        <v>18.8</v>
      </c>
      <c r="F191" s="23">
        <f t="shared" si="10"/>
        <v>47000</v>
      </c>
      <c r="G191" s="19">
        <v>0</v>
      </c>
      <c r="H191" s="23">
        <v>0</v>
      </c>
      <c r="I191" s="24">
        <v>0</v>
      </c>
      <c r="J191" s="19">
        <v>0</v>
      </c>
      <c r="K191" s="23">
        <v>0</v>
      </c>
      <c r="L191" s="24">
        <v>0</v>
      </c>
      <c r="M191" s="25">
        <v>3.2</v>
      </c>
      <c r="N191" s="26">
        <v>8000</v>
      </c>
      <c r="O191" s="27">
        <v>8</v>
      </c>
      <c r="P191" s="28">
        <f t="shared" si="11"/>
        <v>4.8</v>
      </c>
      <c r="Q191" s="29">
        <f t="shared" si="12"/>
        <v>12000</v>
      </c>
      <c r="R191" s="30">
        <v>12</v>
      </c>
      <c r="S191" s="19">
        <v>0</v>
      </c>
      <c r="T191" s="23">
        <v>0</v>
      </c>
      <c r="U191" s="24">
        <v>0</v>
      </c>
      <c r="V191" s="31">
        <f t="shared" si="13"/>
        <v>8</v>
      </c>
      <c r="W191" s="32">
        <v>20000</v>
      </c>
      <c r="X191" s="30">
        <v>20</v>
      </c>
      <c r="Y191" s="19">
        <v>0</v>
      </c>
      <c r="Z191" s="23">
        <v>0</v>
      </c>
      <c r="AA191" s="24">
        <v>0</v>
      </c>
      <c r="AB191" s="33">
        <v>0</v>
      </c>
      <c r="AC191" s="34">
        <v>0</v>
      </c>
      <c r="AD191" s="35">
        <v>0</v>
      </c>
      <c r="AE191" s="36">
        <v>0</v>
      </c>
      <c r="AF191" s="23">
        <v>0</v>
      </c>
      <c r="AG191" s="24">
        <v>0</v>
      </c>
      <c r="AH191" s="33">
        <v>0</v>
      </c>
      <c r="AI191" s="37">
        <v>0</v>
      </c>
      <c r="AJ191" s="35">
        <v>0</v>
      </c>
      <c r="AK191" s="36">
        <v>0</v>
      </c>
      <c r="AL191" s="38">
        <v>0</v>
      </c>
      <c r="AM191" s="35">
        <v>0</v>
      </c>
      <c r="AN191" s="19">
        <v>0</v>
      </c>
      <c r="AO191" s="23">
        <v>0</v>
      </c>
      <c r="AP191" s="24">
        <v>0</v>
      </c>
      <c r="AQ191" s="31">
        <f t="shared" si="14"/>
        <v>16</v>
      </c>
      <c r="AR191" s="32">
        <f t="shared" si="14"/>
        <v>40000</v>
      </c>
      <c r="AS191" s="30">
        <v>20</v>
      </c>
    </row>
    <row r="192" spans="1:45" ht="16" x14ac:dyDescent="0.2">
      <c r="A192" s="19">
        <v>189</v>
      </c>
      <c r="B192" s="21" t="s">
        <v>191</v>
      </c>
      <c r="C192" s="20" t="s">
        <v>213</v>
      </c>
      <c r="D192" s="345"/>
      <c r="E192" s="22">
        <v>18.600000000000001</v>
      </c>
      <c r="F192" s="23">
        <f t="shared" si="10"/>
        <v>46500</v>
      </c>
      <c r="G192" s="19">
        <v>0</v>
      </c>
      <c r="H192" s="23">
        <v>0</v>
      </c>
      <c r="I192" s="24">
        <v>0</v>
      </c>
      <c r="J192" s="19">
        <v>0</v>
      </c>
      <c r="K192" s="23">
        <v>0</v>
      </c>
      <c r="L192" s="24">
        <v>0</v>
      </c>
      <c r="M192" s="25">
        <v>4.4000000000000004</v>
      </c>
      <c r="N192" s="26">
        <v>11000</v>
      </c>
      <c r="O192" s="27">
        <v>11</v>
      </c>
      <c r="P192" s="28">
        <f t="shared" si="11"/>
        <v>2.8</v>
      </c>
      <c r="Q192" s="29">
        <f t="shared" si="12"/>
        <v>7000</v>
      </c>
      <c r="R192" s="30">
        <v>7</v>
      </c>
      <c r="S192" s="19">
        <v>0</v>
      </c>
      <c r="T192" s="23">
        <v>0</v>
      </c>
      <c r="U192" s="24">
        <v>0</v>
      </c>
      <c r="V192" s="31">
        <f t="shared" si="13"/>
        <v>7.6</v>
      </c>
      <c r="W192" s="32">
        <v>19000</v>
      </c>
      <c r="X192" s="30">
        <v>19</v>
      </c>
      <c r="Y192" s="19">
        <v>0</v>
      </c>
      <c r="Z192" s="23">
        <v>0</v>
      </c>
      <c r="AA192" s="24">
        <v>0</v>
      </c>
      <c r="AB192" s="33">
        <v>0</v>
      </c>
      <c r="AC192" s="34">
        <v>0</v>
      </c>
      <c r="AD192" s="35">
        <v>0</v>
      </c>
      <c r="AE192" s="36">
        <v>0</v>
      </c>
      <c r="AF192" s="23">
        <v>0</v>
      </c>
      <c r="AG192" s="24">
        <v>0</v>
      </c>
      <c r="AH192" s="33">
        <v>0</v>
      </c>
      <c r="AI192" s="37">
        <v>0</v>
      </c>
      <c r="AJ192" s="35">
        <v>0</v>
      </c>
      <c r="AK192" s="36">
        <v>0</v>
      </c>
      <c r="AL192" s="38">
        <v>0</v>
      </c>
      <c r="AM192" s="35">
        <v>0</v>
      </c>
      <c r="AN192" s="19">
        <v>0</v>
      </c>
      <c r="AO192" s="23">
        <v>0</v>
      </c>
      <c r="AP192" s="24">
        <v>0</v>
      </c>
      <c r="AQ192" s="31">
        <f t="shared" si="14"/>
        <v>14.8</v>
      </c>
      <c r="AR192" s="32">
        <f t="shared" si="14"/>
        <v>37000</v>
      </c>
      <c r="AS192" s="30">
        <v>19</v>
      </c>
    </row>
    <row r="193" spans="1:45" ht="16" x14ac:dyDescent="0.2">
      <c r="A193" s="19">
        <v>190</v>
      </c>
      <c r="B193" s="21" t="s">
        <v>191</v>
      </c>
      <c r="C193" s="20" t="s">
        <v>214</v>
      </c>
      <c r="D193" s="345"/>
      <c r="E193" s="22">
        <v>11</v>
      </c>
      <c r="F193" s="23">
        <f t="shared" si="10"/>
        <v>27500</v>
      </c>
      <c r="G193" s="19">
        <v>0</v>
      </c>
      <c r="H193" s="23">
        <v>0</v>
      </c>
      <c r="I193" s="24">
        <v>0</v>
      </c>
      <c r="J193" s="19">
        <v>0</v>
      </c>
      <c r="K193" s="23">
        <v>0</v>
      </c>
      <c r="L193" s="24">
        <v>0</v>
      </c>
      <c r="M193" s="25">
        <v>1.6</v>
      </c>
      <c r="N193" s="26">
        <v>4000</v>
      </c>
      <c r="O193" s="27">
        <v>4</v>
      </c>
      <c r="P193" s="28">
        <f t="shared" si="11"/>
        <v>1.6</v>
      </c>
      <c r="Q193" s="29">
        <f t="shared" si="12"/>
        <v>4000</v>
      </c>
      <c r="R193" s="30">
        <v>4</v>
      </c>
      <c r="S193" s="19">
        <v>0</v>
      </c>
      <c r="T193" s="23">
        <v>0</v>
      </c>
      <c r="U193" s="24">
        <v>0</v>
      </c>
      <c r="V193" s="31">
        <f t="shared" si="13"/>
        <v>3.2</v>
      </c>
      <c r="W193" s="32">
        <v>8000</v>
      </c>
      <c r="X193" s="30">
        <v>8</v>
      </c>
      <c r="Y193" s="19">
        <v>0</v>
      </c>
      <c r="Z193" s="23">
        <v>0</v>
      </c>
      <c r="AA193" s="24">
        <v>0</v>
      </c>
      <c r="AB193" s="33">
        <v>0</v>
      </c>
      <c r="AC193" s="34">
        <v>0</v>
      </c>
      <c r="AD193" s="35">
        <v>0</v>
      </c>
      <c r="AE193" s="36">
        <v>0</v>
      </c>
      <c r="AF193" s="23">
        <v>0</v>
      </c>
      <c r="AG193" s="24">
        <v>0</v>
      </c>
      <c r="AH193" s="33">
        <v>0</v>
      </c>
      <c r="AI193" s="37">
        <v>0</v>
      </c>
      <c r="AJ193" s="35">
        <v>0</v>
      </c>
      <c r="AK193" s="36">
        <v>0</v>
      </c>
      <c r="AL193" s="38">
        <v>0</v>
      </c>
      <c r="AM193" s="35">
        <v>0</v>
      </c>
      <c r="AN193" s="19">
        <v>0</v>
      </c>
      <c r="AO193" s="23">
        <v>0</v>
      </c>
      <c r="AP193" s="24">
        <v>0</v>
      </c>
      <c r="AQ193" s="31">
        <f t="shared" si="14"/>
        <v>6.4</v>
      </c>
      <c r="AR193" s="32">
        <f t="shared" si="14"/>
        <v>16000</v>
      </c>
      <c r="AS193" s="30">
        <v>8</v>
      </c>
    </row>
    <row r="194" spans="1:45" ht="16" x14ac:dyDescent="0.2">
      <c r="A194" s="19">
        <v>191</v>
      </c>
      <c r="B194" s="21" t="s">
        <v>215</v>
      </c>
      <c r="C194" s="20" t="s">
        <v>216</v>
      </c>
      <c r="D194" s="345"/>
      <c r="E194" s="22">
        <v>21</v>
      </c>
      <c r="F194" s="23">
        <f t="shared" si="10"/>
        <v>52500</v>
      </c>
      <c r="G194" s="19">
        <v>0</v>
      </c>
      <c r="H194" s="23">
        <v>0</v>
      </c>
      <c r="I194" s="24">
        <v>0</v>
      </c>
      <c r="J194" s="19">
        <v>0</v>
      </c>
      <c r="K194" s="23">
        <v>0</v>
      </c>
      <c r="L194" s="24">
        <v>0</v>
      </c>
      <c r="M194" s="25">
        <v>7.6</v>
      </c>
      <c r="N194" s="26">
        <v>19000</v>
      </c>
      <c r="O194" s="27">
        <v>19</v>
      </c>
      <c r="P194" s="28">
        <f t="shared" si="11"/>
        <v>3.6</v>
      </c>
      <c r="Q194" s="29">
        <f t="shared" si="12"/>
        <v>9000</v>
      </c>
      <c r="R194" s="30">
        <v>9</v>
      </c>
      <c r="S194" s="19">
        <v>0</v>
      </c>
      <c r="T194" s="23">
        <v>0</v>
      </c>
      <c r="U194" s="24">
        <v>0</v>
      </c>
      <c r="V194" s="31">
        <f t="shared" si="13"/>
        <v>11.2</v>
      </c>
      <c r="W194" s="32">
        <v>28000</v>
      </c>
      <c r="X194" s="30">
        <v>28</v>
      </c>
      <c r="Y194" s="19">
        <v>0</v>
      </c>
      <c r="Z194" s="23">
        <v>0</v>
      </c>
      <c r="AA194" s="24">
        <v>0</v>
      </c>
      <c r="AB194" s="33">
        <v>0</v>
      </c>
      <c r="AC194" s="34">
        <v>0</v>
      </c>
      <c r="AD194" s="35">
        <v>0</v>
      </c>
      <c r="AE194" s="36">
        <v>0</v>
      </c>
      <c r="AF194" s="23">
        <v>0</v>
      </c>
      <c r="AG194" s="24">
        <v>0</v>
      </c>
      <c r="AH194" s="33">
        <v>0</v>
      </c>
      <c r="AI194" s="37">
        <v>0</v>
      </c>
      <c r="AJ194" s="35">
        <v>0</v>
      </c>
      <c r="AK194" s="36">
        <v>0</v>
      </c>
      <c r="AL194" s="38">
        <v>0</v>
      </c>
      <c r="AM194" s="35">
        <v>0</v>
      </c>
      <c r="AN194" s="19">
        <v>0</v>
      </c>
      <c r="AO194" s="23">
        <v>0</v>
      </c>
      <c r="AP194" s="24">
        <v>0</v>
      </c>
      <c r="AQ194" s="31">
        <f t="shared" si="14"/>
        <v>22.4</v>
      </c>
      <c r="AR194" s="32">
        <f t="shared" si="14"/>
        <v>56000</v>
      </c>
      <c r="AS194" s="30">
        <v>28</v>
      </c>
    </row>
    <row r="195" spans="1:45" ht="16" x14ac:dyDescent="0.2">
      <c r="A195" s="19">
        <v>192</v>
      </c>
      <c r="B195" s="21" t="s">
        <v>215</v>
      </c>
      <c r="C195" s="20" t="s">
        <v>217</v>
      </c>
      <c r="D195" s="345"/>
      <c r="E195" s="22">
        <v>21.8</v>
      </c>
      <c r="F195" s="23">
        <f t="shared" si="10"/>
        <v>54500</v>
      </c>
      <c r="G195" s="19">
        <v>0</v>
      </c>
      <c r="H195" s="23">
        <v>0</v>
      </c>
      <c r="I195" s="24">
        <v>0</v>
      </c>
      <c r="J195" s="19">
        <v>0</v>
      </c>
      <c r="K195" s="23">
        <v>0</v>
      </c>
      <c r="L195" s="24">
        <v>0</v>
      </c>
      <c r="M195" s="25">
        <v>7.6</v>
      </c>
      <c r="N195" s="26">
        <v>19000</v>
      </c>
      <c r="O195" s="27">
        <v>19</v>
      </c>
      <c r="P195" s="28">
        <f t="shared" si="11"/>
        <v>2</v>
      </c>
      <c r="Q195" s="29">
        <f t="shared" si="12"/>
        <v>5000</v>
      </c>
      <c r="R195" s="30">
        <v>5</v>
      </c>
      <c r="S195" s="19">
        <v>0</v>
      </c>
      <c r="T195" s="23">
        <v>0</v>
      </c>
      <c r="U195" s="24">
        <v>0</v>
      </c>
      <c r="V195" s="31">
        <f t="shared" si="13"/>
        <v>9.6</v>
      </c>
      <c r="W195" s="32">
        <v>24000</v>
      </c>
      <c r="X195" s="30">
        <v>24</v>
      </c>
      <c r="Y195" s="19">
        <v>0</v>
      </c>
      <c r="Z195" s="23">
        <v>0</v>
      </c>
      <c r="AA195" s="24">
        <v>0</v>
      </c>
      <c r="AB195" s="33">
        <v>0</v>
      </c>
      <c r="AC195" s="34">
        <v>0</v>
      </c>
      <c r="AD195" s="35">
        <v>0</v>
      </c>
      <c r="AE195" s="36">
        <v>0</v>
      </c>
      <c r="AF195" s="23">
        <v>0</v>
      </c>
      <c r="AG195" s="24">
        <v>0</v>
      </c>
      <c r="AH195" s="33">
        <v>0</v>
      </c>
      <c r="AI195" s="37">
        <v>0</v>
      </c>
      <c r="AJ195" s="35">
        <v>0</v>
      </c>
      <c r="AK195" s="36">
        <v>0</v>
      </c>
      <c r="AL195" s="38">
        <v>0</v>
      </c>
      <c r="AM195" s="35">
        <v>0</v>
      </c>
      <c r="AN195" s="19">
        <v>0</v>
      </c>
      <c r="AO195" s="23">
        <v>0</v>
      </c>
      <c r="AP195" s="24">
        <v>0</v>
      </c>
      <c r="AQ195" s="31">
        <f t="shared" si="14"/>
        <v>19.2</v>
      </c>
      <c r="AR195" s="32">
        <f t="shared" si="14"/>
        <v>48000</v>
      </c>
      <c r="AS195" s="30">
        <v>24</v>
      </c>
    </row>
    <row r="196" spans="1:45" ht="16" x14ac:dyDescent="0.2">
      <c r="A196" s="19">
        <v>193</v>
      </c>
      <c r="B196" s="21" t="s">
        <v>215</v>
      </c>
      <c r="C196" s="20" t="s">
        <v>218</v>
      </c>
      <c r="D196" s="345"/>
      <c r="E196" s="22">
        <v>18.8</v>
      </c>
      <c r="F196" s="23">
        <f t="shared" si="10"/>
        <v>47000</v>
      </c>
      <c r="G196" s="19">
        <v>0</v>
      </c>
      <c r="H196" s="23">
        <v>0</v>
      </c>
      <c r="I196" s="24">
        <v>0</v>
      </c>
      <c r="J196" s="19">
        <v>0</v>
      </c>
      <c r="K196" s="23">
        <v>0</v>
      </c>
      <c r="L196" s="24">
        <v>0</v>
      </c>
      <c r="M196" s="25">
        <v>6.4</v>
      </c>
      <c r="N196" s="26">
        <v>16000</v>
      </c>
      <c r="O196" s="27">
        <v>16</v>
      </c>
      <c r="P196" s="28">
        <f t="shared" si="11"/>
        <v>8</v>
      </c>
      <c r="Q196" s="29">
        <f t="shared" si="12"/>
        <v>20000</v>
      </c>
      <c r="R196" s="30">
        <v>20</v>
      </c>
      <c r="S196" s="19">
        <v>0</v>
      </c>
      <c r="T196" s="23">
        <v>0</v>
      </c>
      <c r="U196" s="24">
        <v>0</v>
      </c>
      <c r="V196" s="31">
        <f t="shared" si="13"/>
        <v>14</v>
      </c>
      <c r="W196" s="32">
        <v>35000</v>
      </c>
      <c r="X196" s="30">
        <v>35</v>
      </c>
      <c r="Y196" s="19">
        <v>0</v>
      </c>
      <c r="Z196" s="23">
        <v>0</v>
      </c>
      <c r="AA196" s="24">
        <v>0</v>
      </c>
      <c r="AB196" s="33">
        <v>0</v>
      </c>
      <c r="AC196" s="34">
        <v>0</v>
      </c>
      <c r="AD196" s="35">
        <v>0</v>
      </c>
      <c r="AE196" s="36">
        <v>0</v>
      </c>
      <c r="AF196" s="23">
        <v>0</v>
      </c>
      <c r="AG196" s="24">
        <v>0</v>
      </c>
      <c r="AH196" s="33">
        <v>0</v>
      </c>
      <c r="AI196" s="37">
        <v>0</v>
      </c>
      <c r="AJ196" s="35">
        <v>0</v>
      </c>
      <c r="AK196" s="36">
        <v>0</v>
      </c>
      <c r="AL196" s="38">
        <v>0</v>
      </c>
      <c r="AM196" s="35">
        <v>0</v>
      </c>
      <c r="AN196" s="19">
        <v>0</v>
      </c>
      <c r="AO196" s="23">
        <v>0</v>
      </c>
      <c r="AP196" s="24">
        <v>0</v>
      </c>
      <c r="AQ196" s="31">
        <f t="shared" si="14"/>
        <v>28.4</v>
      </c>
      <c r="AR196" s="32">
        <f t="shared" si="14"/>
        <v>71000</v>
      </c>
      <c r="AS196" s="30">
        <v>37</v>
      </c>
    </row>
    <row r="197" spans="1:45" ht="16" x14ac:dyDescent="0.2">
      <c r="A197" s="19">
        <v>194</v>
      </c>
      <c r="B197" s="21" t="s">
        <v>215</v>
      </c>
      <c r="C197" s="20" t="s">
        <v>219</v>
      </c>
      <c r="D197" s="345"/>
      <c r="E197" s="22">
        <v>11</v>
      </c>
      <c r="F197" s="23">
        <f t="shared" ref="F197:F260" si="15">E197*2500</f>
        <v>27500</v>
      </c>
      <c r="G197" s="19">
        <v>0</v>
      </c>
      <c r="H197" s="23">
        <v>0</v>
      </c>
      <c r="I197" s="24">
        <v>0</v>
      </c>
      <c r="J197" s="19">
        <v>0</v>
      </c>
      <c r="K197" s="23">
        <v>0</v>
      </c>
      <c r="L197" s="24">
        <v>0</v>
      </c>
      <c r="M197" s="25">
        <v>3.6</v>
      </c>
      <c r="N197" s="26">
        <v>9000</v>
      </c>
      <c r="O197" s="27">
        <v>9</v>
      </c>
      <c r="P197" s="28">
        <f t="shared" ref="P197:P260" si="16">Q197/2500</f>
        <v>1.2</v>
      </c>
      <c r="Q197" s="29">
        <f t="shared" ref="Q197:Q260" si="17">R197*1000</f>
        <v>3000</v>
      </c>
      <c r="R197" s="30">
        <v>3</v>
      </c>
      <c r="S197" s="19">
        <v>0</v>
      </c>
      <c r="T197" s="23">
        <v>0</v>
      </c>
      <c r="U197" s="24">
        <v>0</v>
      </c>
      <c r="V197" s="31">
        <f t="shared" ref="V197:V260" si="18">W197/2500</f>
        <v>4.8</v>
      </c>
      <c r="W197" s="32">
        <v>12000</v>
      </c>
      <c r="X197" s="30">
        <v>12</v>
      </c>
      <c r="Y197" s="19">
        <v>0</v>
      </c>
      <c r="Z197" s="23">
        <v>0</v>
      </c>
      <c r="AA197" s="24">
        <v>0</v>
      </c>
      <c r="AB197" s="33">
        <v>0</v>
      </c>
      <c r="AC197" s="34">
        <v>0</v>
      </c>
      <c r="AD197" s="35">
        <v>0</v>
      </c>
      <c r="AE197" s="36">
        <v>0</v>
      </c>
      <c r="AF197" s="23">
        <v>0</v>
      </c>
      <c r="AG197" s="24">
        <v>0</v>
      </c>
      <c r="AH197" s="33">
        <v>0</v>
      </c>
      <c r="AI197" s="37">
        <v>0</v>
      </c>
      <c r="AJ197" s="35">
        <v>0</v>
      </c>
      <c r="AK197" s="36">
        <v>0</v>
      </c>
      <c r="AL197" s="38">
        <v>0</v>
      </c>
      <c r="AM197" s="35">
        <v>0</v>
      </c>
      <c r="AN197" s="19">
        <v>0</v>
      </c>
      <c r="AO197" s="23">
        <v>0</v>
      </c>
      <c r="AP197" s="24">
        <v>0</v>
      </c>
      <c r="AQ197" s="31">
        <f t="shared" ref="AQ197:AR260" si="19">G197+J197+M197+P197+S197+V197+Y197+AB197+AE197+AH197+AK197+AN197</f>
        <v>9.6</v>
      </c>
      <c r="AR197" s="32">
        <f t="shared" si="19"/>
        <v>24000</v>
      </c>
      <c r="AS197" s="30">
        <v>12</v>
      </c>
    </row>
    <row r="198" spans="1:45" ht="16" x14ac:dyDescent="0.2">
      <c r="A198" s="19">
        <v>195</v>
      </c>
      <c r="B198" s="21" t="s">
        <v>215</v>
      </c>
      <c r="C198" s="20" t="s">
        <v>220</v>
      </c>
      <c r="D198" s="345"/>
      <c r="E198" s="22">
        <v>16.799999999999994</v>
      </c>
      <c r="F198" s="23">
        <f t="shared" si="15"/>
        <v>41999.999999999985</v>
      </c>
      <c r="G198" s="19">
        <v>0</v>
      </c>
      <c r="H198" s="23">
        <v>0</v>
      </c>
      <c r="I198" s="24">
        <v>0</v>
      </c>
      <c r="J198" s="19">
        <v>0</v>
      </c>
      <c r="K198" s="23">
        <v>0</v>
      </c>
      <c r="L198" s="24">
        <v>0</v>
      </c>
      <c r="M198" s="25">
        <v>6</v>
      </c>
      <c r="N198" s="26">
        <v>15000</v>
      </c>
      <c r="O198" s="27">
        <v>15</v>
      </c>
      <c r="P198" s="28">
        <f t="shared" si="16"/>
        <v>0</v>
      </c>
      <c r="Q198" s="29">
        <f t="shared" si="17"/>
        <v>0</v>
      </c>
      <c r="R198" s="30">
        <v>0</v>
      </c>
      <c r="S198" s="19">
        <v>0</v>
      </c>
      <c r="T198" s="23">
        <v>0</v>
      </c>
      <c r="U198" s="24">
        <v>0</v>
      </c>
      <c r="V198" s="31">
        <f t="shared" si="18"/>
        <v>6</v>
      </c>
      <c r="W198" s="32">
        <v>15000</v>
      </c>
      <c r="X198" s="30">
        <v>15</v>
      </c>
      <c r="Y198" s="19">
        <v>0</v>
      </c>
      <c r="Z198" s="23">
        <v>0</v>
      </c>
      <c r="AA198" s="24">
        <v>0</v>
      </c>
      <c r="AB198" s="33">
        <v>0</v>
      </c>
      <c r="AC198" s="34">
        <v>0</v>
      </c>
      <c r="AD198" s="35">
        <v>0</v>
      </c>
      <c r="AE198" s="36">
        <v>0</v>
      </c>
      <c r="AF198" s="23">
        <v>0</v>
      </c>
      <c r="AG198" s="24">
        <v>0</v>
      </c>
      <c r="AH198" s="33">
        <v>0</v>
      </c>
      <c r="AI198" s="37">
        <v>0</v>
      </c>
      <c r="AJ198" s="35">
        <v>0</v>
      </c>
      <c r="AK198" s="36">
        <v>0</v>
      </c>
      <c r="AL198" s="38">
        <v>0</v>
      </c>
      <c r="AM198" s="35">
        <v>0</v>
      </c>
      <c r="AN198" s="19">
        <v>0</v>
      </c>
      <c r="AO198" s="23">
        <v>0</v>
      </c>
      <c r="AP198" s="24">
        <v>0</v>
      </c>
      <c r="AQ198" s="31">
        <f t="shared" si="19"/>
        <v>12</v>
      </c>
      <c r="AR198" s="32">
        <f t="shared" si="19"/>
        <v>30000</v>
      </c>
      <c r="AS198" s="30">
        <v>15</v>
      </c>
    </row>
    <row r="199" spans="1:45" ht="16" x14ac:dyDescent="0.2">
      <c r="A199" s="19">
        <v>196</v>
      </c>
      <c r="B199" s="21" t="s">
        <v>215</v>
      </c>
      <c r="C199" s="20" t="s">
        <v>221</v>
      </c>
      <c r="D199" s="345"/>
      <c r="E199" s="22">
        <v>7</v>
      </c>
      <c r="F199" s="23">
        <f t="shared" si="15"/>
        <v>17500</v>
      </c>
      <c r="G199" s="19">
        <v>0</v>
      </c>
      <c r="H199" s="23">
        <v>0</v>
      </c>
      <c r="I199" s="24">
        <v>0</v>
      </c>
      <c r="J199" s="19">
        <v>0</v>
      </c>
      <c r="K199" s="23">
        <v>0</v>
      </c>
      <c r="L199" s="24">
        <v>0</v>
      </c>
      <c r="M199" s="25">
        <v>2.8</v>
      </c>
      <c r="N199" s="26">
        <v>7000</v>
      </c>
      <c r="O199" s="27">
        <v>7</v>
      </c>
      <c r="P199" s="28">
        <f t="shared" si="16"/>
        <v>1.2</v>
      </c>
      <c r="Q199" s="29">
        <f t="shared" si="17"/>
        <v>3000</v>
      </c>
      <c r="R199" s="30">
        <v>3</v>
      </c>
      <c r="S199" s="19">
        <v>0</v>
      </c>
      <c r="T199" s="23">
        <v>0</v>
      </c>
      <c r="U199" s="24">
        <v>0</v>
      </c>
      <c r="V199" s="31">
        <f t="shared" si="18"/>
        <v>4</v>
      </c>
      <c r="W199" s="32">
        <v>10000</v>
      </c>
      <c r="X199" s="30">
        <v>10</v>
      </c>
      <c r="Y199" s="19">
        <v>0</v>
      </c>
      <c r="Z199" s="23">
        <v>0</v>
      </c>
      <c r="AA199" s="24">
        <v>0</v>
      </c>
      <c r="AB199" s="33">
        <v>0</v>
      </c>
      <c r="AC199" s="34">
        <v>0</v>
      </c>
      <c r="AD199" s="35">
        <v>0</v>
      </c>
      <c r="AE199" s="36">
        <v>0</v>
      </c>
      <c r="AF199" s="23">
        <v>0</v>
      </c>
      <c r="AG199" s="24">
        <v>0</v>
      </c>
      <c r="AH199" s="33">
        <v>0</v>
      </c>
      <c r="AI199" s="37">
        <v>0</v>
      </c>
      <c r="AJ199" s="35">
        <v>0</v>
      </c>
      <c r="AK199" s="36">
        <v>0</v>
      </c>
      <c r="AL199" s="38">
        <v>0</v>
      </c>
      <c r="AM199" s="35">
        <v>0</v>
      </c>
      <c r="AN199" s="19">
        <v>0</v>
      </c>
      <c r="AO199" s="23">
        <v>0</v>
      </c>
      <c r="AP199" s="24">
        <v>0</v>
      </c>
      <c r="AQ199" s="31">
        <f t="shared" si="19"/>
        <v>8</v>
      </c>
      <c r="AR199" s="32">
        <f t="shared" si="19"/>
        <v>20000</v>
      </c>
      <c r="AS199" s="30">
        <v>10</v>
      </c>
    </row>
    <row r="200" spans="1:45" ht="16" x14ac:dyDescent="0.2">
      <c r="A200" s="19">
        <v>197</v>
      </c>
      <c r="B200" s="21" t="s">
        <v>215</v>
      </c>
      <c r="C200" s="20" t="s">
        <v>222</v>
      </c>
      <c r="D200" s="345"/>
      <c r="E200" s="22">
        <v>14</v>
      </c>
      <c r="F200" s="23">
        <f t="shared" si="15"/>
        <v>35000</v>
      </c>
      <c r="G200" s="19">
        <v>0</v>
      </c>
      <c r="H200" s="23">
        <v>0</v>
      </c>
      <c r="I200" s="24">
        <v>0</v>
      </c>
      <c r="J200" s="19">
        <v>0</v>
      </c>
      <c r="K200" s="23">
        <v>0</v>
      </c>
      <c r="L200" s="24">
        <v>0</v>
      </c>
      <c r="M200" s="25">
        <v>7.6</v>
      </c>
      <c r="N200" s="26">
        <v>19000</v>
      </c>
      <c r="O200" s="27">
        <v>19</v>
      </c>
      <c r="P200" s="28">
        <f t="shared" si="16"/>
        <v>2.4</v>
      </c>
      <c r="Q200" s="29">
        <f t="shared" si="17"/>
        <v>6000</v>
      </c>
      <c r="R200" s="30">
        <v>6</v>
      </c>
      <c r="S200" s="19">
        <v>0</v>
      </c>
      <c r="T200" s="23">
        <v>0</v>
      </c>
      <c r="U200" s="24">
        <v>0</v>
      </c>
      <c r="V200" s="31">
        <f t="shared" si="18"/>
        <v>10</v>
      </c>
      <c r="W200" s="32">
        <v>25000</v>
      </c>
      <c r="X200" s="30">
        <v>25</v>
      </c>
      <c r="Y200" s="19">
        <v>0</v>
      </c>
      <c r="Z200" s="23">
        <v>0</v>
      </c>
      <c r="AA200" s="24">
        <v>0</v>
      </c>
      <c r="AB200" s="33">
        <v>0</v>
      </c>
      <c r="AC200" s="34">
        <v>0</v>
      </c>
      <c r="AD200" s="35">
        <v>0</v>
      </c>
      <c r="AE200" s="36">
        <v>0</v>
      </c>
      <c r="AF200" s="23">
        <v>0</v>
      </c>
      <c r="AG200" s="24">
        <v>0</v>
      </c>
      <c r="AH200" s="33">
        <v>0</v>
      </c>
      <c r="AI200" s="37">
        <v>0</v>
      </c>
      <c r="AJ200" s="35">
        <v>0</v>
      </c>
      <c r="AK200" s="36">
        <v>0</v>
      </c>
      <c r="AL200" s="38">
        <v>0</v>
      </c>
      <c r="AM200" s="35">
        <v>0</v>
      </c>
      <c r="AN200" s="19">
        <v>0</v>
      </c>
      <c r="AO200" s="23">
        <v>0</v>
      </c>
      <c r="AP200" s="24">
        <v>0</v>
      </c>
      <c r="AQ200" s="31">
        <f t="shared" si="19"/>
        <v>20</v>
      </c>
      <c r="AR200" s="32">
        <f t="shared" si="19"/>
        <v>50000</v>
      </c>
      <c r="AS200" s="30">
        <v>25</v>
      </c>
    </row>
    <row r="201" spans="1:45" ht="16" x14ac:dyDescent="0.2">
      <c r="A201" s="19">
        <v>198</v>
      </c>
      <c r="B201" s="21" t="s">
        <v>215</v>
      </c>
      <c r="C201" s="20" t="s">
        <v>223</v>
      </c>
      <c r="D201" s="345"/>
      <c r="E201" s="22">
        <v>7</v>
      </c>
      <c r="F201" s="23">
        <f t="shared" si="15"/>
        <v>17500</v>
      </c>
      <c r="G201" s="19">
        <v>0</v>
      </c>
      <c r="H201" s="23">
        <v>0</v>
      </c>
      <c r="I201" s="24">
        <v>0</v>
      </c>
      <c r="J201" s="19">
        <v>0</v>
      </c>
      <c r="K201" s="23">
        <v>0</v>
      </c>
      <c r="L201" s="24">
        <v>0</v>
      </c>
      <c r="M201" s="25">
        <v>2</v>
      </c>
      <c r="N201" s="26">
        <v>5000</v>
      </c>
      <c r="O201" s="27">
        <v>5</v>
      </c>
      <c r="P201" s="28">
        <f t="shared" si="16"/>
        <v>0.4</v>
      </c>
      <c r="Q201" s="29">
        <f t="shared" si="17"/>
        <v>1000</v>
      </c>
      <c r="R201" s="30">
        <v>1</v>
      </c>
      <c r="S201" s="19">
        <v>0</v>
      </c>
      <c r="T201" s="23">
        <v>0</v>
      </c>
      <c r="U201" s="24">
        <v>0</v>
      </c>
      <c r="V201" s="31">
        <f t="shared" si="18"/>
        <v>2.4</v>
      </c>
      <c r="W201" s="32">
        <v>6000</v>
      </c>
      <c r="X201" s="30">
        <v>6</v>
      </c>
      <c r="Y201" s="19">
        <v>0</v>
      </c>
      <c r="Z201" s="23">
        <v>0</v>
      </c>
      <c r="AA201" s="24">
        <v>0</v>
      </c>
      <c r="AB201" s="33">
        <v>0</v>
      </c>
      <c r="AC201" s="34">
        <v>0</v>
      </c>
      <c r="AD201" s="35">
        <v>0</v>
      </c>
      <c r="AE201" s="36">
        <v>0</v>
      </c>
      <c r="AF201" s="23">
        <v>0</v>
      </c>
      <c r="AG201" s="24">
        <v>0</v>
      </c>
      <c r="AH201" s="33">
        <v>0</v>
      </c>
      <c r="AI201" s="37">
        <v>0</v>
      </c>
      <c r="AJ201" s="35">
        <v>0</v>
      </c>
      <c r="AK201" s="36">
        <v>0</v>
      </c>
      <c r="AL201" s="38">
        <v>0</v>
      </c>
      <c r="AM201" s="35">
        <v>0</v>
      </c>
      <c r="AN201" s="19">
        <v>0</v>
      </c>
      <c r="AO201" s="23">
        <v>0</v>
      </c>
      <c r="AP201" s="24">
        <v>0</v>
      </c>
      <c r="AQ201" s="31">
        <f t="shared" si="19"/>
        <v>4.8</v>
      </c>
      <c r="AR201" s="32">
        <f t="shared" si="19"/>
        <v>12000</v>
      </c>
      <c r="AS201" s="30">
        <v>6</v>
      </c>
    </row>
    <row r="202" spans="1:45" ht="16" x14ac:dyDescent="0.2">
      <c r="A202" s="19">
        <v>199</v>
      </c>
      <c r="B202" s="21" t="s">
        <v>215</v>
      </c>
      <c r="C202" s="20" t="s">
        <v>224</v>
      </c>
      <c r="D202" s="345"/>
      <c r="E202" s="22">
        <v>23</v>
      </c>
      <c r="F202" s="23">
        <f t="shared" si="15"/>
        <v>57500</v>
      </c>
      <c r="G202" s="19">
        <v>0</v>
      </c>
      <c r="H202" s="23">
        <v>0</v>
      </c>
      <c r="I202" s="24">
        <v>0</v>
      </c>
      <c r="J202" s="19">
        <v>0</v>
      </c>
      <c r="K202" s="23">
        <v>0</v>
      </c>
      <c r="L202" s="24">
        <v>0</v>
      </c>
      <c r="M202" s="25">
        <v>5.6</v>
      </c>
      <c r="N202" s="26">
        <v>14000</v>
      </c>
      <c r="O202" s="27">
        <v>14</v>
      </c>
      <c r="P202" s="28">
        <f t="shared" si="16"/>
        <v>2</v>
      </c>
      <c r="Q202" s="29">
        <f t="shared" si="17"/>
        <v>5000</v>
      </c>
      <c r="R202" s="30">
        <v>5</v>
      </c>
      <c r="S202" s="19">
        <v>0</v>
      </c>
      <c r="T202" s="23">
        <v>0</v>
      </c>
      <c r="U202" s="24">
        <v>0</v>
      </c>
      <c r="V202" s="31">
        <f t="shared" si="18"/>
        <v>7.6</v>
      </c>
      <c r="W202" s="32">
        <v>19000</v>
      </c>
      <c r="X202" s="30">
        <v>19</v>
      </c>
      <c r="Y202" s="19">
        <v>0</v>
      </c>
      <c r="Z202" s="23">
        <v>0</v>
      </c>
      <c r="AA202" s="24">
        <v>0</v>
      </c>
      <c r="AB202" s="33">
        <v>0</v>
      </c>
      <c r="AC202" s="34">
        <v>0</v>
      </c>
      <c r="AD202" s="35">
        <v>0</v>
      </c>
      <c r="AE202" s="36">
        <v>0</v>
      </c>
      <c r="AF202" s="23">
        <v>0</v>
      </c>
      <c r="AG202" s="24">
        <v>0</v>
      </c>
      <c r="AH202" s="33">
        <v>0</v>
      </c>
      <c r="AI202" s="37">
        <v>0</v>
      </c>
      <c r="AJ202" s="35">
        <v>0</v>
      </c>
      <c r="AK202" s="36">
        <v>0</v>
      </c>
      <c r="AL202" s="38">
        <v>0</v>
      </c>
      <c r="AM202" s="35">
        <v>0</v>
      </c>
      <c r="AN202" s="19">
        <v>0</v>
      </c>
      <c r="AO202" s="23">
        <v>0</v>
      </c>
      <c r="AP202" s="24">
        <v>0</v>
      </c>
      <c r="AQ202" s="31">
        <f t="shared" si="19"/>
        <v>15.2</v>
      </c>
      <c r="AR202" s="32">
        <f t="shared" si="19"/>
        <v>38000</v>
      </c>
      <c r="AS202" s="30">
        <v>19</v>
      </c>
    </row>
    <row r="203" spans="1:45" ht="16" x14ac:dyDescent="0.2">
      <c r="A203" s="19">
        <v>200</v>
      </c>
      <c r="B203" s="21" t="s">
        <v>215</v>
      </c>
      <c r="C203" s="20" t="s">
        <v>225</v>
      </c>
      <c r="D203" s="345"/>
      <c r="E203" s="22">
        <v>9</v>
      </c>
      <c r="F203" s="23">
        <f t="shared" si="15"/>
        <v>22500</v>
      </c>
      <c r="G203" s="19">
        <v>0</v>
      </c>
      <c r="H203" s="23">
        <v>0</v>
      </c>
      <c r="I203" s="24">
        <v>0</v>
      </c>
      <c r="J203" s="19">
        <v>0</v>
      </c>
      <c r="K203" s="23">
        <v>0</v>
      </c>
      <c r="L203" s="24">
        <v>0</v>
      </c>
      <c r="M203" s="25">
        <v>2.4</v>
      </c>
      <c r="N203" s="26">
        <v>6000</v>
      </c>
      <c r="O203" s="27">
        <v>6</v>
      </c>
      <c r="P203" s="28">
        <f t="shared" si="16"/>
        <v>2</v>
      </c>
      <c r="Q203" s="29">
        <f t="shared" si="17"/>
        <v>5000</v>
      </c>
      <c r="R203" s="30">
        <v>5</v>
      </c>
      <c r="S203" s="19">
        <v>0</v>
      </c>
      <c r="T203" s="23">
        <v>0</v>
      </c>
      <c r="U203" s="24">
        <v>0</v>
      </c>
      <c r="V203" s="31">
        <f t="shared" si="18"/>
        <v>4.4000000000000004</v>
      </c>
      <c r="W203" s="32">
        <v>11000</v>
      </c>
      <c r="X203" s="30">
        <v>11</v>
      </c>
      <c r="Y203" s="19">
        <v>0</v>
      </c>
      <c r="Z203" s="23">
        <v>0</v>
      </c>
      <c r="AA203" s="24">
        <v>0</v>
      </c>
      <c r="AB203" s="33">
        <v>0</v>
      </c>
      <c r="AC203" s="34">
        <v>0</v>
      </c>
      <c r="AD203" s="35">
        <v>0</v>
      </c>
      <c r="AE203" s="36">
        <v>0</v>
      </c>
      <c r="AF203" s="23">
        <v>0</v>
      </c>
      <c r="AG203" s="24">
        <v>0</v>
      </c>
      <c r="AH203" s="33">
        <v>0</v>
      </c>
      <c r="AI203" s="37">
        <v>0</v>
      </c>
      <c r="AJ203" s="35">
        <v>0</v>
      </c>
      <c r="AK203" s="36">
        <v>0</v>
      </c>
      <c r="AL203" s="38">
        <v>0</v>
      </c>
      <c r="AM203" s="35">
        <v>0</v>
      </c>
      <c r="AN203" s="19">
        <v>0</v>
      </c>
      <c r="AO203" s="23">
        <v>0</v>
      </c>
      <c r="AP203" s="24">
        <v>0</v>
      </c>
      <c r="AQ203" s="31">
        <f t="shared" si="19"/>
        <v>8.8000000000000007</v>
      </c>
      <c r="AR203" s="32">
        <f t="shared" si="19"/>
        <v>22000</v>
      </c>
      <c r="AS203" s="30">
        <v>11</v>
      </c>
    </row>
    <row r="204" spans="1:45" ht="16" x14ac:dyDescent="0.2">
      <c r="A204" s="19">
        <v>201</v>
      </c>
      <c r="B204" s="21" t="s">
        <v>215</v>
      </c>
      <c r="C204" s="20" t="s">
        <v>226</v>
      </c>
      <c r="D204" s="345"/>
      <c r="E204" s="22">
        <v>17</v>
      </c>
      <c r="F204" s="23">
        <f t="shared" si="15"/>
        <v>42500</v>
      </c>
      <c r="G204" s="19">
        <v>0</v>
      </c>
      <c r="H204" s="23">
        <v>0</v>
      </c>
      <c r="I204" s="24">
        <v>0</v>
      </c>
      <c r="J204" s="19">
        <v>0</v>
      </c>
      <c r="K204" s="23">
        <v>0</v>
      </c>
      <c r="L204" s="24">
        <v>0</v>
      </c>
      <c r="M204" s="25">
        <v>8</v>
      </c>
      <c r="N204" s="26">
        <v>20000</v>
      </c>
      <c r="O204" s="27">
        <v>20</v>
      </c>
      <c r="P204" s="28">
        <f t="shared" si="16"/>
        <v>1.2</v>
      </c>
      <c r="Q204" s="29">
        <f t="shared" si="17"/>
        <v>3000</v>
      </c>
      <c r="R204" s="30">
        <v>3</v>
      </c>
      <c r="S204" s="19">
        <v>0</v>
      </c>
      <c r="T204" s="23">
        <v>0</v>
      </c>
      <c r="U204" s="24">
        <v>0</v>
      </c>
      <c r="V204" s="31">
        <f t="shared" si="18"/>
        <v>9.1999999999999993</v>
      </c>
      <c r="W204" s="32">
        <v>23000</v>
      </c>
      <c r="X204" s="30">
        <v>23</v>
      </c>
      <c r="Y204" s="19">
        <v>0</v>
      </c>
      <c r="Z204" s="23">
        <v>0</v>
      </c>
      <c r="AA204" s="24">
        <v>0</v>
      </c>
      <c r="AB204" s="33">
        <v>0</v>
      </c>
      <c r="AC204" s="34">
        <v>0</v>
      </c>
      <c r="AD204" s="35">
        <v>0</v>
      </c>
      <c r="AE204" s="36">
        <v>0</v>
      </c>
      <c r="AF204" s="23">
        <v>0</v>
      </c>
      <c r="AG204" s="24">
        <v>0</v>
      </c>
      <c r="AH204" s="33">
        <v>0</v>
      </c>
      <c r="AI204" s="37">
        <v>0</v>
      </c>
      <c r="AJ204" s="35">
        <v>0</v>
      </c>
      <c r="AK204" s="36">
        <v>0</v>
      </c>
      <c r="AL204" s="38">
        <v>0</v>
      </c>
      <c r="AM204" s="35">
        <v>0</v>
      </c>
      <c r="AN204" s="19">
        <v>0</v>
      </c>
      <c r="AO204" s="23">
        <v>0</v>
      </c>
      <c r="AP204" s="24">
        <v>0</v>
      </c>
      <c r="AQ204" s="31">
        <f t="shared" si="19"/>
        <v>18.399999999999999</v>
      </c>
      <c r="AR204" s="32">
        <f t="shared" si="19"/>
        <v>46000</v>
      </c>
      <c r="AS204" s="30">
        <v>24</v>
      </c>
    </row>
    <row r="205" spans="1:45" ht="16" x14ac:dyDescent="0.2">
      <c r="A205" s="19">
        <v>202</v>
      </c>
      <c r="B205" s="21" t="s">
        <v>215</v>
      </c>
      <c r="C205" s="20" t="s">
        <v>227</v>
      </c>
      <c r="D205" s="345"/>
      <c r="E205" s="22">
        <v>23.2</v>
      </c>
      <c r="F205" s="23">
        <f t="shared" si="15"/>
        <v>58000</v>
      </c>
      <c r="G205" s="19">
        <v>0</v>
      </c>
      <c r="H205" s="23">
        <v>0</v>
      </c>
      <c r="I205" s="24">
        <v>0</v>
      </c>
      <c r="J205" s="19">
        <v>0</v>
      </c>
      <c r="K205" s="23">
        <v>0</v>
      </c>
      <c r="L205" s="24">
        <v>0</v>
      </c>
      <c r="M205" s="25">
        <v>6.4</v>
      </c>
      <c r="N205" s="26">
        <v>16000</v>
      </c>
      <c r="O205" s="27">
        <v>16</v>
      </c>
      <c r="P205" s="28">
        <f t="shared" si="16"/>
        <v>0</v>
      </c>
      <c r="Q205" s="29">
        <f t="shared" si="17"/>
        <v>0</v>
      </c>
      <c r="R205" s="30">
        <v>0</v>
      </c>
      <c r="S205" s="19">
        <v>0</v>
      </c>
      <c r="T205" s="23">
        <v>0</v>
      </c>
      <c r="U205" s="24">
        <v>0</v>
      </c>
      <c r="V205" s="31">
        <f t="shared" si="18"/>
        <v>7.2</v>
      </c>
      <c r="W205" s="32">
        <v>18000</v>
      </c>
      <c r="X205" s="30">
        <v>18</v>
      </c>
      <c r="Y205" s="19">
        <v>0</v>
      </c>
      <c r="Z205" s="23">
        <v>0</v>
      </c>
      <c r="AA205" s="24">
        <v>0</v>
      </c>
      <c r="AB205" s="33">
        <v>0</v>
      </c>
      <c r="AC205" s="34">
        <v>0</v>
      </c>
      <c r="AD205" s="35">
        <v>0</v>
      </c>
      <c r="AE205" s="36">
        <v>0</v>
      </c>
      <c r="AF205" s="23">
        <v>0</v>
      </c>
      <c r="AG205" s="24">
        <v>0</v>
      </c>
      <c r="AH205" s="33">
        <v>0</v>
      </c>
      <c r="AI205" s="37">
        <v>0</v>
      </c>
      <c r="AJ205" s="35">
        <v>0</v>
      </c>
      <c r="AK205" s="36">
        <v>0</v>
      </c>
      <c r="AL205" s="38">
        <v>0</v>
      </c>
      <c r="AM205" s="35">
        <v>0</v>
      </c>
      <c r="AN205" s="19">
        <v>0</v>
      </c>
      <c r="AO205" s="23">
        <v>0</v>
      </c>
      <c r="AP205" s="24">
        <v>0</v>
      </c>
      <c r="AQ205" s="31">
        <f t="shared" si="19"/>
        <v>13.600000000000001</v>
      </c>
      <c r="AR205" s="32">
        <f t="shared" si="19"/>
        <v>34000</v>
      </c>
      <c r="AS205" s="30">
        <v>18</v>
      </c>
    </row>
    <row r="206" spans="1:45" ht="16" x14ac:dyDescent="0.2">
      <c r="A206" s="19">
        <v>203</v>
      </c>
      <c r="B206" s="21" t="s">
        <v>215</v>
      </c>
      <c r="C206" s="20" t="s">
        <v>228</v>
      </c>
      <c r="D206" s="345"/>
      <c r="E206" s="22">
        <v>17.199999999999992</v>
      </c>
      <c r="F206" s="23">
        <f t="shared" si="15"/>
        <v>42999.999999999978</v>
      </c>
      <c r="G206" s="19">
        <v>0</v>
      </c>
      <c r="H206" s="23">
        <v>0</v>
      </c>
      <c r="I206" s="24">
        <v>0</v>
      </c>
      <c r="J206" s="19">
        <v>0</v>
      </c>
      <c r="K206" s="23">
        <v>0</v>
      </c>
      <c r="L206" s="24">
        <v>0</v>
      </c>
      <c r="M206" s="25">
        <v>9.1999999999999993</v>
      </c>
      <c r="N206" s="26">
        <v>23000</v>
      </c>
      <c r="O206" s="27">
        <v>23</v>
      </c>
      <c r="P206" s="28">
        <f t="shared" si="16"/>
        <v>1.2</v>
      </c>
      <c r="Q206" s="29">
        <f t="shared" si="17"/>
        <v>3000</v>
      </c>
      <c r="R206" s="30">
        <v>3</v>
      </c>
      <c r="S206" s="19">
        <v>0</v>
      </c>
      <c r="T206" s="23">
        <v>0</v>
      </c>
      <c r="U206" s="24">
        <v>0</v>
      </c>
      <c r="V206" s="31">
        <f t="shared" si="18"/>
        <v>10.4</v>
      </c>
      <c r="W206" s="32">
        <v>26000</v>
      </c>
      <c r="X206" s="30">
        <v>26</v>
      </c>
      <c r="Y206" s="19">
        <v>0</v>
      </c>
      <c r="Z206" s="23">
        <v>0</v>
      </c>
      <c r="AA206" s="24">
        <v>0</v>
      </c>
      <c r="AB206" s="33">
        <v>0</v>
      </c>
      <c r="AC206" s="34">
        <v>0</v>
      </c>
      <c r="AD206" s="35">
        <v>0</v>
      </c>
      <c r="AE206" s="36">
        <v>0</v>
      </c>
      <c r="AF206" s="23">
        <v>0</v>
      </c>
      <c r="AG206" s="24">
        <v>0</v>
      </c>
      <c r="AH206" s="33">
        <v>0</v>
      </c>
      <c r="AI206" s="37">
        <v>0</v>
      </c>
      <c r="AJ206" s="35">
        <v>0</v>
      </c>
      <c r="AK206" s="36">
        <v>0</v>
      </c>
      <c r="AL206" s="38">
        <v>0</v>
      </c>
      <c r="AM206" s="35">
        <v>0</v>
      </c>
      <c r="AN206" s="19">
        <v>0</v>
      </c>
      <c r="AO206" s="23">
        <v>0</v>
      </c>
      <c r="AP206" s="24">
        <v>0</v>
      </c>
      <c r="AQ206" s="31">
        <f t="shared" si="19"/>
        <v>20.799999999999997</v>
      </c>
      <c r="AR206" s="32">
        <f t="shared" si="19"/>
        <v>52000</v>
      </c>
      <c r="AS206" s="30">
        <v>26</v>
      </c>
    </row>
    <row r="207" spans="1:45" ht="16" x14ac:dyDescent="0.2">
      <c r="A207" s="19">
        <v>204</v>
      </c>
      <c r="B207" s="21" t="s">
        <v>215</v>
      </c>
      <c r="C207" s="20" t="s">
        <v>229</v>
      </c>
      <c r="D207" s="345"/>
      <c r="E207" s="22">
        <v>22</v>
      </c>
      <c r="F207" s="23">
        <f t="shared" si="15"/>
        <v>55000</v>
      </c>
      <c r="G207" s="19">
        <v>0</v>
      </c>
      <c r="H207" s="23">
        <v>0</v>
      </c>
      <c r="I207" s="24">
        <v>0</v>
      </c>
      <c r="J207" s="19">
        <v>0</v>
      </c>
      <c r="K207" s="23">
        <v>0</v>
      </c>
      <c r="L207" s="24">
        <v>0</v>
      </c>
      <c r="M207" s="25">
        <v>5.6</v>
      </c>
      <c r="N207" s="26">
        <v>14000</v>
      </c>
      <c r="O207" s="27">
        <v>14</v>
      </c>
      <c r="P207" s="28">
        <f t="shared" si="16"/>
        <v>0</v>
      </c>
      <c r="Q207" s="29">
        <f t="shared" si="17"/>
        <v>0</v>
      </c>
      <c r="R207" s="30">
        <v>0</v>
      </c>
      <c r="S207" s="19">
        <v>0</v>
      </c>
      <c r="T207" s="23">
        <v>0</v>
      </c>
      <c r="U207" s="24">
        <v>0</v>
      </c>
      <c r="V207" s="31">
        <f t="shared" si="18"/>
        <v>5.6</v>
      </c>
      <c r="W207" s="32">
        <v>14000</v>
      </c>
      <c r="X207" s="30">
        <v>14</v>
      </c>
      <c r="Y207" s="19">
        <v>0</v>
      </c>
      <c r="Z207" s="23">
        <v>0</v>
      </c>
      <c r="AA207" s="24">
        <v>0</v>
      </c>
      <c r="AB207" s="33">
        <v>0</v>
      </c>
      <c r="AC207" s="34">
        <v>0</v>
      </c>
      <c r="AD207" s="35">
        <v>0</v>
      </c>
      <c r="AE207" s="36">
        <v>0</v>
      </c>
      <c r="AF207" s="23">
        <v>0</v>
      </c>
      <c r="AG207" s="24">
        <v>0</v>
      </c>
      <c r="AH207" s="33">
        <v>0</v>
      </c>
      <c r="AI207" s="37">
        <v>0</v>
      </c>
      <c r="AJ207" s="35">
        <v>0</v>
      </c>
      <c r="AK207" s="36">
        <v>0</v>
      </c>
      <c r="AL207" s="38">
        <v>0</v>
      </c>
      <c r="AM207" s="35">
        <v>0</v>
      </c>
      <c r="AN207" s="19">
        <v>0</v>
      </c>
      <c r="AO207" s="23">
        <v>0</v>
      </c>
      <c r="AP207" s="24">
        <v>0</v>
      </c>
      <c r="AQ207" s="31">
        <f t="shared" si="19"/>
        <v>11.2</v>
      </c>
      <c r="AR207" s="32">
        <f t="shared" si="19"/>
        <v>28000</v>
      </c>
      <c r="AS207" s="30">
        <v>14</v>
      </c>
    </row>
    <row r="208" spans="1:45" ht="16" x14ac:dyDescent="0.2">
      <c r="A208" s="19">
        <v>205</v>
      </c>
      <c r="B208" s="21" t="s">
        <v>215</v>
      </c>
      <c r="C208" s="20" t="s">
        <v>230</v>
      </c>
      <c r="D208" s="345" t="s">
        <v>25</v>
      </c>
      <c r="E208" s="22">
        <v>8.4</v>
      </c>
      <c r="F208" s="23">
        <f t="shared" si="15"/>
        <v>21000</v>
      </c>
      <c r="G208" s="19">
        <v>0</v>
      </c>
      <c r="H208" s="23">
        <v>0</v>
      </c>
      <c r="I208" s="24">
        <v>0</v>
      </c>
      <c r="J208" s="19">
        <v>0</v>
      </c>
      <c r="K208" s="23">
        <v>0</v>
      </c>
      <c r="L208" s="24">
        <v>0</v>
      </c>
      <c r="M208" s="25">
        <v>2.4</v>
      </c>
      <c r="N208" s="26">
        <v>6000</v>
      </c>
      <c r="O208" s="27">
        <v>6</v>
      </c>
      <c r="P208" s="28">
        <f t="shared" si="16"/>
        <v>0</v>
      </c>
      <c r="Q208" s="29">
        <f t="shared" si="17"/>
        <v>0</v>
      </c>
      <c r="R208" s="30">
        <v>0</v>
      </c>
      <c r="S208" s="19">
        <v>0</v>
      </c>
      <c r="T208" s="23">
        <v>0</v>
      </c>
      <c r="U208" s="24">
        <v>0</v>
      </c>
      <c r="V208" s="31">
        <f t="shared" si="18"/>
        <v>2.4</v>
      </c>
      <c r="W208" s="32">
        <v>6000</v>
      </c>
      <c r="X208" s="30">
        <v>6</v>
      </c>
      <c r="Y208" s="19">
        <v>0</v>
      </c>
      <c r="Z208" s="23">
        <v>0</v>
      </c>
      <c r="AA208" s="24">
        <v>0</v>
      </c>
      <c r="AB208" s="33">
        <v>0</v>
      </c>
      <c r="AC208" s="34">
        <v>0</v>
      </c>
      <c r="AD208" s="35">
        <v>0</v>
      </c>
      <c r="AE208" s="36">
        <v>0</v>
      </c>
      <c r="AF208" s="23">
        <v>0</v>
      </c>
      <c r="AG208" s="24">
        <v>0</v>
      </c>
      <c r="AH208" s="33">
        <v>0</v>
      </c>
      <c r="AI208" s="37">
        <v>0</v>
      </c>
      <c r="AJ208" s="35">
        <v>0</v>
      </c>
      <c r="AK208" s="36">
        <v>0</v>
      </c>
      <c r="AL208" s="38">
        <v>0</v>
      </c>
      <c r="AM208" s="35">
        <v>0</v>
      </c>
      <c r="AN208" s="19">
        <v>0</v>
      </c>
      <c r="AO208" s="23">
        <v>0</v>
      </c>
      <c r="AP208" s="24">
        <v>0</v>
      </c>
      <c r="AQ208" s="31">
        <f t="shared" si="19"/>
        <v>4.8</v>
      </c>
      <c r="AR208" s="32">
        <f t="shared" si="19"/>
        <v>12000</v>
      </c>
      <c r="AS208" s="30">
        <v>6</v>
      </c>
    </row>
    <row r="209" spans="1:45" ht="16" x14ac:dyDescent="0.2">
      <c r="A209" s="19">
        <v>206</v>
      </c>
      <c r="B209" s="21" t="s">
        <v>215</v>
      </c>
      <c r="C209" s="20" t="s">
        <v>231</v>
      </c>
      <c r="D209" s="345"/>
      <c r="E209" s="22">
        <v>7.4</v>
      </c>
      <c r="F209" s="23">
        <f t="shared" si="15"/>
        <v>18500</v>
      </c>
      <c r="G209" s="19">
        <v>0</v>
      </c>
      <c r="H209" s="23">
        <v>0</v>
      </c>
      <c r="I209" s="24">
        <v>0</v>
      </c>
      <c r="J209" s="19">
        <v>0</v>
      </c>
      <c r="K209" s="23">
        <v>0</v>
      </c>
      <c r="L209" s="24">
        <v>0</v>
      </c>
      <c r="M209" s="25">
        <v>2.4</v>
      </c>
      <c r="N209" s="26">
        <v>6000</v>
      </c>
      <c r="O209" s="27">
        <v>6</v>
      </c>
      <c r="P209" s="28">
        <f t="shared" si="16"/>
        <v>0</v>
      </c>
      <c r="Q209" s="29">
        <f t="shared" si="17"/>
        <v>0</v>
      </c>
      <c r="R209" s="30">
        <v>0</v>
      </c>
      <c r="S209" s="19">
        <v>0</v>
      </c>
      <c r="T209" s="23">
        <v>0</v>
      </c>
      <c r="U209" s="24">
        <v>0</v>
      </c>
      <c r="V209" s="31">
        <f t="shared" si="18"/>
        <v>2.4</v>
      </c>
      <c r="W209" s="32">
        <v>6000</v>
      </c>
      <c r="X209" s="30">
        <v>6</v>
      </c>
      <c r="Y209" s="19">
        <v>0</v>
      </c>
      <c r="Z209" s="23">
        <v>0</v>
      </c>
      <c r="AA209" s="24">
        <v>0</v>
      </c>
      <c r="AB209" s="33">
        <v>0</v>
      </c>
      <c r="AC209" s="34">
        <v>0</v>
      </c>
      <c r="AD209" s="35">
        <v>0</v>
      </c>
      <c r="AE209" s="36">
        <v>0</v>
      </c>
      <c r="AF209" s="23">
        <v>0</v>
      </c>
      <c r="AG209" s="24">
        <v>0</v>
      </c>
      <c r="AH209" s="33">
        <v>0</v>
      </c>
      <c r="AI209" s="37">
        <v>0</v>
      </c>
      <c r="AJ209" s="35">
        <v>0</v>
      </c>
      <c r="AK209" s="36">
        <v>0</v>
      </c>
      <c r="AL209" s="38">
        <v>0</v>
      </c>
      <c r="AM209" s="35">
        <v>0</v>
      </c>
      <c r="AN209" s="19">
        <v>0</v>
      </c>
      <c r="AO209" s="23">
        <v>0</v>
      </c>
      <c r="AP209" s="24">
        <v>0</v>
      </c>
      <c r="AQ209" s="31">
        <f t="shared" si="19"/>
        <v>4.8</v>
      </c>
      <c r="AR209" s="32">
        <f t="shared" si="19"/>
        <v>12000</v>
      </c>
      <c r="AS209" s="30">
        <v>6</v>
      </c>
    </row>
    <row r="210" spans="1:45" ht="16" x14ac:dyDescent="0.2">
      <c r="A210" s="19">
        <v>207</v>
      </c>
      <c r="B210" s="21" t="s">
        <v>215</v>
      </c>
      <c r="C210" s="20" t="s">
        <v>232</v>
      </c>
      <c r="D210" s="345"/>
      <c r="E210" s="22">
        <v>15.4</v>
      </c>
      <c r="F210" s="23">
        <f t="shared" si="15"/>
        <v>38500</v>
      </c>
      <c r="G210" s="19">
        <v>0</v>
      </c>
      <c r="H210" s="23">
        <v>0</v>
      </c>
      <c r="I210" s="24">
        <v>0</v>
      </c>
      <c r="J210" s="19">
        <v>0</v>
      </c>
      <c r="K210" s="23">
        <v>0</v>
      </c>
      <c r="L210" s="24">
        <v>0</v>
      </c>
      <c r="M210" s="25">
        <v>4.8</v>
      </c>
      <c r="N210" s="26">
        <v>12000</v>
      </c>
      <c r="O210" s="27">
        <v>12</v>
      </c>
      <c r="P210" s="28">
        <f t="shared" si="16"/>
        <v>2.8</v>
      </c>
      <c r="Q210" s="29">
        <f t="shared" si="17"/>
        <v>7000</v>
      </c>
      <c r="R210" s="30">
        <v>7</v>
      </c>
      <c r="S210" s="19">
        <v>0</v>
      </c>
      <c r="T210" s="23">
        <v>0</v>
      </c>
      <c r="U210" s="24">
        <v>0</v>
      </c>
      <c r="V210" s="31">
        <f t="shared" si="18"/>
        <v>7.6</v>
      </c>
      <c r="W210" s="32">
        <v>19000</v>
      </c>
      <c r="X210" s="30">
        <v>19</v>
      </c>
      <c r="Y210" s="19">
        <v>0</v>
      </c>
      <c r="Z210" s="23">
        <v>0</v>
      </c>
      <c r="AA210" s="24">
        <v>0</v>
      </c>
      <c r="AB210" s="33">
        <v>0</v>
      </c>
      <c r="AC210" s="34">
        <v>0</v>
      </c>
      <c r="AD210" s="35">
        <v>0</v>
      </c>
      <c r="AE210" s="36">
        <v>0</v>
      </c>
      <c r="AF210" s="23">
        <v>0</v>
      </c>
      <c r="AG210" s="24">
        <v>0</v>
      </c>
      <c r="AH210" s="33">
        <v>0</v>
      </c>
      <c r="AI210" s="37">
        <v>0</v>
      </c>
      <c r="AJ210" s="35">
        <v>0</v>
      </c>
      <c r="AK210" s="36">
        <v>0</v>
      </c>
      <c r="AL210" s="38">
        <v>0</v>
      </c>
      <c r="AM210" s="35">
        <v>0</v>
      </c>
      <c r="AN210" s="19">
        <v>0</v>
      </c>
      <c r="AO210" s="23">
        <v>0</v>
      </c>
      <c r="AP210" s="24">
        <v>0</v>
      </c>
      <c r="AQ210" s="31">
        <f t="shared" si="19"/>
        <v>15.2</v>
      </c>
      <c r="AR210" s="32">
        <f t="shared" si="19"/>
        <v>38000</v>
      </c>
      <c r="AS210" s="30">
        <v>19</v>
      </c>
    </row>
    <row r="211" spans="1:45" ht="16" x14ac:dyDescent="0.2">
      <c r="A211" s="19">
        <v>208</v>
      </c>
      <c r="B211" s="21" t="s">
        <v>215</v>
      </c>
      <c r="C211" s="20" t="s">
        <v>233</v>
      </c>
      <c r="D211" s="345"/>
      <c r="E211" s="22">
        <v>2</v>
      </c>
      <c r="F211" s="23">
        <f t="shared" si="15"/>
        <v>5000</v>
      </c>
      <c r="G211" s="19">
        <v>0</v>
      </c>
      <c r="H211" s="23">
        <v>0</v>
      </c>
      <c r="I211" s="24">
        <v>0</v>
      </c>
      <c r="J211" s="19">
        <v>0</v>
      </c>
      <c r="K211" s="23">
        <v>0</v>
      </c>
      <c r="L211" s="24">
        <v>0</v>
      </c>
      <c r="M211" s="25">
        <v>0.8</v>
      </c>
      <c r="N211" s="26">
        <v>2000</v>
      </c>
      <c r="O211" s="27">
        <v>2</v>
      </c>
      <c r="P211" s="28">
        <f t="shared" si="16"/>
        <v>0</v>
      </c>
      <c r="Q211" s="29">
        <f t="shared" si="17"/>
        <v>0</v>
      </c>
      <c r="R211" s="30">
        <v>0</v>
      </c>
      <c r="S211" s="19">
        <v>0</v>
      </c>
      <c r="T211" s="23">
        <v>0</v>
      </c>
      <c r="U211" s="24">
        <v>0</v>
      </c>
      <c r="V211" s="31">
        <f t="shared" si="18"/>
        <v>0.8</v>
      </c>
      <c r="W211" s="32">
        <v>2000</v>
      </c>
      <c r="X211" s="30">
        <v>2</v>
      </c>
      <c r="Y211" s="19">
        <v>0</v>
      </c>
      <c r="Z211" s="23">
        <v>0</v>
      </c>
      <c r="AA211" s="24">
        <v>0</v>
      </c>
      <c r="AB211" s="33">
        <v>0</v>
      </c>
      <c r="AC211" s="34">
        <v>0</v>
      </c>
      <c r="AD211" s="35">
        <v>0</v>
      </c>
      <c r="AE211" s="36">
        <v>0</v>
      </c>
      <c r="AF211" s="23">
        <v>0</v>
      </c>
      <c r="AG211" s="24">
        <v>0</v>
      </c>
      <c r="AH211" s="33">
        <v>0</v>
      </c>
      <c r="AI211" s="37">
        <v>0</v>
      </c>
      <c r="AJ211" s="35">
        <v>0</v>
      </c>
      <c r="AK211" s="36">
        <v>0</v>
      </c>
      <c r="AL211" s="38">
        <v>0</v>
      </c>
      <c r="AM211" s="35">
        <v>0</v>
      </c>
      <c r="AN211" s="19">
        <v>0</v>
      </c>
      <c r="AO211" s="23">
        <v>0</v>
      </c>
      <c r="AP211" s="24">
        <v>0</v>
      </c>
      <c r="AQ211" s="31">
        <f t="shared" si="19"/>
        <v>1.6</v>
      </c>
      <c r="AR211" s="32">
        <f t="shared" si="19"/>
        <v>4000</v>
      </c>
      <c r="AS211" s="30">
        <v>2</v>
      </c>
    </row>
    <row r="212" spans="1:45" ht="16" x14ac:dyDescent="0.2">
      <c r="A212" s="19">
        <v>209</v>
      </c>
      <c r="B212" s="21" t="s">
        <v>215</v>
      </c>
      <c r="C212" s="20" t="s">
        <v>234</v>
      </c>
      <c r="D212" s="345"/>
      <c r="E212" s="22">
        <v>30.2</v>
      </c>
      <c r="F212" s="23">
        <f t="shared" si="15"/>
        <v>75500</v>
      </c>
      <c r="G212" s="19">
        <v>0</v>
      </c>
      <c r="H212" s="23">
        <v>0</v>
      </c>
      <c r="I212" s="24">
        <v>0</v>
      </c>
      <c r="J212" s="19">
        <v>0</v>
      </c>
      <c r="K212" s="23">
        <v>0</v>
      </c>
      <c r="L212" s="24">
        <v>0</v>
      </c>
      <c r="M212" s="25">
        <v>8.8000000000000007</v>
      </c>
      <c r="N212" s="26">
        <v>22000</v>
      </c>
      <c r="O212" s="27">
        <v>22</v>
      </c>
      <c r="P212" s="28">
        <f t="shared" si="16"/>
        <v>2</v>
      </c>
      <c r="Q212" s="29">
        <f t="shared" si="17"/>
        <v>5000</v>
      </c>
      <c r="R212" s="30">
        <v>5</v>
      </c>
      <c r="S212" s="19">
        <v>0</v>
      </c>
      <c r="T212" s="23">
        <v>0</v>
      </c>
      <c r="U212" s="24">
        <v>0</v>
      </c>
      <c r="V212" s="31">
        <f t="shared" si="18"/>
        <v>10</v>
      </c>
      <c r="W212" s="32">
        <v>25000</v>
      </c>
      <c r="X212" s="30">
        <v>25</v>
      </c>
      <c r="Y212" s="19">
        <v>0</v>
      </c>
      <c r="Z212" s="23">
        <v>0</v>
      </c>
      <c r="AA212" s="24">
        <v>0</v>
      </c>
      <c r="AB212" s="33">
        <v>0</v>
      </c>
      <c r="AC212" s="34">
        <v>0</v>
      </c>
      <c r="AD212" s="35">
        <v>0</v>
      </c>
      <c r="AE212" s="36">
        <v>0</v>
      </c>
      <c r="AF212" s="23">
        <v>0</v>
      </c>
      <c r="AG212" s="24">
        <v>0</v>
      </c>
      <c r="AH212" s="33">
        <v>0</v>
      </c>
      <c r="AI212" s="37">
        <v>0</v>
      </c>
      <c r="AJ212" s="35">
        <v>0</v>
      </c>
      <c r="AK212" s="36">
        <v>0</v>
      </c>
      <c r="AL212" s="38">
        <v>0</v>
      </c>
      <c r="AM212" s="35">
        <v>0</v>
      </c>
      <c r="AN212" s="19">
        <v>0</v>
      </c>
      <c r="AO212" s="23">
        <v>0</v>
      </c>
      <c r="AP212" s="24">
        <v>0</v>
      </c>
      <c r="AQ212" s="31">
        <f t="shared" si="19"/>
        <v>20.8</v>
      </c>
      <c r="AR212" s="32">
        <f t="shared" si="19"/>
        <v>52000</v>
      </c>
      <c r="AS212" s="30">
        <v>27</v>
      </c>
    </row>
    <row r="213" spans="1:45" ht="16" x14ac:dyDescent="0.2">
      <c r="A213" s="19">
        <v>210</v>
      </c>
      <c r="B213" s="21" t="s">
        <v>215</v>
      </c>
      <c r="C213" s="20" t="s">
        <v>235</v>
      </c>
      <c r="D213" s="345"/>
      <c r="E213" s="22">
        <v>9</v>
      </c>
      <c r="F213" s="23">
        <f t="shared" si="15"/>
        <v>22500</v>
      </c>
      <c r="G213" s="19">
        <v>0</v>
      </c>
      <c r="H213" s="23">
        <v>0</v>
      </c>
      <c r="I213" s="24">
        <v>0</v>
      </c>
      <c r="J213" s="19">
        <v>0</v>
      </c>
      <c r="K213" s="23">
        <v>0</v>
      </c>
      <c r="L213" s="24">
        <v>0</v>
      </c>
      <c r="M213" s="25">
        <v>2</v>
      </c>
      <c r="N213" s="26">
        <v>5000</v>
      </c>
      <c r="O213" s="27">
        <v>5</v>
      </c>
      <c r="P213" s="28">
        <f t="shared" si="16"/>
        <v>0</v>
      </c>
      <c r="Q213" s="29">
        <f t="shared" si="17"/>
        <v>0</v>
      </c>
      <c r="R213" s="30">
        <v>0</v>
      </c>
      <c r="S213" s="19">
        <v>0</v>
      </c>
      <c r="T213" s="23">
        <v>0</v>
      </c>
      <c r="U213" s="24">
        <v>0</v>
      </c>
      <c r="V213" s="31">
        <f t="shared" si="18"/>
        <v>2.4</v>
      </c>
      <c r="W213" s="32">
        <v>6000</v>
      </c>
      <c r="X213" s="30">
        <v>6</v>
      </c>
      <c r="Y213" s="19">
        <v>0</v>
      </c>
      <c r="Z213" s="23">
        <v>0</v>
      </c>
      <c r="AA213" s="24">
        <v>0</v>
      </c>
      <c r="AB213" s="33">
        <v>0</v>
      </c>
      <c r="AC213" s="34">
        <v>0</v>
      </c>
      <c r="AD213" s="35">
        <v>0</v>
      </c>
      <c r="AE213" s="36">
        <v>0</v>
      </c>
      <c r="AF213" s="23">
        <v>0</v>
      </c>
      <c r="AG213" s="24">
        <v>0</v>
      </c>
      <c r="AH213" s="33">
        <v>0</v>
      </c>
      <c r="AI213" s="37">
        <v>0</v>
      </c>
      <c r="AJ213" s="35">
        <v>0</v>
      </c>
      <c r="AK213" s="36">
        <v>0</v>
      </c>
      <c r="AL213" s="38">
        <v>0</v>
      </c>
      <c r="AM213" s="35">
        <v>0</v>
      </c>
      <c r="AN213" s="19">
        <v>0</v>
      </c>
      <c r="AO213" s="23">
        <v>0</v>
      </c>
      <c r="AP213" s="24">
        <v>0</v>
      </c>
      <c r="AQ213" s="31">
        <f t="shared" si="19"/>
        <v>4.4000000000000004</v>
      </c>
      <c r="AR213" s="32">
        <f t="shared" si="19"/>
        <v>11000</v>
      </c>
      <c r="AS213" s="30">
        <v>6</v>
      </c>
    </row>
    <row r="214" spans="1:45" ht="16" x14ac:dyDescent="0.2">
      <c r="A214" s="19">
        <v>211</v>
      </c>
      <c r="B214" s="21" t="s">
        <v>215</v>
      </c>
      <c r="C214" s="20" t="s">
        <v>236</v>
      </c>
      <c r="D214" s="345"/>
      <c r="E214" s="22">
        <v>9.1999999999999993</v>
      </c>
      <c r="F214" s="23">
        <f t="shared" si="15"/>
        <v>23000</v>
      </c>
      <c r="G214" s="19">
        <v>0</v>
      </c>
      <c r="H214" s="23">
        <v>0</v>
      </c>
      <c r="I214" s="24">
        <v>0</v>
      </c>
      <c r="J214" s="19">
        <v>0</v>
      </c>
      <c r="K214" s="23">
        <v>0</v>
      </c>
      <c r="L214" s="24">
        <v>0</v>
      </c>
      <c r="M214" s="25">
        <v>4</v>
      </c>
      <c r="N214" s="26">
        <v>10000</v>
      </c>
      <c r="O214" s="27">
        <v>10</v>
      </c>
      <c r="P214" s="28">
        <f t="shared" si="16"/>
        <v>0.4</v>
      </c>
      <c r="Q214" s="29">
        <f t="shared" si="17"/>
        <v>1000</v>
      </c>
      <c r="R214" s="30">
        <v>1</v>
      </c>
      <c r="S214" s="19">
        <v>0</v>
      </c>
      <c r="T214" s="23">
        <v>0</v>
      </c>
      <c r="U214" s="24">
        <v>0</v>
      </c>
      <c r="V214" s="31">
        <f t="shared" si="18"/>
        <v>5.6</v>
      </c>
      <c r="W214" s="32">
        <v>14000</v>
      </c>
      <c r="X214" s="30">
        <v>14</v>
      </c>
      <c r="Y214" s="19">
        <v>0</v>
      </c>
      <c r="Z214" s="23">
        <v>0</v>
      </c>
      <c r="AA214" s="24">
        <v>0</v>
      </c>
      <c r="AB214" s="33">
        <v>0</v>
      </c>
      <c r="AC214" s="34">
        <v>0</v>
      </c>
      <c r="AD214" s="35">
        <v>0</v>
      </c>
      <c r="AE214" s="36">
        <v>0</v>
      </c>
      <c r="AF214" s="23">
        <v>0</v>
      </c>
      <c r="AG214" s="24">
        <v>0</v>
      </c>
      <c r="AH214" s="33">
        <v>0</v>
      </c>
      <c r="AI214" s="37">
        <v>0</v>
      </c>
      <c r="AJ214" s="35">
        <v>0</v>
      </c>
      <c r="AK214" s="36">
        <v>0</v>
      </c>
      <c r="AL214" s="38">
        <v>0</v>
      </c>
      <c r="AM214" s="35">
        <v>0</v>
      </c>
      <c r="AN214" s="19">
        <v>0</v>
      </c>
      <c r="AO214" s="23">
        <v>0</v>
      </c>
      <c r="AP214" s="24">
        <v>0</v>
      </c>
      <c r="AQ214" s="31">
        <f t="shared" si="19"/>
        <v>10</v>
      </c>
      <c r="AR214" s="32">
        <f t="shared" si="19"/>
        <v>25000</v>
      </c>
      <c r="AS214" s="30">
        <v>14</v>
      </c>
    </row>
    <row r="215" spans="1:45" ht="16" x14ac:dyDescent="0.2">
      <c r="A215" s="19">
        <v>212</v>
      </c>
      <c r="B215" s="21" t="s">
        <v>237</v>
      </c>
      <c r="C215" s="20" t="s">
        <v>238</v>
      </c>
      <c r="D215" s="345"/>
      <c r="E215" s="22">
        <v>23.2</v>
      </c>
      <c r="F215" s="23">
        <f t="shared" si="15"/>
        <v>58000</v>
      </c>
      <c r="G215" s="19">
        <v>0</v>
      </c>
      <c r="H215" s="23">
        <v>0</v>
      </c>
      <c r="I215" s="24">
        <v>0</v>
      </c>
      <c r="J215" s="19">
        <v>0</v>
      </c>
      <c r="K215" s="23">
        <v>0</v>
      </c>
      <c r="L215" s="24">
        <v>0</v>
      </c>
      <c r="M215" s="25">
        <v>7.2</v>
      </c>
      <c r="N215" s="26">
        <v>18000</v>
      </c>
      <c r="O215" s="27">
        <v>18</v>
      </c>
      <c r="P215" s="28">
        <f t="shared" si="16"/>
        <v>1.2</v>
      </c>
      <c r="Q215" s="29">
        <f t="shared" si="17"/>
        <v>3000</v>
      </c>
      <c r="R215" s="30">
        <v>3</v>
      </c>
      <c r="S215" s="19">
        <v>0</v>
      </c>
      <c r="T215" s="23">
        <v>0</v>
      </c>
      <c r="U215" s="24">
        <v>0</v>
      </c>
      <c r="V215" s="31">
        <f t="shared" si="18"/>
        <v>8.4</v>
      </c>
      <c r="W215" s="32">
        <v>21000</v>
      </c>
      <c r="X215" s="30">
        <v>21</v>
      </c>
      <c r="Y215" s="19">
        <v>0</v>
      </c>
      <c r="Z215" s="23">
        <v>0</v>
      </c>
      <c r="AA215" s="24">
        <v>0</v>
      </c>
      <c r="AB215" s="33">
        <v>0</v>
      </c>
      <c r="AC215" s="34">
        <v>0</v>
      </c>
      <c r="AD215" s="35">
        <v>0</v>
      </c>
      <c r="AE215" s="36">
        <v>0</v>
      </c>
      <c r="AF215" s="23">
        <v>0</v>
      </c>
      <c r="AG215" s="24">
        <v>0</v>
      </c>
      <c r="AH215" s="33">
        <v>0</v>
      </c>
      <c r="AI215" s="37">
        <v>0</v>
      </c>
      <c r="AJ215" s="35">
        <v>0</v>
      </c>
      <c r="AK215" s="36">
        <v>0</v>
      </c>
      <c r="AL215" s="38">
        <v>0</v>
      </c>
      <c r="AM215" s="35">
        <v>0</v>
      </c>
      <c r="AN215" s="19">
        <v>0</v>
      </c>
      <c r="AO215" s="23">
        <v>0</v>
      </c>
      <c r="AP215" s="24">
        <v>0</v>
      </c>
      <c r="AQ215" s="31">
        <f t="shared" si="19"/>
        <v>16.8</v>
      </c>
      <c r="AR215" s="32">
        <f t="shared" si="19"/>
        <v>42000</v>
      </c>
      <c r="AS215" s="30">
        <v>22</v>
      </c>
    </row>
    <row r="216" spans="1:45" ht="16" x14ac:dyDescent="0.2">
      <c r="A216" s="19">
        <v>213</v>
      </c>
      <c r="B216" s="21" t="s">
        <v>237</v>
      </c>
      <c r="C216" s="20" t="s">
        <v>239</v>
      </c>
      <c r="D216" s="345"/>
      <c r="E216" s="22">
        <v>17</v>
      </c>
      <c r="F216" s="23">
        <f t="shared" si="15"/>
        <v>42500</v>
      </c>
      <c r="G216" s="19">
        <v>0</v>
      </c>
      <c r="H216" s="23">
        <v>0</v>
      </c>
      <c r="I216" s="24">
        <v>0</v>
      </c>
      <c r="J216" s="19">
        <v>0</v>
      </c>
      <c r="K216" s="23">
        <v>0</v>
      </c>
      <c r="L216" s="24">
        <v>0</v>
      </c>
      <c r="M216" s="25">
        <v>4.8</v>
      </c>
      <c r="N216" s="26">
        <v>12000</v>
      </c>
      <c r="O216" s="27">
        <v>12</v>
      </c>
      <c r="P216" s="28">
        <f t="shared" si="16"/>
        <v>1.2</v>
      </c>
      <c r="Q216" s="29">
        <f t="shared" si="17"/>
        <v>3000</v>
      </c>
      <c r="R216" s="30">
        <v>3</v>
      </c>
      <c r="S216" s="19">
        <v>0</v>
      </c>
      <c r="T216" s="23">
        <v>0</v>
      </c>
      <c r="U216" s="24">
        <v>0</v>
      </c>
      <c r="V216" s="31">
        <f t="shared" si="18"/>
        <v>6.4</v>
      </c>
      <c r="W216" s="32">
        <v>16000</v>
      </c>
      <c r="X216" s="30">
        <v>16</v>
      </c>
      <c r="Y216" s="19">
        <v>0</v>
      </c>
      <c r="Z216" s="23">
        <v>0</v>
      </c>
      <c r="AA216" s="24">
        <v>0</v>
      </c>
      <c r="AB216" s="33">
        <v>0</v>
      </c>
      <c r="AC216" s="34">
        <v>0</v>
      </c>
      <c r="AD216" s="35">
        <v>0</v>
      </c>
      <c r="AE216" s="36">
        <v>0</v>
      </c>
      <c r="AF216" s="23">
        <v>0</v>
      </c>
      <c r="AG216" s="24">
        <v>0</v>
      </c>
      <c r="AH216" s="33">
        <v>0</v>
      </c>
      <c r="AI216" s="37">
        <v>0</v>
      </c>
      <c r="AJ216" s="35">
        <v>0</v>
      </c>
      <c r="AK216" s="36">
        <v>0</v>
      </c>
      <c r="AL216" s="38">
        <v>0</v>
      </c>
      <c r="AM216" s="35">
        <v>0</v>
      </c>
      <c r="AN216" s="19">
        <v>0</v>
      </c>
      <c r="AO216" s="23">
        <v>0</v>
      </c>
      <c r="AP216" s="24">
        <v>0</v>
      </c>
      <c r="AQ216" s="31">
        <f t="shared" si="19"/>
        <v>12.4</v>
      </c>
      <c r="AR216" s="32">
        <f t="shared" si="19"/>
        <v>31000</v>
      </c>
      <c r="AS216" s="30">
        <v>16</v>
      </c>
    </row>
    <row r="217" spans="1:45" ht="16" x14ac:dyDescent="0.2">
      <c r="A217" s="19">
        <v>214</v>
      </c>
      <c r="B217" s="21" t="s">
        <v>237</v>
      </c>
      <c r="C217" s="20" t="s">
        <v>240</v>
      </c>
      <c r="D217" s="345"/>
      <c r="E217" s="22">
        <v>20.2</v>
      </c>
      <c r="F217" s="23">
        <f t="shared" si="15"/>
        <v>50500</v>
      </c>
      <c r="G217" s="19">
        <v>0</v>
      </c>
      <c r="H217" s="23">
        <v>0</v>
      </c>
      <c r="I217" s="24">
        <v>0</v>
      </c>
      <c r="J217" s="19">
        <v>0</v>
      </c>
      <c r="K217" s="23">
        <v>0</v>
      </c>
      <c r="L217" s="24">
        <v>0</v>
      </c>
      <c r="M217" s="25">
        <v>7.2</v>
      </c>
      <c r="N217" s="26">
        <v>18000</v>
      </c>
      <c r="O217" s="27">
        <v>18</v>
      </c>
      <c r="P217" s="28">
        <f t="shared" si="16"/>
        <v>3.2</v>
      </c>
      <c r="Q217" s="29">
        <f t="shared" si="17"/>
        <v>8000</v>
      </c>
      <c r="R217" s="30">
        <v>8</v>
      </c>
      <c r="S217" s="19">
        <v>0</v>
      </c>
      <c r="T217" s="23">
        <v>0</v>
      </c>
      <c r="U217" s="24">
        <v>0</v>
      </c>
      <c r="V217" s="31">
        <f t="shared" si="18"/>
        <v>10.4</v>
      </c>
      <c r="W217" s="32">
        <v>26000</v>
      </c>
      <c r="X217" s="30">
        <v>26</v>
      </c>
      <c r="Y217" s="19">
        <v>0</v>
      </c>
      <c r="Z217" s="23">
        <v>0</v>
      </c>
      <c r="AA217" s="24">
        <v>0</v>
      </c>
      <c r="AB217" s="33">
        <v>0</v>
      </c>
      <c r="AC217" s="34">
        <v>0</v>
      </c>
      <c r="AD217" s="35">
        <v>0</v>
      </c>
      <c r="AE217" s="36">
        <v>0</v>
      </c>
      <c r="AF217" s="23">
        <v>0</v>
      </c>
      <c r="AG217" s="24">
        <v>0</v>
      </c>
      <c r="AH217" s="33">
        <v>0</v>
      </c>
      <c r="AI217" s="37">
        <v>0</v>
      </c>
      <c r="AJ217" s="35">
        <v>0</v>
      </c>
      <c r="AK217" s="36">
        <v>0</v>
      </c>
      <c r="AL217" s="38">
        <v>0</v>
      </c>
      <c r="AM217" s="35">
        <v>0</v>
      </c>
      <c r="AN217" s="19">
        <v>0</v>
      </c>
      <c r="AO217" s="23">
        <v>0</v>
      </c>
      <c r="AP217" s="24">
        <v>0</v>
      </c>
      <c r="AQ217" s="31">
        <f t="shared" si="19"/>
        <v>20.8</v>
      </c>
      <c r="AR217" s="32">
        <f t="shared" si="19"/>
        <v>52000</v>
      </c>
      <c r="AS217" s="30">
        <v>27</v>
      </c>
    </row>
    <row r="218" spans="1:45" ht="16" x14ac:dyDescent="0.2">
      <c r="A218" s="19">
        <v>215</v>
      </c>
      <c r="B218" s="21" t="s">
        <v>237</v>
      </c>
      <c r="C218" s="20" t="s">
        <v>237</v>
      </c>
      <c r="D218" s="345"/>
      <c r="E218" s="22">
        <v>10</v>
      </c>
      <c r="F218" s="23">
        <f t="shared" si="15"/>
        <v>25000</v>
      </c>
      <c r="G218" s="19">
        <v>0</v>
      </c>
      <c r="H218" s="23">
        <v>0</v>
      </c>
      <c r="I218" s="24">
        <v>0</v>
      </c>
      <c r="J218" s="19">
        <v>0</v>
      </c>
      <c r="K218" s="23">
        <v>0</v>
      </c>
      <c r="L218" s="24">
        <v>0</v>
      </c>
      <c r="M218" s="25">
        <v>1.6</v>
      </c>
      <c r="N218" s="26">
        <v>4000</v>
      </c>
      <c r="O218" s="27">
        <v>4</v>
      </c>
      <c r="P218" s="28">
        <f t="shared" si="16"/>
        <v>0.8</v>
      </c>
      <c r="Q218" s="29">
        <f t="shared" si="17"/>
        <v>2000</v>
      </c>
      <c r="R218" s="30">
        <v>2</v>
      </c>
      <c r="S218" s="19">
        <v>0</v>
      </c>
      <c r="T218" s="23">
        <v>0</v>
      </c>
      <c r="U218" s="24">
        <v>0</v>
      </c>
      <c r="V218" s="31">
        <f t="shared" si="18"/>
        <v>3.6</v>
      </c>
      <c r="W218" s="32">
        <v>9000</v>
      </c>
      <c r="X218" s="30">
        <v>9</v>
      </c>
      <c r="Y218" s="19">
        <v>0</v>
      </c>
      <c r="Z218" s="23">
        <v>0</v>
      </c>
      <c r="AA218" s="24">
        <v>0</v>
      </c>
      <c r="AB218" s="33">
        <v>0</v>
      </c>
      <c r="AC218" s="34">
        <v>0</v>
      </c>
      <c r="AD218" s="35">
        <v>0</v>
      </c>
      <c r="AE218" s="36">
        <v>0</v>
      </c>
      <c r="AF218" s="23">
        <v>0</v>
      </c>
      <c r="AG218" s="24">
        <v>0</v>
      </c>
      <c r="AH218" s="33">
        <v>0</v>
      </c>
      <c r="AI218" s="37">
        <v>0</v>
      </c>
      <c r="AJ218" s="35">
        <v>0</v>
      </c>
      <c r="AK218" s="36">
        <v>0</v>
      </c>
      <c r="AL218" s="38">
        <v>0</v>
      </c>
      <c r="AM218" s="35">
        <v>0</v>
      </c>
      <c r="AN218" s="19">
        <v>0</v>
      </c>
      <c r="AO218" s="23">
        <v>0</v>
      </c>
      <c r="AP218" s="24">
        <v>0</v>
      </c>
      <c r="AQ218" s="31">
        <f t="shared" si="19"/>
        <v>6</v>
      </c>
      <c r="AR218" s="32">
        <f t="shared" si="19"/>
        <v>15000</v>
      </c>
      <c r="AS218" s="30">
        <v>9</v>
      </c>
    </row>
    <row r="219" spans="1:45" ht="16" x14ac:dyDescent="0.2">
      <c r="A219" s="19">
        <v>216</v>
      </c>
      <c r="B219" s="21" t="s">
        <v>237</v>
      </c>
      <c r="C219" s="20" t="s">
        <v>241</v>
      </c>
      <c r="D219" s="345"/>
      <c r="E219" s="22">
        <v>13.999999999999998</v>
      </c>
      <c r="F219" s="23">
        <f t="shared" si="15"/>
        <v>34999.999999999993</v>
      </c>
      <c r="G219" s="19">
        <v>0</v>
      </c>
      <c r="H219" s="23">
        <v>0</v>
      </c>
      <c r="I219" s="24">
        <v>0</v>
      </c>
      <c r="J219" s="19">
        <v>0</v>
      </c>
      <c r="K219" s="23">
        <v>0</v>
      </c>
      <c r="L219" s="24">
        <v>0</v>
      </c>
      <c r="M219" s="25">
        <v>6.4</v>
      </c>
      <c r="N219" s="26">
        <v>16000</v>
      </c>
      <c r="O219" s="27">
        <v>16</v>
      </c>
      <c r="P219" s="28">
        <f t="shared" si="16"/>
        <v>0.8</v>
      </c>
      <c r="Q219" s="29">
        <f t="shared" si="17"/>
        <v>2000</v>
      </c>
      <c r="R219" s="30">
        <v>2</v>
      </c>
      <c r="S219" s="19">
        <v>0</v>
      </c>
      <c r="T219" s="23">
        <v>0</v>
      </c>
      <c r="U219" s="24">
        <v>0</v>
      </c>
      <c r="V219" s="31">
        <f t="shared" si="18"/>
        <v>7.6</v>
      </c>
      <c r="W219" s="32">
        <v>19000</v>
      </c>
      <c r="X219" s="30">
        <v>19</v>
      </c>
      <c r="Y219" s="19">
        <v>0</v>
      </c>
      <c r="Z219" s="23">
        <v>0</v>
      </c>
      <c r="AA219" s="24">
        <v>0</v>
      </c>
      <c r="AB219" s="33">
        <v>0</v>
      </c>
      <c r="AC219" s="34">
        <v>0</v>
      </c>
      <c r="AD219" s="35">
        <v>0</v>
      </c>
      <c r="AE219" s="36">
        <v>0</v>
      </c>
      <c r="AF219" s="23">
        <v>0</v>
      </c>
      <c r="AG219" s="24">
        <v>0</v>
      </c>
      <c r="AH219" s="33">
        <v>0</v>
      </c>
      <c r="AI219" s="37">
        <v>0</v>
      </c>
      <c r="AJ219" s="35">
        <v>0</v>
      </c>
      <c r="AK219" s="36">
        <v>0</v>
      </c>
      <c r="AL219" s="38">
        <v>0</v>
      </c>
      <c r="AM219" s="35">
        <v>0</v>
      </c>
      <c r="AN219" s="19">
        <v>0</v>
      </c>
      <c r="AO219" s="23">
        <v>0</v>
      </c>
      <c r="AP219" s="24">
        <v>0</v>
      </c>
      <c r="AQ219" s="31">
        <f t="shared" si="19"/>
        <v>14.8</v>
      </c>
      <c r="AR219" s="32">
        <f t="shared" si="19"/>
        <v>37000</v>
      </c>
      <c r="AS219" s="30">
        <v>19</v>
      </c>
    </row>
    <row r="220" spans="1:45" ht="16" x14ac:dyDescent="0.2">
      <c r="A220" s="19">
        <v>217</v>
      </c>
      <c r="B220" s="21" t="s">
        <v>237</v>
      </c>
      <c r="C220" s="20" t="s">
        <v>242</v>
      </c>
      <c r="D220" s="345"/>
      <c r="E220" s="22">
        <v>16.2</v>
      </c>
      <c r="F220" s="23">
        <f t="shared" si="15"/>
        <v>40500</v>
      </c>
      <c r="G220" s="19">
        <v>0</v>
      </c>
      <c r="H220" s="23">
        <v>0</v>
      </c>
      <c r="I220" s="24">
        <v>0</v>
      </c>
      <c r="J220" s="19">
        <v>0</v>
      </c>
      <c r="K220" s="23">
        <v>0</v>
      </c>
      <c r="L220" s="24">
        <v>0</v>
      </c>
      <c r="M220" s="25">
        <v>5.2</v>
      </c>
      <c r="N220" s="26">
        <v>13000</v>
      </c>
      <c r="O220" s="27">
        <v>13</v>
      </c>
      <c r="P220" s="28">
        <f t="shared" si="16"/>
        <v>0.4</v>
      </c>
      <c r="Q220" s="29">
        <f t="shared" si="17"/>
        <v>1000</v>
      </c>
      <c r="R220" s="30">
        <v>1</v>
      </c>
      <c r="S220" s="19">
        <v>0</v>
      </c>
      <c r="T220" s="23">
        <v>0</v>
      </c>
      <c r="U220" s="24">
        <v>0</v>
      </c>
      <c r="V220" s="31">
        <f t="shared" si="18"/>
        <v>5.6</v>
      </c>
      <c r="W220" s="32">
        <v>14000</v>
      </c>
      <c r="X220" s="30">
        <v>14</v>
      </c>
      <c r="Y220" s="19">
        <v>0</v>
      </c>
      <c r="Z220" s="23">
        <v>0</v>
      </c>
      <c r="AA220" s="24">
        <v>0</v>
      </c>
      <c r="AB220" s="33">
        <v>0</v>
      </c>
      <c r="AC220" s="34">
        <v>0</v>
      </c>
      <c r="AD220" s="35">
        <v>0</v>
      </c>
      <c r="AE220" s="36">
        <v>0</v>
      </c>
      <c r="AF220" s="23">
        <v>0</v>
      </c>
      <c r="AG220" s="24">
        <v>0</v>
      </c>
      <c r="AH220" s="33">
        <v>0</v>
      </c>
      <c r="AI220" s="37">
        <v>0</v>
      </c>
      <c r="AJ220" s="35">
        <v>0</v>
      </c>
      <c r="AK220" s="36">
        <v>0</v>
      </c>
      <c r="AL220" s="38">
        <v>0</v>
      </c>
      <c r="AM220" s="35">
        <v>0</v>
      </c>
      <c r="AN220" s="19">
        <v>0</v>
      </c>
      <c r="AO220" s="23">
        <v>0</v>
      </c>
      <c r="AP220" s="24">
        <v>0</v>
      </c>
      <c r="AQ220" s="31">
        <f t="shared" si="19"/>
        <v>11.2</v>
      </c>
      <c r="AR220" s="32">
        <f t="shared" si="19"/>
        <v>28000</v>
      </c>
      <c r="AS220" s="30">
        <v>15</v>
      </c>
    </row>
    <row r="221" spans="1:45" ht="16" x14ac:dyDescent="0.2">
      <c r="A221" s="19">
        <v>218</v>
      </c>
      <c r="B221" s="21" t="s">
        <v>237</v>
      </c>
      <c r="C221" s="20" t="s">
        <v>243</v>
      </c>
      <c r="D221" s="345"/>
      <c r="E221" s="22">
        <v>13</v>
      </c>
      <c r="F221" s="23">
        <f t="shared" si="15"/>
        <v>32500</v>
      </c>
      <c r="G221" s="19">
        <v>0</v>
      </c>
      <c r="H221" s="23">
        <v>0</v>
      </c>
      <c r="I221" s="24">
        <v>0</v>
      </c>
      <c r="J221" s="19">
        <v>0</v>
      </c>
      <c r="K221" s="23">
        <v>0</v>
      </c>
      <c r="L221" s="24">
        <v>0</v>
      </c>
      <c r="M221" s="25">
        <v>4.8</v>
      </c>
      <c r="N221" s="26">
        <v>12000</v>
      </c>
      <c r="O221" s="27">
        <v>12</v>
      </c>
      <c r="P221" s="28">
        <f t="shared" si="16"/>
        <v>2.4</v>
      </c>
      <c r="Q221" s="29">
        <f t="shared" si="17"/>
        <v>6000</v>
      </c>
      <c r="R221" s="30">
        <v>6</v>
      </c>
      <c r="S221" s="19">
        <v>0</v>
      </c>
      <c r="T221" s="23">
        <v>0</v>
      </c>
      <c r="U221" s="24">
        <v>0</v>
      </c>
      <c r="V221" s="31">
        <f t="shared" si="18"/>
        <v>7.2</v>
      </c>
      <c r="W221" s="32">
        <v>18000</v>
      </c>
      <c r="X221" s="30">
        <v>18</v>
      </c>
      <c r="Y221" s="19">
        <v>0</v>
      </c>
      <c r="Z221" s="23">
        <v>0</v>
      </c>
      <c r="AA221" s="24">
        <v>0</v>
      </c>
      <c r="AB221" s="33">
        <v>0</v>
      </c>
      <c r="AC221" s="34">
        <v>0</v>
      </c>
      <c r="AD221" s="35">
        <v>0</v>
      </c>
      <c r="AE221" s="36">
        <v>0</v>
      </c>
      <c r="AF221" s="23">
        <v>0</v>
      </c>
      <c r="AG221" s="24">
        <v>0</v>
      </c>
      <c r="AH221" s="33">
        <v>0</v>
      </c>
      <c r="AI221" s="37">
        <v>0</v>
      </c>
      <c r="AJ221" s="35">
        <v>0</v>
      </c>
      <c r="AK221" s="36">
        <v>0</v>
      </c>
      <c r="AL221" s="38">
        <v>0</v>
      </c>
      <c r="AM221" s="35">
        <v>0</v>
      </c>
      <c r="AN221" s="19">
        <v>0</v>
      </c>
      <c r="AO221" s="23">
        <v>0</v>
      </c>
      <c r="AP221" s="24">
        <v>0</v>
      </c>
      <c r="AQ221" s="31">
        <f t="shared" si="19"/>
        <v>14.399999999999999</v>
      </c>
      <c r="AR221" s="32">
        <f t="shared" si="19"/>
        <v>36000</v>
      </c>
      <c r="AS221" s="30">
        <v>19</v>
      </c>
    </row>
    <row r="222" spans="1:45" ht="16" x14ac:dyDescent="0.2">
      <c r="A222" s="19">
        <v>219</v>
      </c>
      <c r="B222" s="21" t="s">
        <v>237</v>
      </c>
      <c r="C222" s="20" t="s">
        <v>244</v>
      </c>
      <c r="D222" s="345"/>
      <c r="E222" s="22">
        <v>11.4</v>
      </c>
      <c r="F222" s="23">
        <f t="shared" si="15"/>
        <v>28500</v>
      </c>
      <c r="G222" s="19">
        <v>0</v>
      </c>
      <c r="H222" s="23">
        <v>0</v>
      </c>
      <c r="I222" s="24">
        <v>0</v>
      </c>
      <c r="J222" s="19">
        <v>0</v>
      </c>
      <c r="K222" s="23">
        <v>0</v>
      </c>
      <c r="L222" s="24">
        <v>0</v>
      </c>
      <c r="M222" s="25">
        <v>3.2</v>
      </c>
      <c r="N222" s="26">
        <v>8000</v>
      </c>
      <c r="O222" s="27">
        <v>8</v>
      </c>
      <c r="P222" s="28">
        <f t="shared" si="16"/>
        <v>0.8</v>
      </c>
      <c r="Q222" s="29">
        <f t="shared" si="17"/>
        <v>2000</v>
      </c>
      <c r="R222" s="30">
        <v>2</v>
      </c>
      <c r="S222" s="19">
        <v>0</v>
      </c>
      <c r="T222" s="23">
        <v>0</v>
      </c>
      <c r="U222" s="24">
        <v>0</v>
      </c>
      <c r="V222" s="31">
        <f t="shared" si="18"/>
        <v>3.6</v>
      </c>
      <c r="W222" s="32">
        <v>9000</v>
      </c>
      <c r="X222" s="30">
        <v>9</v>
      </c>
      <c r="Y222" s="19">
        <v>0</v>
      </c>
      <c r="Z222" s="23">
        <v>0</v>
      </c>
      <c r="AA222" s="24">
        <v>0</v>
      </c>
      <c r="AB222" s="33">
        <v>0</v>
      </c>
      <c r="AC222" s="34">
        <v>0</v>
      </c>
      <c r="AD222" s="35">
        <v>0</v>
      </c>
      <c r="AE222" s="36">
        <v>0</v>
      </c>
      <c r="AF222" s="23">
        <v>0</v>
      </c>
      <c r="AG222" s="24">
        <v>0</v>
      </c>
      <c r="AH222" s="33">
        <v>0</v>
      </c>
      <c r="AI222" s="37">
        <v>0</v>
      </c>
      <c r="AJ222" s="35">
        <v>0</v>
      </c>
      <c r="AK222" s="36">
        <v>0</v>
      </c>
      <c r="AL222" s="38">
        <v>0</v>
      </c>
      <c r="AM222" s="35">
        <v>0</v>
      </c>
      <c r="AN222" s="19">
        <v>0</v>
      </c>
      <c r="AO222" s="23">
        <v>0</v>
      </c>
      <c r="AP222" s="24">
        <v>0</v>
      </c>
      <c r="AQ222" s="31">
        <f t="shared" si="19"/>
        <v>7.6</v>
      </c>
      <c r="AR222" s="32">
        <f t="shared" si="19"/>
        <v>19000</v>
      </c>
      <c r="AS222" s="30">
        <v>11</v>
      </c>
    </row>
    <row r="223" spans="1:45" ht="16" x14ac:dyDescent="0.2">
      <c r="A223" s="19">
        <v>220</v>
      </c>
      <c r="B223" s="21" t="s">
        <v>237</v>
      </c>
      <c r="C223" s="20" t="s">
        <v>245</v>
      </c>
      <c r="D223" s="345"/>
      <c r="E223" s="22">
        <v>12</v>
      </c>
      <c r="F223" s="23">
        <f t="shared" si="15"/>
        <v>30000</v>
      </c>
      <c r="G223" s="19">
        <v>0</v>
      </c>
      <c r="H223" s="23">
        <v>0</v>
      </c>
      <c r="I223" s="24">
        <v>0</v>
      </c>
      <c r="J223" s="19">
        <v>0</v>
      </c>
      <c r="K223" s="23">
        <v>0</v>
      </c>
      <c r="L223" s="24">
        <v>0</v>
      </c>
      <c r="M223" s="25">
        <v>4.4000000000000004</v>
      </c>
      <c r="N223" s="26">
        <v>11000</v>
      </c>
      <c r="O223" s="27">
        <v>11</v>
      </c>
      <c r="P223" s="28">
        <f t="shared" si="16"/>
        <v>1.2</v>
      </c>
      <c r="Q223" s="29">
        <f t="shared" si="17"/>
        <v>3000</v>
      </c>
      <c r="R223" s="30">
        <v>3</v>
      </c>
      <c r="S223" s="19">
        <v>0</v>
      </c>
      <c r="T223" s="23">
        <v>0</v>
      </c>
      <c r="U223" s="24">
        <v>0</v>
      </c>
      <c r="V223" s="31">
        <f t="shared" si="18"/>
        <v>5.2</v>
      </c>
      <c r="W223" s="32">
        <v>13000</v>
      </c>
      <c r="X223" s="30">
        <v>13</v>
      </c>
      <c r="Y223" s="19">
        <v>0</v>
      </c>
      <c r="Z223" s="23">
        <v>0</v>
      </c>
      <c r="AA223" s="24">
        <v>0</v>
      </c>
      <c r="AB223" s="33">
        <v>0</v>
      </c>
      <c r="AC223" s="34">
        <v>0</v>
      </c>
      <c r="AD223" s="35">
        <v>0</v>
      </c>
      <c r="AE223" s="36">
        <v>0</v>
      </c>
      <c r="AF223" s="23">
        <v>0</v>
      </c>
      <c r="AG223" s="24">
        <v>0</v>
      </c>
      <c r="AH223" s="33">
        <v>0</v>
      </c>
      <c r="AI223" s="37">
        <v>0</v>
      </c>
      <c r="AJ223" s="35">
        <v>0</v>
      </c>
      <c r="AK223" s="36">
        <v>0</v>
      </c>
      <c r="AL223" s="38">
        <v>0</v>
      </c>
      <c r="AM223" s="35">
        <v>0</v>
      </c>
      <c r="AN223" s="19">
        <v>0</v>
      </c>
      <c r="AO223" s="23">
        <v>0</v>
      </c>
      <c r="AP223" s="24">
        <v>0</v>
      </c>
      <c r="AQ223" s="31">
        <f t="shared" si="19"/>
        <v>10.8</v>
      </c>
      <c r="AR223" s="32">
        <f t="shared" si="19"/>
        <v>27000</v>
      </c>
      <c r="AS223" s="30">
        <v>14</v>
      </c>
    </row>
    <row r="224" spans="1:45" ht="16" x14ac:dyDescent="0.2">
      <c r="A224" s="19">
        <v>221</v>
      </c>
      <c r="B224" s="21" t="s">
        <v>246</v>
      </c>
      <c r="C224" s="20" t="s">
        <v>247</v>
      </c>
      <c r="D224" s="345"/>
      <c r="E224" s="22">
        <v>19.399999999999999</v>
      </c>
      <c r="F224" s="23">
        <f t="shared" si="15"/>
        <v>48500</v>
      </c>
      <c r="G224" s="19">
        <v>0</v>
      </c>
      <c r="H224" s="23">
        <v>0</v>
      </c>
      <c r="I224" s="24">
        <v>0</v>
      </c>
      <c r="J224" s="19">
        <v>0</v>
      </c>
      <c r="K224" s="23">
        <v>0</v>
      </c>
      <c r="L224" s="24">
        <v>0</v>
      </c>
      <c r="M224" s="25">
        <v>5.6</v>
      </c>
      <c r="N224" s="26">
        <v>14000</v>
      </c>
      <c r="O224" s="27">
        <v>14</v>
      </c>
      <c r="P224" s="28">
        <f t="shared" si="16"/>
        <v>0.8</v>
      </c>
      <c r="Q224" s="29">
        <f t="shared" si="17"/>
        <v>2000</v>
      </c>
      <c r="R224" s="30">
        <v>2</v>
      </c>
      <c r="S224" s="19">
        <v>0</v>
      </c>
      <c r="T224" s="23">
        <v>0</v>
      </c>
      <c r="U224" s="24">
        <v>0</v>
      </c>
      <c r="V224" s="31">
        <f t="shared" si="18"/>
        <v>6.4</v>
      </c>
      <c r="W224" s="32">
        <v>16000</v>
      </c>
      <c r="X224" s="30">
        <v>16</v>
      </c>
      <c r="Y224" s="19">
        <v>0</v>
      </c>
      <c r="Z224" s="23">
        <v>0</v>
      </c>
      <c r="AA224" s="24">
        <v>0</v>
      </c>
      <c r="AB224" s="33">
        <v>0</v>
      </c>
      <c r="AC224" s="34">
        <v>0</v>
      </c>
      <c r="AD224" s="35">
        <v>0</v>
      </c>
      <c r="AE224" s="36">
        <v>0</v>
      </c>
      <c r="AF224" s="23">
        <v>0</v>
      </c>
      <c r="AG224" s="24">
        <v>0</v>
      </c>
      <c r="AH224" s="33">
        <v>0</v>
      </c>
      <c r="AI224" s="37">
        <v>0</v>
      </c>
      <c r="AJ224" s="35">
        <v>0</v>
      </c>
      <c r="AK224" s="36">
        <v>0</v>
      </c>
      <c r="AL224" s="38">
        <v>0</v>
      </c>
      <c r="AM224" s="35">
        <v>0</v>
      </c>
      <c r="AN224" s="19">
        <v>0</v>
      </c>
      <c r="AO224" s="23">
        <v>0</v>
      </c>
      <c r="AP224" s="24">
        <v>0</v>
      </c>
      <c r="AQ224" s="31">
        <f t="shared" si="19"/>
        <v>12.8</v>
      </c>
      <c r="AR224" s="32">
        <f t="shared" si="19"/>
        <v>32000</v>
      </c>
      <c r="AS224" s="30">
        <v>16</v>
      </c>
    </row>
    <row r="225" spans="1:45" ht="16" x14ac:dyDescent="0.2">
      <c r="A225" s="19">
        <v>222</v>
      </c>
      <c r="B225" s="21" t="s">
        <v>246</v>
      </c>
      <c r="C225" s="20" t="s">
        <v>248</v>
      </c>
      <c r="D225" s="345" t="s">
        <v>25</v>
      </c>
      <c r="E225" s="22">
        <v>9.8000000000000007</v>
      </c>
      <c r="F225" s="23">
        <f t="shared" si="15"/>
        <v>24500</v>
      </c>
      <c r="G225" s="19">
        <v>0</v>
      </c>
      <c r="H225" s="23">
        <v>0</v>
      </c>
      <c r="I225" s="24">
        <v>0</v>
      </c>
      <c r="J225" s="19">
        <v>0</v>
      </c>
      <c r="K225" s="23">
        <v>0</v>
      </c>
      <c r="L225" s="24">
        <v>0</v>
      </c>
      <c r="M225" s="25">
        <v>3.2</v>
      </c>
      <c r="N225" s="26">
        <v>8000</v>
      </c>
      <c r="O225" s="27">
        <v>8</v>
      </c>
      <c r="P225" s="28">
        <f t="shared" si="16"/>
        <v>1.6</v>
      </c>
      <c r="Q225" s="29">
        <f t="shared" si="17"/>
        <v>4000</v>
      </c>
      <c r="R225" s="30">
        <v>4</v>
      </c>
      <c r="S225" s="19">
        <v>0</v>
      </c>
      <c r="T225" s="23">
        <v>0</v>
      </c>
      <c r="U225" s="24">
        <v>0</v>
      </c>
      <c r="V225" s="31">
        <f t="shared" si="18"/>
        <v>4.8</v>
      </c>
      <c r="W225" s="32">
        <v>12000</v>
      </c>
      <c r="X225" s="30">
        <v>12</v>
      </c>
      <c r="Y225" s="19">
        <v>0</v>
      </c>
      <c r="Z225" s="23">
        <v>0</v>
      </c>
      <c r="AA225" s="24">
        <v>0</v>
      </c>
      <c r="AB225" s="33">
        <v>0</v>
      </c>
      <c r="AC225" s="34">
        <v>0</v>
      </c>
      <c r="AD225" s="35">
        <v>0</v>
      </c>
      <c r="AE225" s="36">
        <v>0</v>
      </c>
      <c r="AF225" s="23">
        <v>0</v>
      </c>
      <c r="AG225" s="24">
        <v>0</v>
      </c>
      <c r="AH225" s="33">
        <v>0</v>
      </c>
      <c r="AI225" s="37">
        <v>0</v>
      </c>
      <c r="AJ225" s="35">
        <v>0</v>
      </c>
      <c r="AK225" s="36">
        <v>0</v>
      </c>
      <c r="AL225" s="38">
        <v>0</v>
      </c>
      <c r="AM225" s="35">
        <v>0</v>
      </c>
      <c r="AN225" s="19">
        <v>0</v>
      </c>
      <c r="AO225" s="23">
        <v>0</v>
      </c>
      <c r="AP225" s="24">
        <v>0</v>
      </c>
      <c r="AQ225" s="31">
        <f t="shared" si="19"/>
        <v>9.6000000000000014</v>
      </c>
      <c r="AR225" s="32">
        <f t="shared" si="19"/>
        <v>24000</v>
      </c>
      <c r="AS225" s="30">
        <v>12</v>
      </c>
    </row>
    <row r="226" spans="1:45" ht="16" x14ac:dyDescent="0.2">
      <c r="A226" s="19">
        <v>223</v>
      </c>
      <c r="B226" s="21" t="s">
        <v>246</v>
      </c>
      <c r="C226" s="20" t="s">
        <v>249</v>
      </c>
      <c r="D226" s="345"/>
      <c r="E226" s="22">
        <v>9.3999999999999986</v>
      </c>
      <c r="F226" s="23">
        <f t="shared" si="15"/>
        <v>23499.999999999996</v>
      </c>
      <c r="G226" s="19">
        <v>0</v>
      </c>
      <c r="H226" s="23">
        <v>0</v>
      </c>
      <c r="I226" s="24">
        <v>0</v>
      </c>
      <c r="J226" s="19">
        <v>0</v>
      </c>
      <c r="K226" s="23">
        <v>0</v>
      </c>
      <c r="L226" s="24">
        <v>0</v>
      </c>
      <c r="M226" s="25">
        <v>4.4000000000000004</v>
      </c>
      <c r="N226" s="26">
        <v>11000</v>
      </c>
      <c r="O226" s="27">
        <v>11</v>
      </c>
      <c r="P226" s="28">
        <f t="shared" si="16"/>
        <v>0.8</v>
      </c>
      <c r="Q226" s="29">
        <f t="shared" si="17"/>
        <v>2000</v>
      </c>
      <c r="R226" s="30">
        <v>2</v>
      </c>
      <c r="S226" s="19">
        <v>0</v>
      </c>
      <c r="T226" s="23">
        <v>0</v>
      </c>
      <c r="U226" s="24">
        <v>0</v>
      </c>
      <c r="V226" s="31">
        <f t="shared" si="18"/>
        <v>5.6</v>
      </c>
      <c r="W226" s="32">
        <v>14000</v>
      </c>
      <c r="X226" s="30">
        <v>14</v>
      </c>
      <c r="Y226" s="19">
        <v>0</v>
      </c>
      <c r="Z226" s="23">
        <v>0</v>
      </c>
      <c r="AA226" s="24">
        <v>0</v>
      </c>
      <c r="AB226" s="33">
        <v>0</v>
      </c>
      <c r="AC226" s="34">
        <v>0</v>
      </c>
      <c r="AD226" s="35">
        <v>0</v>
      </c>
      <c r="AE226" s="36">
        <v>0</v>
      </c>
      <c r="AF226" s="23">
        <v>0</v>
      </c>
      <c r="AG226" s="24">
        <v>0</v>
      </c>
      <c r="AH226" s="33">
        <v>0</v>
      </c>
      <c r="AI226" s="37">
        <v>0</v>
      </c>
      <c r="AJ226" s="35">
        <v>0</v>
      </c>
      <c r="AK226" s="36">
        <v>0</v>
      </c>
      <c r="AL226" s="38">
        <v>0</v>
      </c>
      <c r="AM226" s="35">
        <v>0</v>
      </c>
      <c r="AN226" s="19">
        <v>0</v>
      </c>
      <c r="AO226" s="23">
        <v>0</v>
      </c>
      <c r="AP226" s="24">
        <v>0</v>
      </c>
      <c r="AQ226" s="31">
        <f t="shared" si="19"/>
        <v>10.8</v>
      </c>
      <c r="AR226" s="32">
        <f t="shared" si="19"/>
        <v>27000</v>
      </c>
      <c r="AS226" s="30">
        <v>14</v>
      </c>
    </row>
    <row r="227" spans="1:45" ht="16" x14ac:dyDescent="0.2">
      <c r="A227" s="19">
        <v>224</v>
      </c>
      <c r="B227" s="21" t="s">
        <v>246</v>
      </c>
      <c r="C227" s="20" t="s">
        <v>250</v>
      </c>
      <c r="D227" s="345"/>
      <c r="E227" s="22">
        <v>8</v>
      </c>
      <c r="F227" s="23">
        <f t="shared" si="15"/>
        <v>20000</v>
      </c>
      <c r="G227" s="19">
        <v>0</v>
      </c>
      <c r="H227" s="23">
        <v>0</v>
      </c>
      <c r="I227" s="24">
        <v>0</v>
      </c>
      <c r="J227" s="19">
        <v>0</v>
      </c>
      <c r="K227" s="23">
        <v>0</v>
      </c>
      <c r="L227" s="24">
        <v>0</v>
      </c>
      <c r="M227" s="25">
        <v>2.4</v>
      </c>
      <c r="N227" s="26">
        <v>6000</v>
      </c>
      <c r="O227" s="27">
        <v>6</v>
      </c>
      <c r="P227" s="28">
        <f t="shared" si="16"/>
        <v>0</v>
      </c>
      <c r="Q227" s="29">
        <f t="shared" si="17"/>
        <v>0</v>
      </c>
      <c r="R227" s="30">
        <v>0</v>
      </c>
      <c r="S227" s="19">
        <v>0</v>
      </c>
      <c r="T227" s="23">
        <v>0</v>
      </c>
      <c r="U227" s="24">
        <v>0</v>
      </c>
      <c r="V227" s="31">
        <f t="shared" si="18"/>
        <v>2.4</v>
      </c>
      <c r="W227" s="32">
        <v>6000</v>
      </c>
      <c r="X227" s="30">
        <v>6</v>
      </c>
      <c r="Y227" s="19">
        <v>0</v>
      </c>
      <c r="Z227" s="23">
        <v>0</v>
      </c>
      <c r="AA227" s="24">
        <v>0</v>
      </c>
      <c r="AB227" s="33">
        <v>0</v>
      </c>
      <c r="AC227" s="34">
        <v>0</v>
      </c>
      <c r="AD227" s="35">
        <v>0</v>
      </c>
      <c r="AE227" s="36">
        <v>0</v>
      </c>
      <c r="AF227" s="23">
        <v>0</v>
      </c>
      <c r="AG227" s="24">
        <v>0</v>
      </c>
      <c r="AH227" s="33">
        <v>0</v>
      </c>
      <c r="AI227" s="37">
        <v>0</v>
      </c>
      <c r="AJ227" s="35">
        <v>0</v>
      </c>
      <c r="AK227" s="36">
        <v>0</v>
      </c>
      <c r="AL227" s="38">
        <v>0</v>
      </c>
      <c r="AM227" s="35">
        <v>0</v>
      </c>
      <c r="AN227" s="19">
        <v>0</v>
      </c>
      <c r="AO227" s="23">
        <v>0</v>
      </c>
      <c r="AP227" s="24">
        <v>0</v>
      </c>
      <c r="AQ227" s="31">
        <f t="shared" si="19"/>
        <v>4.8</v>
      </c>
      <c r="AR227" s="32">
        <f t="shared" si="19"/>
        <v>12000</v>
      </c>
      <c r="AS227" s="30">
        <v>6</v>
      </c>
    </row>
    <row r="228" spans="1:45" ht="16" x14ac:dyDescent="0.2">
      <c r="A228" s="19">
        <v>225</v>
      </c>
      <c r="B228" s="21" t="s">
        <v>246</v>
      </c>
      <c r="C228" s="20" t="s">
        <v>251</v>
      </c>
      <c r="D228" s="345"/>
      <c r="E228" s="22">
        <v>12.2</v>
      </c>
      <c r="F228" s="23">
        <f t="shared" si="15"/>
        <v>30500</v>
      </c>
      <c r="G228" s="19">
        <v>0</v>
      </c>
      <c r="H228" s="23">
        <v>0</v>
      </c>
      <c r="I228" s="24">
        <v>0</v>
      </c>
      <c r="J228" s="19">
        <v>0</v>
      </c>
      <c r="K228" s="23">
        <v>0</v>
      </c>
      <c r="L228" s="24">
        <v>0</v>
      </c>
      <c r="M228" s="25">
        <v>4</v>
      </c>
      <c r="N228" s="26">
        <v>10000</v>
      </c>
      <c r="O228" s="27">
        <v>10</v>
      </c>
      <c r="P228" s="28">
        <f t="shared" si="16"/>
        <v>1.2</v>
      </c>
      <c r="Q228" s="29">
        <f t="shared" si="17"/>
        <v>3000</v>
      </c>
      <c r="R228" s="30">
        <v>3</v>
      </c>
      <c r="S228" s="19">
        <v>0</v>
      </c>
      <c r="T228" s="23">
        <v>0</v>
      </c>
      <c r="U228" s="24">
        <v>0</v>
      </c>
      <c r="V228" s="31">
        <f t="shared" si="18"/>
        <v>4.8</v>
      </c>
      <c r="W228" s="32">
        <v>12000</v>
      </c>
      <c r="X228" s="30">
        <v>12</v>
      </c>
      <c r="Y228" s="19">
        <v>0</v>
      </c>
      <c r="Z228" s="23">
        <v>0</v>
      </c>
      <c r="AA228" s="24">
        <v>0</v>
      </c>
      <c r="AB228" s="33">
        <v>0</v>
      </c>
      <c r="AC228" s="34">
        <v>0</v>
      </c>
      <c r="AD228" s="35">
        <v>0</v>
      </c>
      <c r="AE228" s="36">
        <v>0</v>
      </c>
      <c r="AF228" s="23">
        <v>0</v>
      </c>
      <c r="AG228" s="24">
        <v>0</v>
      </c>
      <c r="AH228" s="33">
        <v>0</v>
      </c>
      <c r="AI228" s="37">
        <v>0</v>
      </c>
      <c r="AJ228" s="35">
        <v>0</v>
      </c>
      <c r="AK228" s="36">
        <v>0</v>
      </c>
      <c r="AL228" s="38">
        <v>0</v>
      </c>
      <c r="AM228" s="35">
        <v>0</v>
      </c>
      <c r="AN228" s="19">
        <v>0</v>
      </c>
      <c r="AO228" s="23">
        <v>0</v>
      </c>
      <c r="AP228" s="24">
        <v>0</v>
      </c>
      <c r="AQ228" s="31">
        <f t="shared" si="19"/>
        <v>10</v>
      </c>
      <c r="AR228" s="32">
        <f t="shared" si="19"/>
        <v>25000</v>
      </c>
      <c r="AS228" s="30">
        <v>13</v>
      </c>
    </row>
    <row r="229" spans="1:45" ht="16" x14ac:dyDescent="0.2">
      <c r="A229" s="19">
        <v>226</v>
      </c>
      <c r="B229" s="21" t="s">
        <v>246</v>
      </c>
      <c r="C229" s="20" t="s">
        <v>252</v>
      </c>
      <c r="D229" s="345"/>
      <c r="E229" s="22">
        <v>7.1999999999999993</v>
      </c>
      <c r="F229" s="23">
        <f t="shared" si="15"/>
        <v>18000</v>
      </c>
      <c r="G229" s="19">
        <v>0</v>
      </c>
      <c r="H229" s="23">
        <v>0</v>
      </c>
      <c r="I229" s="24">
        <v>0</v>
      </c>
      <c r="J229" s="19">
        <v>0</v>
      </c>
      <c r="K229" s="23">
        <v>0</v>
      </c>
      <c r="L229" s="24">
        <v>0</v>
      </c>
      <c r="M229" s="25">
        <v>2.8</v>
      </c>
      <c r="N229" s="26">
        <v>7000</v>
      </c>
      <c r="O229" s="27">
        <v>7</v>
      </c>
      <c r="P229" s="28">
        <f t="shared" si="16"/>
        <v>0.4</v>
      </c>
      <c r="Q229" s="29">
        <f t="shared" si="17"/>
        <v>1000</v>
      </c>
      <c r="R229" s="30">
        <v>1</v>
      </c>
      <c r="S229" s="19">
        <v>0</v>
      </c>
      <c r="T229" s="23">
        <v>0</v>
      </c>
      <c r="U229" s="24">
        <v>0</v>
      </c>
      <c r="V229" s="31">
        <f t="shared" si="18"/>
        <v>3.2</v>
      </c>
      <c r="W229" s="32">
        <v>8000</v>
      </c>
      <c r="X229" s="30">
        <v>8</v>
      </c>
      <c r="Y229" s="19">
        <v>0</v>
      </c>
      <c r="Z229" s="23">
        <v>0</v>
      </c>
      <c r="AA229" s="24">
        <v>0</v>
      </c>
      <c r="AB229" s="33">
        <v>0</v>
      </c>
      <c r="AC229" s="34">
        <v>0</v>
      </c>
      <c r="AD229" s="35">
        <v>0</v>
      </c>
      <c r="AE229" s="36">
        <v>0</v>
      </c>
      <c r="AF229" s="23">
        <v>0</v>
      </c>
      <c r="AG229" s="24">
        <v>0</v>
      </c>
      <c r="AH229" s="33">
        <v>0</v>
      </c>
      <c r="AI229" s="37">
        <v>0</v>
      </c>
      <c r="AJ229" s="35">
        <v>0</v>
      </c>
      <c r="AK229" s="36">
        <v>0</v>
      </c>
      <c r="AL229" s="38">
        <v>0</v>
      </c>
      <c r="AM229" s="35">
        <v>0</v>
      </c>
      <c r="AN229" s="19">
        <v>0</v>
      </c>
      <c r="AO229" s="23">
        <v>0</v>
      </c>
      <c r="AP229" s="24">
        <v>0</v>
      </c>
      <c r="AQ229" s="31">
        <f t="shared" si="19"/>
        <v>6.4</v>
      </c>
      <c r="AR229" s="32">
        <f t="shared" si="19"/>
        <v>16000</v>
      </c>
      <c r="AS229" s="30">
        <v>8</v>
      </c>
    </row>
    <row r="230" spans="1:45" ht="16" x14ac:dyDescent="0.2">
      <c r="A230" s="19">
        <v>227</v>
      </c>
      <c r="B230" s="21" t="s">
        <v>246</v>
      </c>
      <c r="C230" s="20" t="s">
        <v>253</v>
      </c>
      <c r="D230" s="345"/>
      <c r="E230" s="22">
        <v>8.7999999999999972</v>
      </c>
      <c r="F230" s="23">
        <f t="shared" si="15"/>
        <v>21999.999999999993</v>
      </c>
      <c r="G230" s="19">
        <v>0</v>
      </c>
      <c r="H230" s="23">
        <v>0</v>
      </c>
      <c r="I230" s="24">
        <v>0</v>
      </c>
      <c r="J230" s="19">
        <v>0</v>
      </c>
      <c r="K230" s="23">
        <v>0</v>
      </c>
      <c r="L230" s="24">
        <v>0</v>
      </c>
      <c r="M230" s="25">
        <v>4.4000000000000004</v>
      </c>
      <c r="N230" s="26">
        <v>11000</v>
      </c>
      <c r="O230" s="27">
        <v>11</v>
      </c>
      <c r="P230" s="28">
        <f t="shared" si="16"/>
        <v>2</v>
      </c>
      <c r="Q230" s="29">
        <f t="shared" si="17"/>
        <v>5000</v>
      </c>
      <c r="R230" s="30">
        <v>5</v>
      </c>
      <c r="S230" s="19">
        <v>0</v>
      </c>
      <c r="T230" s="23">
        <v>0</v>
      </c>
      <c r="U230" s="24">
        <v>0</v>
      </c>
      <c r="V230" s="31">
        <f t="shared" si="18"/>
        <v>6.8</v>
      </c>
      <c r="W230" s="32">
        <v>17000</v>
      </c>
      <c r="X230" s="30">
        <v>17</v>
      </c>
      <c r="Y230" s="19">
        <v>0</v>
      </c>
      <c r="Z230" s="23">
        <v>0</v>
      </c>
      <c r="AA230" s="24">
        <v>0</v>
      </c>
      <c r="AB230" s="33">
        <v>0</v>
      </c>
      <c r="AC230" s="34">
        <v>0</v>
      </c>
      <c r="AD230" s="35">
        <v>0</v>
      </c>
      <c r="AE230" s="36">
        <v>0</v>
      </c>
      <c r="AF230" s="23">
        <v>0</v>
      </c>
      <c r="AG230" s="24">
        <v>0</v>
      </c>
      <c r="AH230" s="33">
        <v>0</v>
      </c>
      <c r="AI230" s="37">
        <v>0</v>
      </c>
      <c r="AJ230" s="35">
        <v>0</v>
      </c>
      <c r="AK230" s="36">
        <v>0</v>
      </c>
      <c r="AL230" s="38">
        <v>0</v>
      </c>
      <c r="AM230" s="35">
        <v>0</v>
      </c>
      <c r="AN230" s="19">
        <v>0</v>
      </c>
      <c r="AO230" s="23">
        <v>0</v>
      </c>
      <c r="AP230" s="24">
        <v>0</v>
      </c>
      <c r="AQ230" s="31">
        <f t="shared" si="19"/>
        <v>13.2</v>
      </c>
      <c r="AR230" s="32">
        <f t="shared" si="19"/>
        <v>33000</v>
      </c>
      <c r="AS230" s="30">
        <v>17</v>
      </c>
    </row>
    <row r="231" spans="1:45" ht="16" x14ac:dyDescent="0.2">
      <c r="A231" s="19">
        <v>228</v>
      </c>
      <c r="B231" s="21" t="s">
        <v>246</v>
      </c>
      <c r="C231" s="20" t="s">
        <v>254</v>
      </c>
      <c r="D231" s="345"/>
      <c r="E231" s="22">
        <v>4.8000000000000007</v>
      </c>
      <c r="F231" s="23">
        <f t="shared" si="15"/>
        <v>12000.000000000002</v>
      </c>
      <c r="G231" s="19">
        <v>0</v>
      </c>
      <c r="H231" s="23">
        <v>0</v>
      </c>
      <c r="I231" s="24">
        <v>0</v>
      </c>
      <c r="J231" s="19">
        <v>0</v>
      </c>
      <c r="K231" s="23">
        <v>0</v>
      </c>
      <c r="L231" s="24">
        <v>0</v>
      </c>
      <c r="M231" s="25">
        <v>1.6</v>
      </c>
      <c r="N231" s="26">
        <v>4000</v>
      </c>
      <c r="O231" s="27">
        <v>4</v>
      </c>
      <c r="P231" s="28">
        <f t="shared" si="16"/>
        <v>1.2</v>
      </c>
      <c r="Q231" s="29">
        <f t="shared" si="17"/>
        <v>3000</v>
      </c>
      <c r="R231" s="30">
        <v>3</v>
      </c>
      <c r="S231" s="19">
        <v>0</v>
      </c>
      <c r="T231" s="23">
        <v>0</v>
      </c>
      <c r="U231" s="24">
        <v>0</v>
      </c>
      <c r="V231" s="31">
        <f t="shared" si="18"/>
        <v>2.8</v>
      </c>
      <c r="W231" s="32">
        <v>7000</v>
      </c>
      <c r="X231" s="30">
        <v>7</v>
      </c>
      <c r="Y231" s="19">
        <v>0</v>
      </c>
      <c r="Z231" s="23">
        <v>0</v>
      </c>
      <c r="AA231" s="24">
        <v>0</v>
      </c>
      <c r="AB231" s="33">
        <v>0</v>
      </c>
      <c r="AC231" s="34">
        <v>0</v>
      </c>
      <c r="AD231" s="35">
        <v>0</v>
      </c>
      <c r="AE231" s="36">
        <v>0</v>
      </c>
      <c r="AF231" s="23">
        <v>0</v>
      </c>
      <c r="AG231" s="24">
        <v>0</v>
      </c>
      <c r="AH231" s="33">
        <v>0</v>
      </c>
      <c r="AI231" s="37">
        <v>0</v>
      </c>
      <c r="AJ231" s="35">
        <v>0</v>
      </c>
      <c r="AK231" s="36">
        <v>0</v>
      </c>
      <c r="AL231" s="38">
        <v>0</v>
      </c>
      <c r="AM231" s="35">
        <v>0</v>
      </c>
      <c r="AN231" s="19">
        <v>0</v>
      </c>
      <c r="AO231" s="23">
        <v>0</v>
      </c>
      <c r="AP231" s="24">
        <v>0</v>
      </c>
      <c r="AQ231" s="31">
        <f t="shared" si="19"/>
        <v>5.6</v>
      </c>
      <c r="AR231" s="32">
        <f t="shared" si="19"/>
        <v>14000</v>
      </c>
      <c r="AS231" s="30">
        <v>7</v>
      </c>
    </row>
    <row r="232" spans="1:45" ht="16" x14ac:dyDescent="0.2">
      <c r="A232" s="19">
        <v>229</v>
      </c>
      <c r="B232" s="21" t="s">
        <v>246</v>
      </c>
      <c r="C232" s="20" t="s">
        <v>255</v>
      </c>
      <c r="D232" s="345"/>
      <c r="E232" s="22">
        <v>5</v>
      </c>
      <c r="F232" s="23">
        <f t="shared" si="15"/>
        <v>12500</v>
      </c>
      <c r="G232" s="19">
        <v>0</v>
      </c>
      <c r="H232" s="23">
        <v>0</v>
      </c>
      <c r="I232" s="24">
        <v>0</v>
      </c>
      <c r="J232" s="19">
        <v>0</v>
      </c>
      <c r="K232" s="23">
        <v>0</v>
      </c>
      <c r="L232" s="24">
        <v>0</v>
      </c>
      <c r="M232" s="25">
        <v>1.6</v>
      </c>
      <c r="N232" s="26">
        <v>4000</v>
      </c>
      <c r="O232" s="27">
        <v>4</v>
      </c>
      <c r="P232" s="28">
        <f t="shared" si="16"/>
        <v>0.8</v>
      </c>
      <c r="Q232" s="29">
        <f t="shared" si="17"/>
        <v>2000</v>
      </c>
      <c r="R232" s="30">
        <v>2</v>
      </c>
      <c r="S232" s="19">
        <v>0</v>
      </c>
      <c r="T232" s="23">
        <v>0</v>
      </c>
      <c r="U232" s="24">
        <v>0</v>
      </c>
      <c r="V232" s="31">
        <f t="shared" si="18"/>
        <v>2.8</v>
      </c>
      <c r="W232" s="32">
        <v>7000</v>
      </c>
      <c r="X232" s="30">
        <v>7</v>
      </c>
      <c r="Y232" s="19">
        <v>0</v>
      </c>
      <c r="Z232" s="23">
        <v>0</v>
      </c>
      <c r="AA232" s="24">
        <v>0</v>
      </c>
      <c r="AB232" s="33">
        <v>0</v>
      </c>
      <c r="AC232" s="34">
        <v>0</v>
      </c>
      <c r="AD232" s="35">
        <v>0</v>
      </c>
      <c r="AE232" s="36">
        <v>0</v>
      </c>
      <c r="AF232" s="23">
        <v>0</v>
      </c>
      <c r="AG232" s="24">
        <v>0</v>
      </c>
      <c r="AH232" s="33">
        <v>0</v>
      </c>
      <c r="AI232" s="37">
        <v>0</v>
      </c>
      <c r="AJ232" s="35">
        <v>0</v>
      </c>
      <c r="AK232" s="36">
        <v>0</v>
      </c>
      <c r="AL232" s="38">
        <v>0</v>
      </c>
      <c r="AM232" s="35">
        <v>0</v>
      </c>
      <c r="AN232" s="19">
        <v>0</v>
      </c>
      <c r="AO232" s="23">
        <v>0</v>
      </c>
      <c r="AP232" s="24">
        <v>0</v>
      </c>
      <c r="AQ232" s="31">
        <f t="shared" si="19"/>
        <v>5.2</v>
      </c>
      <c r="AR232" s="32">
        <f t="shared" si="19"/>
        <v>13000</v>
      </c>
      <c r="AS232" s="30">
        <v>7</v>
      </c>
    </row>
    <row r="233" spans="1:45" ht="16" x14ac:dyDescent="0.2">
      <c r="A233" s="19">
        <v>230</v>
      </c>
      <c r="B233" s="21" t="s">
        <v>246</v>
      </c>
      <c r="C233" s="20" t="s">
        <v>256</v>
      </c>
      <c r="D233" s="345"/>
      <c r="E233" s="22">
        <v>6.8</v>
      </c>
      <c r="F233" s="23">
        <f t="shared" si="15"/>
        <v>17000</v>
      </c>
      <c r="G233" s="19">
        <v>0</v>
      </c>
      <c r="H233" s="23">
        <v>0</v>
      </c>
      <c r="I233" s="24">
        <v>0</v>
      </c>
      <c r="J233" s="19">
        <v>0</v>
      </c>
      <c r="K233" s="23">
        <v>0</v>
      </c>
      <c r="L233" s="24">
        <v>0</v>
      </c>
      <c r="M233" s="25">
        <v>1.6</v>
      </c>
      <c r="N233" s="26">
        <v>4000</v>
      </c>
      <c r="O233" s="27">
        <v>4</v>
      </c>
      <c r="P233" s="28">
        <f t="shared" si="16"/>
        <v>2</v>
      </c>
      <c r="Q233" s="29">
        <f t="shared" si="17"/>
        <v>5000</v>
      </c>
      <c r="R233" s="30">
        <v>5</v>
      </c>
      <c r="S233" s="19">
        <v>0</v>
      </c>
      <c r="T233" s="23">
        <v>0</v>
      </c>
      <c r="U233" s="24">
        <v>0</v>
      </c>
      <c r="V233" s="31">
        <f t="shared" si="18"/>
        <v>3.6</v>
      </c>
      <c r="W233" s="32">
        <v>9000</v>
      </c>
      <c r="X233" s="30">
        <v>9</v>
      </c>
      <c r="Y233" s="19">
        <v>0</v>
      </c>
      <c r="Z233" s="23">
        <v>0</v>
      </c>
      <c r="AA233" s="24">
        <v>0</v>
      </c>
      <c r="AB233" s="33">
        <v>0</v>
      </c>
      <c r="AC233" s="34">
        <v>0</v>
      </c>
      <c r="AD233" s="35">
        <v>0</v>
      </c>
      <c r="AE233" s="36">
        <v>0</v>
      </c>
      <c r="AF233" s="23">
        <v>0</v>
      </c>
      <c r="AG233" s="24">
        <v>0</v>
      </c>
      <c r="AH233" s="33">
        <v>0</v>
      </c>
      <c r="AI233" s="37">
        <v>0</v>
      </c>
      <c r="AJ233" s="35">
        <v>0</v>
      </c>
      <c r="AK233" s="36">
        <v>0</v>
      </c>
      <c r="AL233" s="38">
        <v>0</v>
      </c>
      <c r="AM233" s="35">
        <v>0</v>
      </c>
      <c r="AN233" s="19">
        <v>0</v>
      </c>
      <c r="AO233" s="23">
        <v>0</v>
      </c>
      <c r="AP233" s="24">
        <v>0</v>
      </c>
      <c r="AQ233" s="31">
        <f t="shared" si="19"/>
        <v>7.2</v>
      </c>
      <c r="AR233" s="32">
        <f t="shared" si="19"/>
        <v>18000</v>
      </c>
      <c r="AS233" s="30">
        <v>9</v>
      </c>
    </row>
    <row r="234" spans="1:45" ht="16" x14ac:dyDescent="0.2">
      <c r="A234" s="19">
        <v>231</v>
      </c>
      <c r="B234" s="21" t="s">
        <v>246</v>
      </c>
      <c r="C234" s="20" t="s">
        <v>257</v>
      </c>
      <c r="D234" s="345"/>
      <c r="E234" s="22">
        <v>15</v>
      </c>
      <c r="F234" s="23">
        <f t="shared" si="15"/>
        <v>37500</v>
      </c>
      <c r="G234" s="19">
        <v>0</v>
      </c>
      <c r="H234" s="23">
        <v>0</v>
      </c>
      <c r="I234" s="24">
        <v>0</v>
      </c>
      <c r="J234" s="19">
        <v>0</v>
      </c>
      <c r="K234" s="23">
        <v>0</v>
      </c>
      <c r="L234" s="24">
        <v>0</v>
      </c>
      <c r="M234" s="25">
        <v>6.4</v>
      </c>
      <c r="N234" s="26">
        <v>16000</v>
      </c>
      <c r="O234" s="27">
        <v>16</v>
      </c>
      <c r="P234" s="28">
        <f t="shared" si="16"/>
        <v>0.8</v>
      </c>
      <c r="Q234" s="29">
        <f t="shared" si="17"/>
        <v>2000</v>
      </c>
      <c r="R234" s="30">
        <v>2</v>
      </c>
      <c r="S234" s="19">
        <v>0</v>
      </c>
      <c r="T234" s="23">
        <v>0</v>
      </c>
      <c r="U234" s="24">
        <v>0</v>
      </c>
      <c r="V234" s="31">
        <f t="shared" si="18"/>
        <v>7.2</v>
      </c>
      <c r="W234" s="32">
        <v>18000</v>
      </c>
      <c r="X234" s="30">
        <v>18</v>
      </c>
      <c r="Y234" s="19">
        <v>0</v>
      </c>
      <c r="Z234" s="23">
        <v>0</v>
      </c>
      <c r="AA234" s="24">
        <v>0</v>
      </c>
      <c r="AB234" s="33">
        <v>0</v>
      </c>
      <c r="AC234" s="34">
        <v>0</v>
      </c>
      <c r="AD234" s="35">
        <v>0</v>
      </c>
      <c r="AE234" s="36">
        <v>0</v>
      </c>
      <c r="AF234" s="23">
        <v>0</v>
      </c>
      <c r="AG234" s="24">
        <v>0</v>
      </c>
      <c r="AH234" s="33">
        <v>0</v>
      </c>
      <c r="AI234" s="37">
        <v>0</v>
      </c>
      <c r="AJ234" s="35">
        <v>0</v>
      </c>
      <c r="AK234" s="36">
        <v>0</v>
      </c>
      <c r="AL234" s="38">
        <v>0</v>
      </c>
      <c r="AM234" s="35">
        <v>0</v>
      </c>
      <c r="AN234" s="19">
        <v>0</v>
      </c>
      <c r="AO234" s="23">
        <v>0</v>
      </c>
      <c r="AP234" s="24">
        <v>0</v>
      </c>
      <c r="AQ234" s="31">
        <f t="shared" si="19"/>
        <v>14.4</v>
      </c>
      <c r="AR234" s="32">
        <f t="shared" si="19"/>
        <v>36000</v>
      </c>
      <c r="AS234" s="30">
        <v>18</v>
      </c>
    </row>
    <row r="235" spans="1:45" ht="16" x14ac:dyDescent="0.2">
      <c r="A235" s="19">
        <v>232</v>
      </c>
      <c r="B235" s="21" t="s">
        <v>246</v>
      </c>
      <c r="C235" s="20" t="s">
        <v>258</v>
      </c>
      <c r="D235" s="345"/>
      <c r="E235" s="22">
        <v>10</v>
      </c>
      <c r="F235" s="23">
        <f t="shared" si="15"/>
        <v>25000</v>
      </c>
      <c r="G235" s="19">
        <v>0</v>
      </c>
      <c r="H235" s="23">
        <v>0</v>
      </c>
      <c r="I235" s="24">
        <v>0</v>
      </c>
      <c r="J235" s="19">
        <v>0</v>
      </c>
      <c r="K235" s="23">
        <v>0</v>
      </c>
      <c r="L235" s="24">
        <v>0</v>
      </c>
      <c r="M235" s="25">
        <v>3.2</v>
      </c>
      <c r="N235" s="26">
        <v>8000</v>
      </c>
      <c r="O235" s="27">
        <v>8</v>
      </c>
      <c r="P235" s="28">
        <f t="shared" si="16"/>
        <v>1.6</v>
      </c>
      <c r="Q235" s="29">
        <f t="shared" si="17"/>
        <v>4000</v>
      </c>
      <c r="R235" s="30">
        <v>4</v>
      </c>
      <c r="S235" s="19">
        <v>0</v>
      </c>
      <c r="T235" s="23">
        <v>0</v>
      </c>
      <c r="U235" s="24">
        <v>0</v>
      </c>
      <c r="V235" s="31">
        <f t="shared" si="18"/>
        <v>4.8</v>
      </c>
      <c r="W235" s="32">
        <v>12000</v>
      </c>
      <c r="X235" s="30">
        <v>12</v>
      </c>
      <c r="Y235" s="19">
        <v>0</v>
      </c>
      <c r="Z235" s="23">
        <v>0</v>
      </c>
      <c r="AA235" s="24">
        <v>0</v>
      </c>
      <c r="AB235" s="33">
        <v>0</v>
      </c>
      <c r="AC235" s="34">
        <v>0</v>
      </c>
      <c r="AD235" s="35">
        <v>0</v>
      </c>
      <c r="AE235" s="36">
        <v>0</v>
      </c>
      <c r="AF235" s="23">
        <v>0</v>
      </c>
      <c r="AG235" s="24">
        <v>0</v>
      </c>
      <c r="AH235" s="33">
        <v>0</v>
      </c>
      <c r="AI235" s="37">
        <v>0</v>
      </c>
      <c r="AJ235" s="35">
        <v>0</v>
      </c>
      <c r="AK235" s="36">
        <v>0</v>
      </c>
      <c r="AL235" s="38">
        <v>0</v>
      </c>
      <c r="AM235" s="35">
        <v>0</v>
      </c>
      <c r="AN235" s="19">
        <v>0</v>
      </c>
      <c r="AO235" s="23">
        <v>0</v>
      </c>
      <c r="AP235" s="24">
        <v>0</v>
      </c>
      <c r="AQ235" s="31">
        <f t="shared" si="19"/>
        <v>9.6000000000000014</v>
      </c>
      <c r="AR235" s="32">
        <f t="shared" si="19"/>
        <v>24000</v>
      </c>
      <c r="AS235" s="30">
        <v>12</v>
      </c>
    </row>
    <row r="236" spans="1:45" ht="16" x14ac:dyDescent="0.2">
      <c r="A236" s="19">
        <v>233</v>
      </c>
      <c r="B236" s="21" t="s">
        <v>246</v>
      </c>
      <c r="C236" s="20" t="s">
        <v>259</v>
      </c>
      <c r="D236" s="345"/>
      <c r="E236" s="22">
        <v>17.8</v>
      </c>
      <c r="F236" s="23">
        <f t="shared" si="15"/>
        <v>44500</v>
      </c>
      <c r="G236" s="19">
        <v>0</v>
      </c>
      <c r="H236" s="23">
        <v>0</v>
      </c>
      <c r="I236" s="24">
        <v>0</v>
      </c>
      <c r="J236" s="19">
        <v>0</v>
      </c>
      <c r="K236" s="23">
        <v>0</v>
      </c>
      <c r="L236" s="24">
        <v>0</v>
      </c>
      <c r="M236" s="25">
        <v>5.6</v>
      </c>
      <c r="N236" s="26">
        <v>14000</v>
      </c>
      <c r="O236" s="27">
        <v>14</v>
      </c>
      <c r="P236" s="28">
        <f t="shared" si="16"/>
        <v>0.8</v>
      </c>
      <c r="Q236" s="29">
        <f t="shared" si="17"/>
        <v>2000</v>
      </c>
      <c r="R236" s="30">
        <v>2</v>
      </c>
      <c r="S236" s="19">
        <v>0</v>
      </c>
      <c r="T236" s="23">
        <v>0</v>
      </c>
      <c r="U236" s="24">
        <v>0</v>
      </c>
      <c r="V236" s="31">
        <f t="shared" si="18"/>
        <v>6</v>
      </c>
      <c r="W236" s="32">
        <v>15000</v>
      </c>
      <c r="X236" s="30">
        <v>15</v>
      </c>
      <c r="Y236" s="19">
        <v>0</v>
      </c>
      <c r="Z236" s="23">
        <v>0</v>
      </c>
      <c r="AA236" s="24">
        <v>0</v>
      </c>
      <c r="AB236" s="33">
        <v>0</v>
      </c>
      <c r="AC236" s="34">
        <v>0</v>
      </c>
      <c r="AD236" s="35">
        <v>0</v>
      </c>
      <c r="AE236" s="36">
        <v>0</v>
      </c>
      <c r="AF236" s="23">
        <v>0</v>
      </c>
      <c r="AG236" s="24">
        <v>0</v>
      </c>
      <c r="AH236" s="33">
        <v>0</v>
      </c>
      <c r="AI236" s="37">
        <v>0</v>
      </c>
      <c r="AJ236" s="35">
        <v>0</v>
      </c>
      <c r="AK236" s="36">
        <v>0</v>
      </c>
      <c r="AL236" s="38">
        <v>0</v>
      </c>
      <c r="AM236" s="35">
        <v>0</v>
      </c>
      <c r="AN236" s="19">
        <v>0</v>
      </c>
      <c r="AO236" s="23">
        <v>0</v>
      </c>
      <c r="AP236" s="24">
        <v>0</v>
      </c>
      <c r="AQ236" s="31">
        <f t="shared" si="19"/>
        <v>12.399999999999999</v>
      </c>
      <c r="AR236" s="32">
        <f t="shared" si="19"/>
        <v>31000</v>
      </c>
      <c r="AS236" s="30">
        <v>16</v>
      </c>
    </row>
    <row r="237" spans="1:45" ht="16" x14ac:dyDescent="0.2">
      <c r="A237" s="19">
        <v>234</v>
      </c>
      <c r="B237" s="21" t="s">
        <v>246</v>
      </c>
      <c r="C237" s="20" t="s">
        <v>260</v>
      </c>
      <c r="D237" s="345"/>
      <c r="E237" s="22">
        <v>13</v>
      </c>
      <c r="F237" s="23">
        <f t="shared" si="15"/>
        <v>32500</v>
      </c>
      <c r="G237" s="19">
        <v>0</v>
      </c>
      <c r="H237" s="23">
        <v>0</v>
      </c>
      <c r="I237" s="24">
        <v>0</v>
      </c>
      <c r="J237" s="19">
        <v>0</v>
      </c>
      <c r="K237" s="23">
        <v>0</v>
      </c>
      <c r="L237" s="24">
        <v>0</v>
      </c>
      <c r="M237" s="25">
        <v>4</v>
      </c>
      <c r="N237" s="26">
        <v>10000</v>
      </c>
      <c r="O237" s="27">
        <v>10</v>
      </c>
      <c r="P237" s="28">
        <f t="shared" si="16"/>
        <v>1.2</v>
      </c>
      <c r="Q237" s="29">
        <f t="shared" si="17"/>
        <v>3000</v>
      </c>
      <c r="R237" s="30">
        <v>3</v>
      </c>
      <c r="S237" s="19">
        <v>0</v>
      </c>
      <c r="T237" s="23">
        <v>0</v>
      </c>
      <c r="U237" s="24">
        <v>0</v>
      </c>
      <c r="V237" s="31">
        <f t="shared" si="18"/>
        <v>5.2</v>
      </c>
      <c r="W237" s="32">
        <v>13000</v>
      </c>
      <c r="X237" s="30">
        <v>13</v>
      </c>
      <c r="Y237" s="19">
        <v>0</v>
      </c>
      <c r="Z237" s="23">
        <v>0</v>
      </c>
      <c r="AA237" s="24">
        <v>0</v>
      </c>
      <c r="AB237" s="33">
        <v>0</v>
      </c>
      <c r="AC237" s="34">
        <v>0</v>
      </c>
      <c r="AD237" s="35">
        <v>0</v>
      </c>
      <c r="AE237" s="36">
        <v>0</v>
      </c>
      <c r="AF237" s="23">
        <v>0</v>
      </c>
      <c r="AG237" s="24">
        <v>0</v>
      </c>
      <c r="AH237" s="33">
        <v>0</v>
      </c>
      <c r="AI237" s="37">
        <v>0</v>
      </c>
      <c r="AJ237" s="35">
        <v>0</v>
      </c>
      <c r="AK237" s="36">
        <v>0</v>
      </c>
      <c r="AL237" s="38">
        <v>0</v>
      </c>
      <c r="AM237" s="35">
        <v>0</v>
      </c>
      <c r="AN237" s="19">
        <v>0</v>
      </c>
      <c r="AO237" s="23">
        <v>0</v>
      </c>
      <c r="AP237" s="24">
        <v>0</v>
      </c>
      <c r="AQ237" s="31">
        <f t="shared" si="19"/>
        <v>10.4</v>
      </c>
      <c r="AR237" s="32">
        <f t="shared" si="19"/>
        <v>26000</v>
      </c>
      <c r="AS237" s="30">
        <v>13</v>
      </c>
    </row>
    <row r="238" spans="1:45" ht="16" x14ac:dyDescent="0.2">
      <c r="A238" s="19">
        <v>235</v>
      </c>
      <c r="B238" s="21" t="s">
        <v>246</v>
      </c>
      <c r="C238" s="20" t="s">
        <v>261</v>
      </c>
      <c r="D238" s="345"/>
      <c r="E238" s="22">
        <v>18</v>
      </c>
      <c r="F238" s="23">
        <f t="shared" si="15"/>
        <v>45000</v>
      </c>
      <c r="G238" s="19">
        <v>0</v>
      </c>
      <c r="H238" s="23">
        <v>0</v>
      </c>
      <c r="I238" s="24">
        <v>0</v>
      </c>
      <c r="J238" s="19">
        <v>0</v>
      </c>
      <c r="K238" s="23">
        <v>0</v>
      </c>
      <c r="L238" s="24">
        <v>0</v>
      </c>
      <c r="M238" s="25">
        <v>6</v>
      </c>
      <c r="N238" s="26">
        <v>15000</v>
      </c>
      <c r="O238" s="27">
        <v>15</v>
      </c>
      <c r="P238" s="28">
        <f t="shared" si="16"/>
        <v>0.4</v>
      </c>
      <c r="Q238" s="29">
        <f t="shared" si="17"/>
        <v>1000</v>
      </c>
      <c r="R238" s="30">
        <v>1</v>
      </c>
      <c r="S238" s="19">
        <v>0</v>
      </c>
      <c r="T238" s="23">
        <v>0</v>
      </c>
      <c r="U238" s="24">
        <v>0</v>
      </c>
      <c r="V238" s="31">
        <f t="shared" si="18"/>
        <v>8</v>
      </c>
      <c r="W238" s="32">
        <v>20000</v>
      </c>
      <c r="X238" s="30">
        <v>20</v>
      </c>
      <c r="Y238" s="19">
        <v>0</v>
      </c>
      <c r="Z238" s="23">
        <v>0</v>
      </c>
      <c r="AA238" s="24">
        <v>0</v>
      </c>
      <c r="AB238" s="33">
        <v>0</v>
      </c>
      <c r="AC238" s="34">
        <v>0</v>
      </c>
      <c r="AD238" s="35">
        <v>0</v>
      </c>
      <c r="AE238" s="36">
        <v>0</v>
      </c>
      <c r="AF238" s="23">
        <v>0</v>
      </c>
      <c r="AG238" s="24">
        <v>0</v>
      </c>
      <c r="AH238" s="33">
        <v>0</v>
      </c>
      <c r="AI238" s="37">
        <v>0</v>
      </c>
      <c r="AJ238" s="35">
        <v>0</v>
      </c>
      <c r="AK238" s="36">
        <v>0</v>
      </c>
      <c r="AL238" s="38">
        <v>0</v>
      </c>
      <c r="AM238" s="35">
        <v>0</v>
      </c>
      <c r="AN238" s="19">
        <v>0</v>
      </c>
      <c r="AO238" s="23">
        <v>0</v>
      </c>
      <c r="AP238" s="24">
        <v>0</v>
      </c>
      <c r="AQ238" s="31">
        <f t="shared" si="19"/>
        <v>14.4</v>
      </c>
      <c r="AR238" s="32">
        <f t="shared" si="19"/>
        <v>36000</v>
      </c>
      <c r="AS238" s="30">
        <v>20</v>
      </c>
    </row>
    <row r="239" spans="1:45" ht="16" x14ac:dyDescent="0.2">
      <c r="A239" s="19">
        <v>236</v>
      </c>
      <c r="B239" s="21" t="s">
        <v>246</v>
      </c>
      <c r="C239" s="20" t="s">
        <v>262</v>
      </c>
      <c r="D239" s="345"/>
      <c r="E239" s="22">
        <v>20</v>
      </c>
      <c r="F239" s="23">
        <f t="shared" si="15"/>
        <v>50000</v>
      </c>
      <c r="G239" s="19">
        <v>0</v>
      </c>
      <c r="H239" s="23">
        <v>0</v>
      </c>
      <c r="I239" s="24">
        <v>0</v>
      </c>
      <c r="J239" s="19">
        <v>0</v>
      </c>
      <c r="K239" s="23">
        <v>0</v>
      </c>
      <c r="L239" s="24">
        <v>0</v>
      </c>
      <c r="M239" s="25">
        <v>7.6</v>
      </c>
      <c r="N239" s="26">
        <v>19000</v>
      </c>
      <c r="O239" s="27">
        <v>19</v>
      </c>
      <c r="P239" s="28">
        <f t="shared" si="16"/>
        <v>1.6</v>
      </c>
      <c r="Q239" s="29">
        <f t="shared" si="17"/>
        <v>4000</v>
      </c>
      <c r="R239" s="30">
        <v>4</v>
      </c>
      <c r="S239" s="19">
        <v>0</v>
      </c>
      <c r="T239" s="23">
        <v>0</v>
      </c>
      <c r="U239" s="24">
        <v>0</v>
      </c>
      <c r="V239" s="31">
        <f t="shared" si="18"/>
        <v>9.1999999999999993</v>
      </c>
      <c r="W239" s="32">
        <v>23000</v>
      </c>
      <c r="X239" s="30">
        <v>23</v>
      </c>
      <c r="Y239" s="19">
        <v>0</v>
      </c>
      <c r="Z239" s="23">
        <v>0</v>
      </c>
      <c r="AA239" s="24">
        <v>0</v>
      </c>
      <c r="AB239" s="33">
        <v>0</v>
      </c>
      <c r="AC239" s="34">
        <v>0</v>
      </c>
      <c r="AD239" s="35">
        <v>0</v>
      </c>
      <c r="AE239" s="36">
        <v>0</v>
      </c>
      <c r="AF239" s="23">
        <v>0</v>
      </c>
      <c r="AG239" s="24">
        <v>0</v>
      </c>
      <c r="AH239" s="33">
        <v>0</v>
      </c>
      <c r="AI239" s="37">
        <v>0</v>
      </c>
      <c r="AJ239" s="35">
        <v>0</v>
      </c>
      <c r="AK239" s="36">
        <v>0</v>
      </c>
      <c r="AL239" s="38">
        <v>0</v>
      </c>
      <c r="AM239" s="35">
        <v>0</v>
      </c>
      <c r="AN239" s="19">
        <v>0</v>
      </c>
      <c r="AO239" s="23">
        <v>0</v>
      </c>
      <c r="AP239" s="24">
        <v>0</v>
      </c>
      <c r="AQ239" s="31">
        <f t="shared" si="19"/>
        <v>18.399999999999999</v>
      </c>
      <c r="AR239" s="32">
        <f t="shared" si="19"/>
        <v>46000</v>
      </c>
      <c r="AS239" s="30">
        <v>23</v>
      </c>
    </row>
    <row r="240" spans="1:45" ht="16" x14ac:dyDescent="0.2">
      <c r="A240" s="19">
        <v>237</v>
      </c>
      <c r="B240" s="21" t="s">
        <v>263</v>
      </c>
      <c r="C240" s="20" t="s">
        <v>264</v>
      </c>
      <c r="D240" s="345"/>
      <c r="E240" s="22">
        <v>7</v>
      </c>
      <c r="F240" s="23">
        <f t="shared" si="15"/>
        <v>17500</v>
      </c>
      <c r="G240" s="19">
        <v>0</v>
      </c>
      <c r="H240" s="23">
        <v>0</v>
      </c>
      <c r="I240" s="24">
        <v>0</v>
      </c>
      <c r="J240" s="19">
        <v>0</v>
      </c>
      <c r="K240" s="23">
        <v>0</v>
      </c>
      <c r="L240" s="24">
        <v>0</v>
      </c>
      <c r="M240" s="25">
        <v>2.8</v>
      </c>
      <c r="N240" s="26">
        <v>7000</v>
      </c>
      <c r="O240" s="27">
        <v>7</v>
      </c>
      <c r="P240" s="28">
        <f t="shared" si="16"/>
        <v>1.6</v>
      </c>
      <c r="Q240" s="29">
        <f t="shared" si="17"/>
        <v>4000</v>
      </c>
      <c r="R240" s="30">
        <v>4</v>
      </c>
      <c r="S240" s="19">
        <v>0</v>
      </c>
      <c r="T240" s="23">
        <v>0</v>
      </c>
      <c r="U240" s="24">
        <v>0</v>
      </c>
      <c r="V240" s="31">
        <f t="shared" si="18"/>
        <v>4.4000000000000004</v>
      </c>
      <c r="W240" s="32">
        <v>11000</v>
      </c>
      <c r="X240" s="30">
        <v>11</v>
      </c>
      <c r="Y240" s="19">
        <v>0</v>
      </c>
      <c r="Z240" s="23">
        <v>0</v>
      </c>
      <c r="AA240" s="24">
        <v>0</v>
      </c>
      <c r="AB240" s="33">
        <v>0</v>
      </c>
      <c r="AC240" s="34">
        <v>0</v>
      </c>
      <c r="AD240" s="35">
        <v>0</v>
      </c>
      <c r="AE240" s="36">
        <v>0</v>
      </c>
      <c r="AF240" s="23">
        <v>0</v>
      </c>
      <c r="AG240" s="24">
        <v>0</v>
      </c>
      <c r="AH240" s="33">
        <v>0</v>
      </c>
      <c r="AI240" s="37">
        <v>0</v>
      </c>
      <c r="AJ240" s="35">
        <v>0</v>
      </c>
      <c r="AK240" s="36">
        <v>0</v>
      </c>
      <c r="AL240" s="38">
        <v>0</v>
      </c>
      <c r="AM240" s="35">
        <v>0</v>
      </c>
      <c r="AN240" s="19">
        <v>0</v>
      </c>
      <c r="AO240" s="23">
        <v>0</v>
      </c>
      <c r="AP240" s="24">
        <v>0</v>
      </c>
      <c r="AQ240" s="31">
        <f t="shared" si="19"/>
        <v>8.8000000000000007</v>
      </c>
      <c r="AR240" s="32">
        <f t="shared" si="19"/>
        <v>22000</v>
      </c>
      <c r="AS240" s="30">
        <v>11</v>
      </c>
    </row>
    <row r="241" spans="1:45" ht="16" x14ac:dyDescent="0.2">
      <c r="A241" s="19">
        <v>238</v>
      </c>
      <c r="B241" s="21" t="s">
        <v>263</v>
      </c>
      <c r="C241" s="20" t="s">
        <v>265</v>
      </c>
      <c r="D241" s="345"/>
      <c r="E241" s="22">
        <v>37.800000000000011</v>
      </c>
      <c r="F241" s="23">
        <f t="shared" si="15"/>
        <v>94500.000000000029</v>
      </c>
      <c r="G241" s="19">
        <v>0</v>
      </c>
      <c r="H241" s="23">
        <v>0</v>
      </c>
      <c r="I241" s="24">
        <v>0</v>
      </c>
      <c r="J241" s="19">
        <v>0</v>
      </c>
      <c r="K241" s="23">
        <v>0</v>
      </c>
      <c r="L241" s="24">
        <v>0</v>
      </c>
      <c r="M241" s="25">
        <v>7.6</v>
      </c>
      <c r="N241" s="26">
        <v>19000</v>
      </c>
      <c r="O241" s="27">
        <v>19</v>
      </c>
      <c r="P241" s="28">
        <f t="shared" si="16"/>
        <v>6.4</v>
      </c>
      <c r="Q241" s="29">
        <f t="shared" si="17"/>
        <v>16000</v>
      </c>
      <c r="R241" s="30">
        <v>16</v>
      </c>
      <c r="S241" s="19">
        <v>0</v>
      </c>
      <c r="T241" s="23">
        <v>0</v>
      </c>
      <c r="U241" s="24">
        <v>0</v>
      </c>
      <c r="V241" s="31">
        <f t="shared" si="18"/>
        <v>14.8</v>
      </c>
      <c r="W241" s="32">
        <v>37000</v>
      </c>
      <c r="X241" s="30">
        <v>37</v>
      </c>
      <c r="Y241" s="19">
        <v>0</v>
      </c>
      <c r="Z241" s="23">
        <v>0</v>
      </c>
      <c r="AA241" s="24">
        <v>0</v>
      </c>
      <c r="AB241" s="33">
        <v>0</v>
      </c>
      <c r="AC241" s="34">
        <v>0</v>
      </c>
      <c r="AD241" s="35">
        <v>0</v>
      </c>
      <c r="AE241" s="36">
        <v>0</v>
      </c>
      <c r="AF241" s="23">
        <v>0</v>
      </c>
      <c r="AG241" s="24">
        <v>0</v>
      </c>
      <c r="AH241" s="33">
        <v>0</v>
      </c>
      <c r="AI241" s="37">
        <v>0</v>
      </c>
      <c r="AJ241" s="35">
        <v>0</v>
      </c>
      <c r="AK241" s="36">
        <v>0</v>
      </c>
      <c r="AL241" s="38">
        <v>0</v>
      </c>
      <c r="AM241" s="35">
        <v>0</v>
      </c>
      <c r="AN241" s="19">
        <v>0</v>
      </c>
      <c r="AO241" s="23">
        <v>0</v>
      </c>
      <c r="AP241" s="24">
        <v>0</v>
      </c>
      <c r="AQ241" s="31">
        <f t="shared" si="19"/>
        <v>28.8</v>
      </c>
      <c r="AR241" s="32">
        <f t="shared" si="19"/>
        <v>72000</v>
      </c>
      <c r="AS241" s="30">
        <v>37</v>
      </c>
    </row>
    <row r="242" spans="1:45" ht="16" x14ac:dyDescent="0.2">
      <c r="A242" s="19">
        <v>239</v>
      </c>
      <c r="B242" s="21" t="s">
        <v>263</v>
      </c>
      <c r="C242" s="20" t="s">
        <v>266</v>
      </c>
      <c r="D242" s="345" t="s">
        <v>25</v>
      </c>
      <c r="E242" s="22">
        <v>16.8</v>
      </c>
      <c r="F242" s="23">
        <f t="shared" si="15"/>
        <v>42000</v>
      </c>
      <c r="G242" s="19">
        <v>0</v>
      </c>
      <c r="H242" s="23">
        <v>0</v>
      </c>
      <c r="I242" s="24">
        <v>0</v>
      </c>
      <c r="J242" s="19">
        <v>0</v>
      </c>
      <c r="K242" s="23">
        <v>0</v>
      </c>
      <c r="L242" s="24">
        <v>0</v>
      </c>
      <c r="M242" s="25">
        <v>4.4000000000000004</v>
      </c>
      <c r="N242" s="26">
        <v>11000</v>
      </c>
      <c r="O242" s="27">
        <v>11</v>
      </c>
      <c r="P242" s="28">
        <f t="shared" si="16"/>
        <v>3.2</v>
      </c>
      <c r="Q242" s="29">
        <f t="shared" si="17"/>
        <v>8000</v>
      </c>
      <c r="R242" s="30">
        <v>8</v>
      </c>
      <c r="S242" s="19">
        <v>0</v>
      </c>
      <c r="T242" s="23">
        <v>0</v>
      </c>
      <c r="U242" s="24">
        <v>0</v>
      </c>
      <c r="V242" s="31">
        <f t="shared" si="18"/>
        <v>7.6</v>
      </c>
      <c r="W242" s="32">
        <v>19000</v>
      </c>
      <c r="X242" s="30">
        <v>19</v>
      </c>
      <c r="Y242" s="19">
        <v>0</v>
      </c>
      <c r="Z242" s="23">
        <v>0</v>
      </c>
      <c r="AA242" s="24">
        <v>0</v>
      </c>
      <c r="AB242" s="33">
        <v>0</v>
      </c>
      <c r="AC242" s="34">
        <v>0</v>
      </c>
      <c r="AD242" s="35">
        <v>0</v>
      </c>
      <c r="AE242" s="36">
        <v>0</v>
      </c>
      <c r="AF242" s="23">
        <v>0</v>
      </c>
      <c r="AG242" s="24">
        <v>0</v>
      </c>
      <c r="AH242" s="33">
        <v>0</v>
      </c>
      <c r="AI242" s="37">
        <v>0</v>
      </c>
      <c r="AJ242" s="35">
        <v>0</v>
      </c>
      <c r="AK242" s="36">
        <v>0</v>
      </c>
      <c r="AL242" s="38">
        <v>0</v>
      </c>
      <c r="AM242" s="35">
        <v>0</v>
      </c>
      <c r="AN242" s="19">
        <v>0</v>
      </c>
      <c r="AO242" s="23">
        <v>0</v>
      </c>
      <c r="AP242" s="24">
        <v>0</v>
      </c>
      <c r="AQ242" s="31">
        <f t="shared" si="19"/>
        <v>15.2</v>
      </c>
      <c r="AR242" s="32">
        <f t="shared" si="19"/>
        <v>38000</v>
      </c>
      <c r="AS242" s="30">
        <v>19</v>
      </c>
    </row>
    <row r="243" spans="1:45" ht="16" x14ac:dyDescent="0.2">
      <c r="A243" s="19">
        <v>240</v>
      </c>
      <c r="B243" s="21" t="s">
        <v>263</v>
      </c>
      <c r="C243" s="20" t="s">
        <v>267</v>
      </c>
      <c r="D243" s="345"/>
      <c r="E243" s="22">
        <v>15</v>
      </c>
      <c r="F243" s="23">
        <f t="shared" si="15"/>
        <v>37500</v>
      </c>
      <c r="G243" s="19">
        <v>0</v>
      </c>
      <c r="H243" s="23">
        <v>0</v>
      </c>
      <c r="I243" s="24">
        <v>0</v>
      </c>
      <c r="J243" s="19">
        <v>0</v>
      </c>
      <c r="K243" s="23">
        <v>0</v>
      </c>
      <c r="L243" s="24">
        <v>0</v>
      </c>
      <c r="M243" s="25">
        <v>4.4000000000000004</v>
      </c>
      <c r="N243" s="26">
        <v>11000</v>
      </c>
      <c r="O243" s="27">
        <v>11</v>
      </c>
      <c r="P243" s="28">
        <f t="shared" si="16"/>
        <v>3.6</v>
      </c>
      <c r="Q243" s="29">
        <f t="shared" si="17"/>
        <v>9000</v>
      </c>
      <c r="R243" s="30">
        <v>9</v>
      </c>
      <c r="S243" s="19">
        <v>0</v>
      </c>
      <c r="T243" s="23">
        <v>0</v>
      </c>
      <c r="U243" s="24">
        <v>0</v>
      </c>
      <c r="V243" s="31">
        <f t="shared" si="18"/>
        <v>8.4</v>
      </c>
      <c r="W243" s="32">
        <v>21000</v>
      </c>
      <c r="X243" s="30">
        <v>21</v>
      </c>
      <c r="Y243" s="19">
        <v>0</v>
      </c>
      <c r="Z243" s="23">
        <v>0</v>
      </c>
      <c r="AA243" s="24">
        <v>0</v>
      </c>
      <c r="AB243" s="33">
        <v>0</v>
      </c>
      <c r="AC243" s="34">
        <v>0</v>
      </c>
      <c r="AD243" s="35">
        <v>0</v>
      </c>
      <c r="AE243" s="36">
        <v>0</v>
      </c>
      <c r="AF243" s="23">
        <v>0</v>
      </c>
      <c r="AG243" s="24">
        <v>0</v>
      </c>
      <c r="AH243" s="33">
        <v>0</v>
      </c>
      <c r="AI243" s="37">
        <v>0</v>
      </c>
      <c r="AJ243" s="35">
        <v>0</v>
      </c>
      <c r="AK243" s="36">
        <v>0</v>
      </c>
      <c r="AL243" s="38">
        <v>0</v>
      </c>
      <c r="AM243" s="35">
        <v>0</v>
      </c>
      <c r="AN243" s="19">
        <v>0</v>
      </c>
      <c r="AO243" s="23">
        <v>0</v>
      </c>
      <c r="AP243" s="24">
        <v>0</v>
      </c>
      <c r="AQ243" s="31">
        <f t="shared" si="19"/>
        <v>16.399999999999999</v>
      </c>
      <c r="AR243" s="32">
        <f t="shared" si="19"/>
        <v>41000</v>
      </c>
      <c r="AS243" s="30">
        <v>21</v>
      </c>
    </row>
    <row r="244" spans="1:45" ht="16" x14ac:dyDescent="0.2">
      <c r="A244" s="19">
        <v>241</v>
      </c>
      <c r="B244" s="21" t="s">
        <v>263</v>
      </c>
      <c r="C244" s="20" t="s">
        <v>268</v>
      </c>
      <c r="D244" s="345"/>
      <c r="E244" s="22">
        <v>21</v>
      </c>
      <c r="F244" s="23">
        <f t="shared" si="15"/>
        <v>52500</v>
      </c>
      <c r="G244" s="19">
        <v>0</v>
      </c>
      <c r="H244" s="23">
        <v>0</v>
      </c>
      <c r="I244" s="24">
        <v>0</v>
      </c>
      <c r="J244" s="19">
        <v>0</v>
      </c>
      <c r="K244" s="23">
        <v>0</v>
      </c>
      <c r="L244" s="24">
        <v>0</v>
      </c>
      <c r="M244" s="25">
        <v>4.8</v>
      </c>
      <c r="N244" s="26">
        <v>12000</v>
      </c>
      <c r="O244" s="27">
        <v>12</v>
      </c>
      <c r="P244" s="28">
        <f t="shared" si="16"/>
        <v>2.8</v>
      </c>
      <c r="Q244" s="29">
        <f t="shared" si="17"/>
        <v>7000</v>
      </c>
      <c r="R244" s="30">
        <v>7</v>
      </c>
      <c r="S244" s="19">
        <v>0</v>
      </c>
      <c r="T244" s="23">
        <v>0</v>
      </c>
      <c r="U244" s="24">
        <v>0</v>
      </c>
      <c r="V244" s="31">
        <f t="shared" si="18"/>
        <v>7.6</v>
      </c>
      <c r="W244" s="32">
        <v>19000</v>
      </c>
      <c r="X244" s="30">
        <v>19</v>
      </c>
      <c r="Y244" s="19">
        <v>0</v>
      </c>
      <c r="Z244" s="23">
        <v>0</v>
      </c>
      <c r="AA244" s="24">
        <v>0</v>
      </c>
      <c r="AB244" s="33">
        <v>0</v>
      </c>
      <c r="AC244" s="34">
        <v>0</v>
      </c>
      <c r="AD244" s="35">
        <v>0</v>
      </c>
      <c r="AE244" s="36">
        <v>0</v>
      </c>
      <c r="AF244" s="23">
        <v>0</v>
      </c>
      <c r="AG244" s="24">
        <v>0</v>
      </c>
      <c r="AH244" s="33">
        <v>0</v>
      </c>
      <c r="AI244" s="37">
        <v>0</v>
      </c>
      <c r="AJ244" s="35">
        <v>0</v>
      </c>
      <c r="AK244" s="36">
        <v>0</v>
      </c>
      <c r="AL244" s="38">
        <v>0</v>
      </c>
      <c r="AM244" s="35">
        <v>0</v>
      </c>
      <c r="AN244" s="19">
        <v>0</v>
      </c>
      <c r="AO244" s="23">
        <v>0</v>
      </c>
      <c r="AP244" s="24">
        <v>0</v>
      </c>
      <c r="AQ244" s="31">
        <f t="shared" si="19"/>
        <v>15.2</v>
      </c>
      <c r="AR244" s="32">
        <f t="shared" si="19"/>
        <v>38000</v>
      </c>
      <c r="AS244" s="30">
        <v>19</v>
      </c>
    </row>
    <row r="245" spans="1:45" ht="16" x14ac:dyDescent="0.2">
      <c r="A245" s="19">
        <v>242</v>
      </c>
      <c r="B245" s="21" t="s">
        <v>263</v>
      </c>
      <c r="C245" s="20" t="s">
        <v>269</v>
      </c>
      <c r="D245" s="345"/>
      <c r="E245" s="22">
        <v>24.8</v>
      </c>
      <c r="F245" s="23">
        <f t="shared" si="15"/>
        <v>62000</v>
      </c>
      <c r="G245" s="19">
        <v>0</v>
      </c>
      <c r="H245" s="23">
        <v>0</v>
      </c>
      <c r="I245" s="24">
        <v>0</v>
      </c>
      <c r="J245" s="19">
        <v>0</v>
      </c>
      <c r="K245" s="23">
        <v>0</v>
      </c>
      <c r="L245" s="24">
        <v>0</v>
      </c>
      <c r="M245" s="25">
        <v>5.6</v>
      </c>
      <c r="N245" s="26">
        <v>14000</v>
      </c>
      <c r="O245" s="27">
        <v>14</v>
      </c>
      <c r="P245" s="28">
        <f t="shared" si="16"/>
        <v>1.2</v>
      </c>
      <c r="Q245" s="29">
        <f t="shared" si="17"/>
        <v>3000</v>
      </c>
      <c r="R245" s="30">
        <v>3</v>
      </c>
      <c r="S245" s="19">
        <v>0</v>
      </c>
      <c r="T245" s="23">
        <v>0</v>
      </c>
      <c r="U245" s="24">
        <v>0</v>
      </c>
      <c r="V245" s="31">
        <f t="shared" si="18"/>
        <v>6.8</v>
      </c>
      <c r="W245" s="32">
        <v>17000</v>
      </c>
      <c r="X245" s="30">
        <v>17</v>
      </c>
      <c r="Y245" s="19">
        <v>0</v>
      </c>
      <c r="Z245" s="23">
        <v>0</v>
      </c>
      <c r="AA245" s="24">
        <v>0</v>
      </c>
      <c r="AB245" s="33">
        <v>0</v>
      </c>
      <c r="AC245" s="34">
        <v>0</v>
      </c>
      <c r="AD245" s="35">
        <v>0</v>
      </c>
      <c r="AE245" s="36">
        <v>0</v>
      </c>
      <c r="AF245" s="23">
        <v>0</v>
      </c>
      <c r="AG245" s="24">
        <v>0</v>
      </c>
      <c r="AH245" s="33">
        <v>0</v>
      </c>
      <c r="AI245" s="37">
        <v>0</v>
      </c>
      <c r="AJ245" s="35">
        <v>0</v>
      </c>
      <c r="AK245" s="36">
        <v>0</v>
      </c>
      <c r="AL245" s="38">
        <v>0</v>
      </c>
      <c r="AM245" s="35">
        <v>0</v>
      </c>
      <c r="AN245" s="19">
        <v>0</v>
      </c>
      <c r="AO245" s="23">
        <v>0</v>
      </c>
      <c r="AP245" s="24">
        <v>0</v>
      </c>
      <c r="AQ245" s="31">
        <f t="shared" si="19"/>
        <v>13.6</v>
      </c>
      <c r="AR245" s="32">
        <f t="shared" si="19"/>
        <v>34000</v>
      </c>
      <c r="AS245" s="30">
        <v>17</v>
      </c>
    </row>
    <row r="246" spans="1:45" ht="16" x14ac:dyDescent="0.2">
      <c r="A246" s="19">
        <v>243</v>
      </c>
      <c r="B246" s="21" t="s">
        <v>263</v>
      </c>
      <c r="C246" s="20" t="s">
        <v>270</v>
      </c>
      <c r="D246" s="345"/>
      <c r="E246" s="22">
        <v>11.4</v>
      </c>
      <c r="F246" s="23">
        <f t="shared" si="15"/>
        <v>28500</v>
      </c>
      <c r="G246" s="19">
        <v>0</v>
      </c>
      <c r="H246" s="23">
        <v>0</v>
      </c>
      <c r="I246" s="24">
        <v>0</v>
      </c>
      <c r="J246" s="19">
        <v>0</v>
      </c>
      <c r="K246" s="23">
        <v>0</v>
      </c>
      <c r="L246" s="24">
        <v>0</v>
      </c>
      <c r="M246" s="25">
        <v>2.4</v>
      </c>
      <c r="N246" s="26">
        <v>6000</v>
      </c>
      <c r="O246" s="27">
        <v>6</v>
      </c>
      <c r="P246" s="28">
        <f t="shared" si="16"/>
        <v>2.8</v>
      </c>
      <c r="Q246" s="29">
        <f t="shared" si="17"/>
        <v>7000</v>
      </c>
      <c r="R246" s="30">
        <v>7</v>
      </c>
      <c r="S246" s="19">
        <v>0</v>
      </c>
      <c r="T246" s="23">
        <v>0</v>
      </c>
      <c r="U246" s="24">
        <v>0</v>
      </c>
      <c r="V246" s="31">
        <f t="shared" si="18"/>
        <v>5.6</v>
      </c>
      <c r="W246" s="32">
        <v>14000</v>
      </c>
      <c r="X246" s="30">
        <v>14</v>
      </c>
      <c r="Y246" s="19">
        <v>0</v>
      </c>
      <c r="Z246" s="23">
        <v>0</v>
      </c>
      <c r="AA246" s="24">
        <v>0</v>
      </c>
      <c r="AB246" s="33">
        <v>0</v>
      </c>
      <c r="AC246" s="34">
        <v>0</v>
      </c>
      <c r="AD246" s="35">
        <v>0</v>
      </c>
      <c r="AE246" s="36">
        <v>0</v>
      </c>
      <c r="AF246" s="23">
        <v>0</v>
      </c>
      <c r="AG246" s="24">
        <v>0</v>
      </c>
      <c r="AH246" s="33">
        <v>0</v>
      </c>
      <c r="AI246" s="37">
        <v>0</v>
      </c>
      <c r="AJ246" s="35">
        <v>0</v>
      </c>
      <c r="AK246" s="36">
        <v>0</v>
      </c>
      <c r="AL246" s="38">
        <v>0</v>
      </c>
      <c r="AM246" s="35">
        <v>0</v>
      </c>
      <c r="AN246" s="19">
        <v>0</v>
      </c>
      <c r="AO246" s="23">
        <v>0</v>
      </c>
      <c r="AP246" s="24">
        <v>0</v>
      </c>
      <c r="AQ246" s="31">
        <f t="shared" si="19"/>
        <v>10.799999999999999</v>
      </c>
      <c r="AR246" s="32">
        <f t="shared" si="19"/>
        <v>27000</v>
      </c>
      <c r="AS246" s="30">
        <v>14</v>
      </c>
    </row>
    <row r="247" spans="1:45" ht="16" x14ac:dyDescent="0.2">
      <c r="A247" s="19">
        <v>244</v>
      </c>
      <c r="B247" s="21" t="s">
        <v>263</v>
      </c>
      <c r="C247" s="20" t="s">
        <v>271</v>
      </c>
      <c r="D247" s="345"/>
      <c r="E247" s="22">
        <v>15.4</v>
      </c>
      <c r="F247" s="23">
        <f t="shared" si="15"/>
        <v>38500</v>
      </c>
      <c r="G247" s="19">
        <v>0</v>
      </c>
      <c r="H247" s="23">
        <v>0</v>
      </c>
      <c r="I247" s="24">
        <v>0</v>
      </c>
      <c r="J247" s="19">
        <v>0</v>
      </c>
      <c r="K247" s="23">
        <v>0</v>
      </c>
      <c r="L247" s="24">
        <v>0</v>
      </c>
      <c r="M247" s="25">
        <v>3.6</v>
      </c>
      <c r="N247" s="26">
        <v>9000</v>
      </c>
      <c r="O247" s="27">
        <v>9</v>
      </c>
      <c r="P247" s="28">
        <f t="shared" si="16"/>
        <v>3.6</v>
      </c>
      <c r="Q247" s="29">
        <f t="shared" si="17"/>
        <v>9000</v>
      </c>
      <c r="R247" s="30">
        <v>9</v>
      </c>
      <c r="S247" s="19">
        <v>0</v>
      </c>
      <c r="T247" s="23">
        <v>0</v>
      </c>
      <c r="U247" s="24">
        <v>0</v>
      </c>
      <c r="V247" s="31">
        <f t="shared" si="18"/>
        <v>7.2</v>
      </c>
      <c r="W247" s="32">
        <v>18000</v>
      </c>
      <c r="X247" s="30">
        <v>18</v>
      </c>
      <c r="Y247" s="19">
        <v>0</v>
      </c>
      <c r="Z247" s="23">
        <v>0</v>
      </c>
      <c r="AA247" s="24">
        <v>0</v>
      </c>
      <c r="AB247" s="33">
        <v>0</v>
      </c>
      <c r="AC247" s="34">
        <v>0</v>
      </c>
      <c r="AD247" s="35">
        <v>0</v>
      </c>
      <c r="AE247" s="36">
        <v>0</v>
      </c>
      <c r="AF247" s="23">
        <v>0</v>
      </c>
      <c r="AG247" s="24">
        <v>0</v>
      </c>
      <c r="AH247" s="33">
        <v>0</v>
      </c>
      <c r="AI247" s="37">
        <v>0</v>
      </c>
      <c r="AJ247" s="35">
        <v>0</v>
      </c>
      <c r="AK247" s="36">
        <v>0</v>
      </c>
      <c r="AL247" s="38">
        <v>0</v>
      </c>
      <c r="AM247" s="35">
        <v>0</v>
      </c>
      <c r="AN247" s="19">
        <v>0</v>
      </c>
      <c r="AO247" s="23">
        <v>0</v>
      </c>
      <c r="AP247" s="24">
        <v>0</v>
      </c>
      <c r="AQ247" s="31">
        <f t="shared" si="19"/>
        <v>14.4</v>
      </c>
      <c r="AR247" s="32">
        <f t="shared" si="19"/>
        <v>36000</v>
      </c>
      <c r="AS247" s="30">
        <v>18</v>
      </c>
    </row>
    <row r="248" spans="1:45" ht="16" x14ac:dyDescent="0.2">
      <c r="A248" s="19">
        <v>245</v>
      </c>
      <c r="B248" s="21" t="s">
        <v>263</v>
      </c>
      <c r="C248" s="20" t="s">
        <v>272</v>
      </c>
      <c r="D248" s="345"/>
      <c r="E248" s="22">
        <v>13</v>
      </c>
      <c r="F248" s="23">
        <f t="shared" si="15"/>
        <v>32500</v>
      </c>
      <c r="G248" s="19">
        <v>0</v>
      </c>
      <c r="H248" s="23">
        <v>0</v>
      </c>
      <c r="I248" s="24">
        <v>0</v>
      </c>
      <c r="J248" s="19">
        <v>0</v>
      </c>
      <c r="K248" s="23">
        <v>0</v>
      </c>
      <c r="L248" s="24">
        <v>0</v>
      </c>
      <c r="M248" s="25">
        <v>4.4000000000000004</v>
      </c>
      <c r="N248" s="26">
        <v>11000</v>
      </c>
      <c r="O248" s="27">
        <v>11</v>
      </c>
      <c r="P248" s="28">
        <f t="shared" si="16"/>
        <v>1.6</v>
      </c>
      <c r="Q248" s="29">
        <f t="shared" si="17"/>
        <v>4000</v>
      </c>
      <c r="R248" s="30">
        <v>4</v>
      </c>
      <c r="S248" s="19">
        <v>0</v>
      </c>
      <c r="T248" s="23">
        <v>0</v>
      </c>
      <c r="U248" s="24">
        <v>0</v>
      </c>
      <c r="V248" s="31">
        <f t="shared" si="18"/>
        <v>6</v>
      </c>
      <c r="W248" s="32">
        <v>15000</v>
      </c>
      <c r="X248" s="30">
        <v>15</v>
      </c>
      <c r="Y248" s="19">
        <v>0</v>
      </c>
      <c r="Z248" s="23">
        <v>0</v>
      </c>
      <c r="AA248" s="24">
        <v>0</v>
      </c>
      <c r="AB248" s="33">
        <v>0</v>
      </c>
      <c r="AC248" s="34">
        <v>0</v>
      </c>
      <c r="AD248" s="35">
        <v>0</v>
      </c>
      <c r="AE248" s="36">
        <v>0</v>
      </c>
      <c r="AF248" s="23">
        <v>0</v>
      </c>
      <c r="AG248" s="24">
        <v>0</v>
      </c>
      <c r="AH248" s="33">
        <v>0</v>
      </c>
      <c r="AI248" s="37">
        <v>0</v>
      </c>
      <c r="AJ248" s="35">
        <v>0</v>
      </c>
      <c r="AK248" s="36">
        <v>0</v>
      </c>
      <c r="AL248" s="38">
        <v>0</v>
      </c>
      <c r="AM248" s="35">
        <v>0</v>
      </c>
      <c r="AN248" s="19">
        <v>0</v>
      </c>
      <c r="AO248" s="23">
        <v>0</v>
      </c>
      <c r="AP248" s="24">
        <v>0</v>
      </c>
      <c r="AQ248" s="31">
        <f t="shared" si="19"/>
        <v>12</v>
      </c>
      <c r="AR248" s="32">
        <f t="shared" si="19"/>
        <v>30000</v>
      </c>
      <c r="AS248" s="30">
        <v>15</v>
      </c>
    </row>
    <row r="249" spans="1:45" ht="16" x14ac:dyDescent="0.2">
      <c r="A249" s="19">
        <v>246</v>
      </c>
      <c r="B249" s="21" t="s">
        <v>263</v>
      </c>
      <c r="C249" s="20" t="s">
        <v>273</v>
      </c>
      <c r="D249" s="345"/>
      <c r="E249" s="22">
        <v>18</v>
      </c>
      <c r="F249" s="23">
        <f t="shared" si="15"/>
        <v>45000</v>
      </c>
      <c r="G249" s="19">
        <v>0</v>
      </c>
      <c r="H249" s="23">
        <v>0</v>
      </c>
      <c r="I249" s="24">
        <v>0</v>
      </c>
      <c r="J249" s="19">
        <v>0</v>
      </c>
      <c r="K249" s="23">
        <v>0</v>
      </c>
      <c r="L249" s="24">
        <v>0</v>
      </c>
      <c r="M249" s="25">
        <v>4.4000000000000004</v>
      </c>
      <c r="N249" s="26">
        <v>11000</v>
      </c>
      <c r="O249" s="27">
        <v>11</v>
      </c>
      <c r="P249" s="28">
        <f t="shared" si="16"/>
        <v>1.2</v>
      </c>
      <c r="Q249" s="29">
        <f t="shared" si="17"/>
        <v>3000</v>
      </c>
      <c r="R249" s="30">
        <v>3</v>
      </c>
      <c r="S249" s="19">
        <v>0</v>
      </c>
      <c r="T249" s="23">
        <v>0</v>
      </c>
      <c r="U249" s="24">
        <v>0</v>
      </c>
      <c r="V249" s="31">
        <f t="shared" si="18"/>
        <v>6</v>
      </c>
      <c r="W249" s="32">
        <v>15000</v>
      </c>
      <c r="X249" s="30">
        <v>15</v>
      </c>
      <c r="Y249" s="19">
        <v>0</v>
      </c>
      <c r="Z249" s="23">
        <v>0</v>
      </c>
      <c r="AA249" s="24">
        <v>0</v>
      </c>
      <c r="AB249" s="33">
        <v>0</v>
      </c>
      <c r="AC249" s="34">
        <v>0</v>
      </c>
      <c r="AD249" s="35">
        <v>0</v>
      </c>
      <c r="AE249" s="36">
        <v>0</v>
      </c>
      <c r="AF249" s="23">
        <v>0</v>
      </c>
      <c r="AG249" s="24">
        <v>0</v>
      </c>
      <c r="AH249" s="33">
        <v>0</v>
      </c>
      <c r="AI249" s="37">
        <v>0</v>
      </c>
      <c r="AJ249" s="35">
        <v>0</v>
      </c>
      <c r="AK249" s="36">
        <v>0</v>
      </c>
      <c r="AL249" s="38">
        <v>0</v>
      </c>
      <c r="AM249" s="35">
        <v>0</v>
      </c>
      <c r="AN249" s="19">
        <v>0</v>
      </c>
      <c r="AO249" s="23">
        <v>0</v>
      </c>
      <c r="AP249" s="24">
        <v>0</v>
      </c>
      <c r="AQ249" s="31">
        <f t="shared" si="19"/>
        <v>11.600000000000001</v>
      </c>
      <c r="AR249" s="32">
        <f t="shared" si="19"/>
        <v>29000</v>
      </c>
      <c r="AS249" s="30">
        <v>16</v>
      </c>
    </row>
    <row r="250" spans="1:45" ht="16" x14ac:dyDescent="0.2">
      <c r="A250" s="19">
        <v>247</v>
      </c>
      <c r="B250" s="21" t="s">
        <v>263</v>
      </c>
      <c r="C250" s="20" t="s">
        <v>274</v>
      </c>
      <c r="D250" s="345"/>
      <c r="E250" s="22">
        <v>21.4</v>
      </c>
      <c r="F250" s="23">
        <f t="shared" si="15"/>
        <v>53500</v>
      </c>
      <c r="G250" s="19">
        <v>0</v>
      </c>
      <c r="H250" s="23">
        <v>0</v>
      </c>
      <c r="I250" s="24">
        <v>0</v>
      </c>
      <c r="J250" s="19">
        <v>0</v>
      </c>
      <c r="K250" s="23">
        <v>0</v>
      </c>
      <c r="L250" s="24">
        <v>0</v>
      </c>
      <c r="M250" s="25">
        <v>5.2</v>
      </c>
      <c r="N250" s="26">
        <v>13000</v>
      </c>
      <c r="O250" s="27">
        <v>13</v>
      </c>
      <c r="P250" s="28">
        <f t="shared" si="16"/>
        <v>18</v>
      </c>
      <c r="Q250" s="29">
        <f t="shared" si="17"/>
        <v>45000</v>
      </c>
      <c r="R250" s="30">
        <v>45</v>
      </c>
      <c r="S250" s="19">
        <v>0</v>
      </c>
      <c r="T250" s="23">
        <v>0</v>
      </c>
      <c r="U250" s="24">
        <v>0</v>
      </c>
      <c r="V250" s="31">
        <f t="shared" si="18"/>
        <v>23.2</v>
      </c>
      <c r="W250" s="32">
        <v>58000</v>
      </c>
      <c r="X250" s="30">
        <v>58</v>
      </c>
      <c r="Y250" s="19">
        <v>0</v>
      </c>
      <c r="Z250" s="23">
        <v>0</v>
      </c>
      <c r="AA250" s="24">
        <v>0</v>
      </c>
      <c r="AB250" s="33">
        <v>0</v>
      </c>
      <c r="AC250" s="34">
        <v>0</v>
      </c>
      <c r="AD250" s="35">
        <v>0</v>
      </c>
      <c r="AE250" s="36">
        <v>0</v>
      </c>
      <c r="AF250" s="23">
        <v>0</v>
      </c>
      <c r="AG250" s="24">
        <v>0</v>
      </c>
      <c r="AH250" s="33">
        <v>0</v>
      </c>
      <c r="AI250" s="37">
        <v>0</v>
      </c>
      <c r="AJ250" s="35">
        <v>0</v>
      </c>
      <c r="AK250" s="36">
        <v>0</v>
      </c>
      <c r="AL250" s="38">
        <v>0</v>
      </c>
      <c r="AM250" s="35">
        <v>0</v>
      </c>
      <c r="AN250" s="19">
        <v>0</v>
      </c>
      <c r="AO250" s="23">
        <v>0</v>
      </c>
      <c r="AP250" s="24">
        <v>0</v>
      </c>
      <c r="AQ250" s="31">
        <f t="shared" si="19"/>
        <v>46.4</v>
      </c>
      <c r="AR250" s="32">
        <f t="shared" si="19"/>
        <v>116000</v>
      </c>
      <c r="AS250" s="30">
        <v>60</v>
      </c>
    </row>
    <row r="251" spans="1:45" ht="16" x14ac:dyDescent="0.2">
      <c r="A251" s="19">
        <v>248</v>
      </c>
      <c r="B251" s="21" t="s">
        <v>263</v>
      </c>
      <c r="C251" s="20" t="s">
        <v>275</v>
      </c>
      <c r="D251" s="345"/>
      <c r="E251" s="22">
        <v>9</v>
      </c>
      <c r="F251" s="23">
        <f t="shared" si="15"/>
        <v>22500</v>
      </c>
      <c r="G251" s="19">
        <v>0</v>
      </c>
      <c r="H251" s="23">
        <v>0</v>
      </c>
      <c r="I251" s="24">
        <v>0</v>
      </c>
      <c r="J251" s="19">
        <v>0</v>
      </c>
      <c r="K251" s="23">
        <v>0</v>
      </c>
      <c r="L251" s="24">
        <v>0</v>
      </c>
      <c r="M251" s="25">
        <v>2.4</v>
      </c>
      <c r="N251" s="26">
        <v>6000</v>
      </c>
      <c r="O251" s="27">
        <v>6</v>
      </c>
      <c r="P251" s="28">
        <f t="shared" si="16"/>
        <v>1.2</v>
      </c>
      <c r="Q251" s="29">
        <f t="shared" si="17"/>
        <v>3000</v>
      </c>
      <c r="R251" s="30">
        <v>3</v>
      </c>
      <c r="S251" s="19">
        <v>0</v>
      </c>
      <c r="T251" s="23">
        <v>0</v>
      </c>
      <c r="U251" s="24">
        <v>0</v>
      </c>
      <c r="V251" s="31">
        <f t="shared" si="18"/>
        <v>4.4000000000000004</v>
      </c>
      <c r="W251" s="32">
        <v>11000</v>
      </c>
      <c r="X251" s="30">
        <v>11</v>
      </c>
      <c r="Y251" s="19">
        <v>0</v>
      </c>
      <c r="Z251" s="23">
        <v>0</v>
      </c>
      <c r="AA251" s="24">
        <v>0</v>
      </c>
      <c r="AB251" s="33">
        <v>0</v>
      </c>
      <c r="AC251" s="34">
        <v>0</v>
      </c>
      <c r="AD251" s="35">
        <v>0</v>
      </c>
      <c r="AE251" s="36">
        <v>0</v>
      </c>
      <c r="AF251" s="23">
        <v>0</v>
      </c>
      <c r="AG251" s="24">
        <v>0</v>
      </c>
      <c r="AH251" s="33">
        <v>0</v>
      </c>
      <c r="AI251" s="37">
        <v>0</v>
      </c>
      <c r="AJ251" s="35">
        <v>0</v>
      </c>
      <c r="AK251" s="36">
        <v>0</v>
      </c>
      <c r="AL251" s="38">
        <v>0</v>
      </c>
      <c r="AM251" s="35">
        <v>0</v>
      </c>
      <c r="AN251" s="19">
        <v>0</v>
      </c>
      <c r="AO251" s="23">
        <v>0</v>
      </c>
      <c r="AP251" s="24">
        <v>0</v>
      </c>
      <c r="AQ251" s="31">
        <f t="shared" si="19"/>
        <v>8</v>
      </c>
      <c r="AR251" s="32">
        <f t="shared" si="19"/>
        <v>20000</v>
      </c>
      <c r="AS251" s="30">
        <v>11</v>
      </c>
    </row>
    <row r="252" spans="1:45" ht="16" x14ac:dyDescent="0.2">
      <c r="A252" s="19">
        <v>249</v>
      </c>
      <c r="B252" s="21" t="s">
        <v>263</v>
      </c>
      <c r="C252" s="20" t="s">
        <v>276</v>
      </c>
      <c r="D252" s="345"/>
      <c r="E252" s="22">
        <v>30.000000000000004</v>
      </c>
      <c r="F252" s="23">
        <f t="shared" si="15"/>
        <v>75000.000000000015</v>
      </c>
      <c r="G252" s="19">
        <v>0</v>
      </c>
      <c r="H252" s="23">
        <v>0</v>
      </c>
      <c r="I252" s="24">
        <v>0</v>
      </c>
      <c r="J252" s="19">
        <v>0</v>
      </c>
      <c r="K252" s="23">
        <v>0</v>
      </c>
      <c r="L252" s="24">
        <v>0</v>
      </c>
      <c r="M252" s="25">
        <v>7.2</v>
      </c>
      <c r="N252" s="26">
        <v>18000</v>
      </c>
      <c r="O252" s="27">
        <v>18</v>
      </c>
      <c r="P252" s="28">
        <f t="shared" si="16"/>
        <v>4.4000000000000004</v>
      </c>
      <c r="Q252" s="29">
        <f t="shared" si="17"/>
        <v>11000</v>
      </c>
      <c r="R252" s="30">
        <v>11</v>
      </c>
      <c r="S252" s="19">
        <v>0</v>
      </c>
      <c r="T252" s="23">
        <v>0</v>
      </c>
      <c r="U252" s="24">
        <v>0</v>
      </c>
      <c r="V252" s="31">
        <f t="shared" si="18"/>
        <v>12.4</v>
      </c>
      <c r="W252" s="32">
        <v>31000</v>
      </c>
      <c r="X252" s="30">
        <v>31</v>
      </c>
      <c r="Y252" s="19">
        <v>0</v>
      </c>
      <c r="Z252" s="23">
        <v>0</v>
      </c>
      <c r="AA252" s="24">
        <v>0</v>
      </c>
      <c r="AB252" s="33">
        <v>0</v>
      </c>
      <c r="AC252" s="34">
        <v>0</v>
      </c>
      <c r="AD252" s="35">
        <v>0</v>
      </c>
      <c r="AE252" s="36">
        <v>0</v>
      </c>
      <c r="AF252" s="23">
        <v>0</v>
      </c>
      <c r="AG252" s="24">
        <v>0</v>
      </c>
      <c r="AH252" s="33">
        <v>0</v>
      </c>
      <c r="AI252" s="37">
        <v>0</v>
      </c>
      <c r="AJ252" s="35">
        <v>0</v>
      </c>
      <c r="AK252" s="36">
        <v>0</v>
      </c>
      <c r="AL252" s="38">
        <v>0</v>
      </c>
      <c r="AM252" s="35">
        <v>0</v>
      </c>
      <c r="AN252" s="19">
        <v>0</v>
      </c>
      <c r="AO252" s="23">
        <v>0</v>
      </c>
      <c r="AP252" s="24">
        <v>0</v>
      </c>
      <c r="AQ252" s="31">
        <f t="shared" si="19"/>
        <v>24</v>
      </c>
      <c r="AR252" s="32">
        <f t="shared" si="19"/>
        <v>60000</v>
      </c>
      <c r="AS252" s="30">
        <v>31</v>
      </c>
    </row>
    <row r="253" spans="1:45" ht="16" x14ac:dyDescent="0.2">
      <c r="A253" s="19">
        <v>250</v>
      </c>
      <c r="B253" s="21" t="s">
        <v>263</v>
      </c>
      <c r="C253" s="20" t="s">
        <v>277</v>
      </c>
      <c r="D253" s="345"/>
      <c r="E253" s="22">
        <v>30.200000000000003</v>
      </c>
      <c r="F253" s="23">
        <f t="shared" si="15"/>
        <v>75500</v>
      </c>
      <c r="G253" s="19">
        <v>0</v>
      </c>
      <c r="H253" s="23">
        <v>0</v>
      </c>
      <c r="I253" s="24">
        <v>0</v>
      </c>
      <c r="J253" s="19">
        <v>0</v>
      </c>
      <c r="K253" s="23">
        <v>0</v>
      </c>
      <c r="L253" s="24">
        <v>0</v>
      </c>
      <c r="M253" s="25">
        <v>7.2</v>
      </c>
      <c r="N253" s="26">
        <v>18000</v>
      </c>
      <c r="O253" s="27">
        <v>18</v>
      </c>
      <c r="P253" s="28">
        <f t="shared" si="16"/>
        <v>4.8</v>
      </c>
      <c r="Q253" s="29">
        <f t="shared" si="17"/>
        <v>12000</v>
      </c>
      <c r="R253" s="30">
        <v>12</v>
      </c>
      <c r="S253" s="19">
        <v>0</v>
      </c>
      <c r="T253" s="23">
        <v>0</v>
      </c>
      <c r="U253" s="24">
        <v>0</v>
      </c>
      <c r="V253" s="31">
        <f t="shared" si="18"/>
        <v>13.2</v>
      </c>
      <c r="W253" s="32">
        <v>33000</v>
      </c>
      <c r="X253" s="30">
        <v>33</v>
      </c>
      <c r="Y253" s="19">
        <v>0</v>
      </c>
      <c r="Z253" s="23">
        <v>0</v>
      </c>
      <c r="AA253" s="24">
        <v>0</v>
      </c>
      <c r="AB253" s="33">
        <v>0</v>
      </c>
      <c r="AC253" s="34">
        <v>0</v>
      </c>
      <c r="AD253" s="35">
        <v>0</v>
      </c>
      <c r="AE253" s="36">
        <v>0</v>
      </c>
      <c r="AF253" s="23">
        <v>0</v>
      </c>
      <c r="AG253" s="24">
        <v>0</v>
      </c>
      <c r="AH253" s="33">
        <v>0</v>
      </c>
      <c r="AI253" s="37">
        <v>0</v>
      </c>
      <c r="AJ253" s="35">
        <v>0</v>
      </c>
      <c r="AK253" s="36">
        <v>0</v>
      </c>
      <c r="AL253" s="38">
        <v>0</v>
      </c>
      <c r="AM253" s="35">
        <v>0</v>
      </c>
      <c r="AN253" s="19">
        <v>0</v>
      </c>
      <c r="AO253" s="23">
        <v>0</v>
      </c>
      <c r="AP253" s="24">
        <v>0</v>
      </c>
      <c r="AQ253" s="31">
        <f t="shared" si="19"/>
        <v>25.2</v>
      </c>
      <c r="AR253" s="32">
        <f t="shared" si="19"/>
        <v>63000</v>
      </c>
      <c r="AS253" s="30">
        <v>33</v>
      </c>
    </row>
    <row r="254" spans="1:45" ht="16" x14ac:dyDescent="0.2">
      <c r="A254" s="19">
        <v>251</v>
      </c>
      <c r="B254" s="21" t="s">
        <v>263</v>
      </c>
      <c r="C254" s="20" t="s">
        <v>278</v>
      </c>
      <c r="D254" s="345"/>
      <c r="E254" s="22">
        <v>29.8</v>
      </c>
      <c r="F254" s="23">
        <f t="shared" si="15"/>
        <v>74500</v>
      </c>
      <c r="G254" s="19">
        <v>0</v>
      </c>
      <c r="H254" s="23">
        <v>0</v>
      </c>
      <c r="I254" s="24">
        <v>0</v>
      </c>
      <c r="J254" s="19">
        <v>0</v>
      </c>
      <c r="K254" s="23">
        <v>0</v>
      </c>
      <c r="L254" s="24">
        <v>0</v>
      </c>
      <c r="M254" s="25">
        <v>6</v>
      </c>
      <c r="N254" s="26">
        <v>15000</v>
      </c>
      <c r="O254" s="27">
        <v>15</v>
      </c>
      <c r="P254" s="28">
        <f t="shared" si="16"/>
        <v>3.2</v>
      </c>
      <c r="Q254" s="29">
        <f t="shared" si="17"/>
        <v>8000</v>
      </c>
      <c r="R254" s="30">
        <v>8</v>
      </c>
      <c r="S254" s="19">
        <v>0</v>
      </c>
      <c r="T254" s="23">
        <v>0</v>
      </c>
      <c r="U254" s="24">
        <v>0</v>
      </c>
      <c r="V254" s="31">
        <f t="shared" si="18"/>
        <v>9.6</v>
      </c>
      <c r="W254" s="32">
        <v>24000</v>
      </c>
      <c r="X254" s="30">
        <v>24</v>
      </c>
      <c r="Y254" s="19">
        <v>0</v>
      </c>
      <c r="Z254" s="23">
        <v>0</v>
      </c>
      <c r="AA254" s="24">
        <v>0</v>
      </c>
      <c r="AB254" s="33">
        <v>0</v>
      </c>
      <c r="AC254" s="34">
        <v>0</v>
      </c>
      <c r="AD254" s="35">
        <v>0</v>
      </c>
      <c r="AE254" s="36">
        <v>0</v>
      </c>
      <c r="AF254" s="23">
        <v>0</v>
      </c>
      <c r="AG254" s="24">
        <v>0</v>
      </c>
      <c r="AH254" s="33">
        <v>0</v>
      </c>
      <c r="AI254" s="37">
        <v>0</v>
      </c>
      <c r="AJ254" s="35">
        <v>0</v>
      </c>
      <c r="AK254" s="36">
        <v>0</v>
      </c>
      <c r="AL254" s="38">
        <v>0</v>
      </c>
      <c r="AM254" s="35">
        <v>0</v>
      </c>
      <c r="AN254" s="19">
        <v>0</v>
      </c>
      <c r="AO254" s="23">
        <v>0</v>
      </c>
      <c r="AP254" s="24">
        <v>0</v>
      </c>
      <c r="AQ254" s="31">
        <f t="shared" si="19"/>
        <v>18.799999999999997</v>
      </c>
      <c r="AR254" s="32">
        <f t="shared" si="19"/>
        <v>47000</v>
      </c>
      <c r="AS254" s="30">
        <v>25</v>
      </c>
    </row>
    <row r="255" spans="1:45" ht="16" x14ac:dyDescent="0.2">
      <c r="A255" s="19">
        <v>252</v>
      </c>
      <c r="B255" s="21" t="s">
        <v>263</v>
      </c>
      <c r="C255" s="20" t="s">
        <v>279</v>
      </c>
      <c r="D255" s="345"/>
      <c r="E255" s="22">
        <v>6</v>
      </c>
      <c r="F255" s="23">
        <f t="shared" si="15"/>
        <v>15000</v>
      </c>
      <c r="G255" s="19">
        <v>0</v>
      </c>
      <c r="H255" s="23">
        <v>0</v>
      </c>
      <c r="I255" s="24">
        <v>0</v>
      </c>
      <c r="J255" s="19">
        <v>0</v>
      </c>
      <c r="K255" s="23">
        <v>0</v>
      </c>
      <c r="L255" s="24">
        <v>0</v>
      </c>
      <c r="M255" s="25">
        <v>2</v>
      </c>
      <c r="N255" s="26">
        <v>5000</v>
      </c>
      <c r="O255" s="27">
        <v>5</v>
      </c>
      <c r="P255" s="28">
        <f t="shared" si="16"/>
        <v>0.4</v>
      </c>
      <c r="Q255" s="29">
        <f t="shared" si="17"/>
        <v>1000</v>
      </c>
      <c r="R255" s="30">
        <v>1</v>
      </c>
      <c r="S255" s="19">
        <v>0</v>
      </c>
      <c r="T255" s="23">
        <v>0</v>
      </c>
      <c r="U255" s="24">
        <v>0</v>
      </c>
      <c r="V255" s="31">
        <f t="shared" si="18"/>
        <v>2.4</v>
      </c>
      <c r="W255" s="32">
        <v>6000</v>
      </c>
      <c r="X255" s="30">
        <v>6</v>
      </c>
      <c r="Y255" s="19">
        <v>0</v>
      </c>
      <c r="Z255" s="23">
        <v>0</v>
      </c>
      <c r="AA255" s="24">
        <v>0</v>
      </c>
      <c r="AB255" s="33">
        <v>0</v>
      </c>
      <c r="AC255" s="34">
        <v>0</v>
      </c>
      <c r="AD255" s="35">
        <v>0</v>
      </c>
      <c r="AE255" s="36">
        <v>0</v>
      </c>
      <c r="AF255" s="23">
        <v>0</v>
      </c>
      <c r="AG255" s="24">
        <v>0</v>
      </c>
      <c r="AH255" s="33">
        <v>0</v>
      </c>
      <c r="AI255" s="37">
        <v>0</v>
      </c>
      <c r="AJ255" s="35">
        <v>0</v>
      </c>
      <c r="AK255" s="36">
        <v>0</v>
      </c>
      <c r="AL255" s="38">
        <v>0</v>
      </c>
      <c r="AM255" s="35">
        <v>0</v>
      </c>
      <c r="AN255" s="19">
        <v>0</v>
      </c>
      <c r="AO255" s="23">
        <v>0</v>
      </c>
      <c r="AP255" s="24">
        <v>0</v>
      </c>
      <c r="AQ255" s="31">
        <f t="shared" si="19"/>
        <v>4.8</v>
      </c>
      <c r="AR255" s="32">
        <f t="shared" si="19"/>
        <v>12000</v>
      </c>
      <c r="AS255" s="30">
        <v>6</v>
      </c>
    </row>
    <row r="256" spans="1:45" ht="16" x14ac:dyDescent="0.2">
      <c r="A256" s="19">
        <v>253</v>
      </c>
      <c r="B256" s="21" t="s">
        <v>263</v>
      </c>
      <c r="C256" s="20" t="s">
        <v>280</v>
      </c>
      <c r="D256" s="345"/>
      <c r="E256" s="22">
        <v>7.6</v>
      </c>
      <c r="F256" s="23">
        <f t="shared" si="15"/>
        <v>19000</v>
      </c>
      <c r="G256" s="19">
        <v>0</v>
      </c>
      <c r="H256" s="23">
        <v>0</v>
      </c>
      <c r="I256" s="24">
        <v>0</v>
      </c>
      <c r="J256" s="19">
        <v>0</v>
      </c>
      <c r="K256" s="23">
        <v>0</v>
      </c>
      <c r="L256" s="24">
        <v>0</v>
      </c>
      <c r="M256" s="25">
        <v>1.6</v>
      </c>
      <c r="N256" s="26">
        <v>4000</v>
      </c>
      <c r="O256" s="27">
        <v>4</v>
      </c>
      <c r="P256" s="28">
        <f t="shared" si="16"/>
        <v>1.2</v>
      </c>
      <c r="Q256" s="29">
        <f t="shared" si="17"/>
        <v>3000</v>
      </c>
      <c r="R256" s="30">
        <v>3</v>
      </c>
      <c r="S256" s="19">
        <v>0</v>
      </c>
      <c r="T256" s="23">
        <v>0</v>
      </c>
      <c r="U256" s="24">
        <v>0</v>
      </c>
      <c r="V256" s="31">
        <f t="shared" si="18"/>
        <v>3.6</v>
      </c>
      <c r="W256" s="32">
        <v>9000</v>
      </c>
      <c r="X256" s="30">
        <v>9</v>
      </c>
      <c r="Y256" s="19">
        <v>0</v>
      </c>
      <c r="Z256" s="23">
        <v>0</v>
      </c>
      <c r="AA256" s="24">
        <v>0</v>
      </c>
      <c r="AB256" s="33">
        <v>0</v>
      </c>
      <c r="AC256" s="34">
        <v>0</v>
      </c>
      <c r="AD256" s="35">
        <v>0</v>
      </c>
      <c r="AE256" s="36">
        <v>0</v>
      </c>
      <c r="AF256" s="23">
        <v>0</v>
      </c>
      <c r="AG256" s="24">
        <v>0</v>
      </c>
      <c r="AH256" s="33">
        <v>0</v>
      </c>
      <c r="AI256" s="37">
        <v>0</v>
      </c>
      <c r="AJ256" s="35">
        <v>0</v>
      </c>
      <c r="AK256" s="36">
        <v>0</v>
      </c>
      <c r="AL256" s="38">
        <v>0</v>
      </c>
      <c r="AM256" s="35">
        <v>0</v>
      </c>
      <c r="AN256" s="19">
        <v>0</v>
      </c>
      <c r="AO256" s="23">
        <v>0</v>
      </c>
      <c r="AP256" s="24">
        <v>0</v>
      </c>
      <c r="AQ256" s="31">
        <f t="shared" si="19"/>
        <v>6.4</v>
      </c>
      <c r="AR256" s="32">
        <f t="shared" si="19"/>
        <v>16000</v>
      </c>
      <c r="AS256" s="30">
        <v>9</v>
      </c>
    </row>
    <row r="257" spans="1:45" ht="16" x14ac:dyDescent="0.2">
      <c r="A257" s="19">
        <v>254</v>
      </c>
      <c r="B257" s="21" t="s">
        <v>263</v>
      </c>
      <c r="C257" s="20" t="s">
        <v>281</v>
      </c>
      <c r="D257" s="345"/>
      <c r="E257" s="22">
        <v>28</v>
      </c>
      <c r="F257" s="23">
        <f t="shared" si="15"/>
        <v>70000</v>
      </c>
      <c r="G257" s="19">
        <v>0</v>
      </c>
      <c r="H257" s="23">
        <v>0</v>
      </c>
      <c r="I257" s="24">
        <v>0</v>
      </c>
      <c r="J257" s="19">
        <v>0</v>
      </c>
      <c r="K257" s="23">
        <v>0</v>
      </c>
      <c r="L257" s="24">
        <v>0</v>
      </c>
      <c r="M257" s="25">
        <v>6.4</v>
      </c>
      <c r="N257" s="26">
        <v>16000</v>
      </c>
      <c r="O257" s="27">
        <v>16</v>
      </c>
      <c r="P257" s="28">
        <f t="shared" si="16"/>
        <v>10</v>
      </c>
      <c r="Q257" s="29">
        <f t="shared" si="17"/>
        <v>25000</v>
      </c>
      <c r="R257" s="30">
        <v>25</v>
      </c>
      <c r="S257" s="19">
        <v>0</v>
      </c>
      <c r="T257" s="23">
        <v>0</v>
      </c>
      <c r="U257" s="24">
        <v>0</v>
      </c>
      <c r="V257" s="31">
        <f t="shared" si="18"/>
        <v>16.399999999999999</v>
      </c>
      <c r="W257" s="32">
        <v>41000</v>
      </c>
      <c r="X257" s="30">
        <v>41</v>
      </c>
      <c r="Y257" s="19">
        <v>0</v>
      </c>
      <c r="Z257" s="23">
        <v>0</v>
      </c>
      <c r="AA257" s="24">
        <v>0</v>
      </c>
      <c r="AB257" s="33">
        <v>0</v>
      </c>
      <c r="AC257" s="34">
        <v>0</v>
      </c>
      <c r="AD257" s="35">
        <v>0</v>
      </c>
      <c r="AE257" s="36">
        <v>0</v>
      </c>
      <c r="AF257" s="23">
        <v>0</v>
      </c>
      <c r="AG257" s="24">
        <v>0</v>
      </c>
      <c r="AH257" s="33">
        <v>0</v>
      </c>
      <c r="AI257" s="37">
        <v>0</v>
      </c>
      <c r="AJ257" s="35">
        <v>0</v>
      </c>
      <c r="AK257" s="36">
        <v>0</v>
      </c>
      <c r="AL257" s="38">
        <v>0</v>
      </c>
      <c r="AM257" s="35">
        <v>0</v>
      </c>
      <c r="AN257" s="19">
        <v>0</v>
      </c>
      <c r="AO257" s="23">
        <v>0</v>
      </c>
      <c r="AP257" s="24">
        <v>0</v>
      </c>
      <c r="AQ257" s="31">
        <f t="shared" si="19"/>
        <v>32.799999999999997</v>
      </c>
      <c r="AR257" s="32">
        <f t="shared" si="19"/>
        <v>82000</v>
      </c>
      <c r="AS257" s="30">
        <v>41</v>
      </c>
    </row>
    <row r="258" spans="1:45" ht="16" x14ac:dyDescent="0.2">
      <c r="A258" s="19">
        <v>255</v>
      </c>
      <c r="B258" s="21" t="s">
        <v>263</v>
      </c>
      <c r="C258" s="20" t="s">
        <v>282</v>
      </c>
      <c r="D258" s="345"/>
      <c r="E258" s="22">
        <v>16</v>
      </c>
      <c r="F258" s="23">
        <f t="shared" si="15"/>
        <v>40000</v>
      </c>
      <c r="G258" s="19">
        <v>0</v>
      </c>
      <c r="H258" s="23">
        <v>0</v>
      </c>
      <c r="I258" s="24">
        <v>0</v>
      </c>
      <c r="J258" s="19">
        <v>0</v>
      </c>
      <c r="K258" s="23">
        <v>0</v>
      </c>
      <c r="L258" s="24">
        <v>0</v>
      </c>
      <c r="M258" s="25">
        <v>5.6</v>
      </c>
      <c r="N258" s="26">
        <v>14000</v>
      </c>
      <c r="O258" s="27">
        <v>14</v>
      </c>
      <c r="P258" s="28">
        <f t="shared" si="16"/>
        <v>1.6</v>
      </c>
      <c r="Q258" s="29">
        <f t="shared" si="17"/>
        <v>4000</v>
      </c>
      <c r="R258" s="30">
        <v>4</v>
      </c>
      <c r="S258" s="19">
        <v>0</v>
      </c>
      <c r="T258" s="23">
        <v>0</v>
      </c>
      <c r="U258" s="24">
        <v>0</v>
      </c>
      <c r="V258" s="31">
        <f t="shared" si="18"/>
        <v>7.2</v>
      </c>
      <c r="W258" s="32">
        <v>18000</v>
      </c>
      <c r="X258" s="30">
        <v>18</v>
      </c>
      <c r="Y258" s="19">
        <v>0</v>
      </c>
      <c r="Z258" s="23">
        <v>0</v>
      </c>
      <c r="AA258" s="24">
        <v>0</v>
      </c>
      <c r="AB258" s="33">
        <v>0</v>
      </c>
      <c r="AC258" s="34">
        <v>0</v>
      </c>
      <c r="AD258" s="35">
        <v>0</v>
      </c>
      <c r="AE258" s="36">
        <v>0</v>
      </c>
      <c r="AF258" s="23">
        <v>0</v>
      </c>
      <c r="AG258" s="24">
        <v>0</v>
      </c>
      <c r="AH258" s="33">
        <v>0</v>
      </c>
      <c r="AI258" s="37">
        <v>0</v>
      </c>
      <c r="AJ258" s="35">
        <v>0</v>
      </c>
      <c r="AK258" s="36">
        <v>0</v>
      </c>
      <c r="AL258" s="38">
        <v>0</v>
      </c>
      <c r="AM258" s="35">
        <v>0</v>
      </c>
      <c r="AN258" s="19">
        <v>0</v>
      </c>
      <c r="AO258" s="23">
        <v>0</v>
      </c>
      <c r="AP258" s="24">
        <v>0</v>
      </c>
      <c r="AQ258" s="31">
        <f t="shared" si="19"/>
        <v>14.399999999999999</v>
      </c>
      <c r="AR258" s="32">
        <f t="shared" si="19"/>
        <v>36000</v>
      </c>
      <c r="AS258" s="30">
        <v>18</v>
      </c>
    </row>
    <row r="259" spans="1:45" ht="16" x14ac:dyDescent="0.2">
      <c r="A259" s="19">
        <v>256</v>
      </c>
      <c r="B259" s="21" t="s">
        <v>263</v>
      </c>
      <c r="C259" s="20" t="s">
        <v>283</v>
      </c>
      <c r="D259" s="345" t="s">
        <v>25</v>
      </c>
      <c r="E259" s="22">
        <v>8</v>
      </c>
      <c r="F259" s="23">
        <f t="shared" si="15"/>
        <v>20000</v>
      </c>
      <c r="G259" s="19">
        <v>0</v>
      </c>
      <c r="H259" s="23">
        <v>0</v>
      </c>
      <c r="I259" s="24">
        <v>0</v>
      </c>
      <c r="J259" s="19">
        <v>0</v>
      </c>
      <c r="K259" s="23">
        <v>0</v>
      </c>
      <c r="L259" s="24">
        <v>0</v>
      </c>
      <c r="M259" s="25">
        <v>2.8</v>
      </c>
      <c r="N259" s="26">
        <v>7000</v>
      </c>
      <c r="O259" s="27">
        <v>7</v>
      </c>
      <c r="P259" s="28">
        <f t="shared" si="16"/>
        <v>0.4</v>
      </c>
      <c r="Q259" s="29">
        <f t="shared" si="17"/>
        <v>1000</v>
      </c>
      <c r="R259" s="30">
        <v>1</v>
      </c>
      <c r="S259" s="19">
        <v>0</v>
      </c>
      <c r="T259" s="23">
        <v>0</v>
      </c>
      <c r="U259" s="24">
        <v>0</v>
      </c>
      <c r="V259" s="31">
        <f t="shared" si="18"/>
        <v>3.2</v>
      </c>
      <c r="W259" s="32">
        <v>8000</v>
      </c>
      <c r="X259" s="30">
        <v>8</v>
      </c>
      <c r="Y259" s="19">
        <v>0</v>
      </c>
      <c r="Z259" s="23">
        <v>0</v>
      </c>
      <c r="AA259" s="24">
        <v>0</v>
      </c>
      <c r="AB259" s="33">
        <v>0</v>
      </c>
      <c r="AC259" s="34">
        <v>0</v>
      </c>
      <c r="AD259" s="35">
        <v>0</v>
      </c>
      <c r="AE259" s="36">
        <v>0</v>
      </c>
      <c r="AF259" s="23">
        <v>0</v>
      </c>
      <c r="AG259" s="24">
        <v>0</v>
      </c>
      <c r="AH259" s="33">
        <v>0</v>
      </c>
      <c r="AI259" s="37">
        <v>0</v>
      </c>
      <c r="AJ259" s="35">
        <v>0</v>
      </c>
      <c r="AK259" s="36">
        <v>0</v>
      </c>
      <c r="AL259" s="38">
        <v>0</v>
      </c>
      <c r="AM259" s="35">
        <v>0</v>
      </c>
      <c r="AN259" s="19">
        <v>0</v>
      </c>
      <c r="AO259" s="23">
        <v>0</v>
      </c>
      <c r="AP259" s="24">
        <v>0</v>
      </c>
      <c r="AQ259" s="31">
        <f t="shared" si="19"/>
        <v>6.4</v>
      </c>
      <c r="AR259" s="32">
        <f t="shared" si="19"/>
        <v>16000</v>
      </c>
      <c r="AS259" s="30">
        <v>8</v>
      </c>
    </row>
    <row r="260" spans="1:45" ht="16" x14ac:dyDescent="0.2">
      <c r="A260" s="19">
        <v>257</v>
      </c>
      <c r="B260" s="21" t="s">
        <v>263</v>
      </c>
      <c r="C260" s="20" t="s">
        <v>263</v>
      </c>
      <c r="D260" s="345"/>
      <c r="E260" s="22">
        <v>8.6</v>
      </c>
      <c r="F260" s="23">
        <f t="shared" si="15"/>
        <v>21500</v>
      </c>
      <c r="G260" s="19">
        <v>0</v>
      </c>
      <c r="H260" s="23">
        <v>0</v>
      </c>
      <c r="I260" s="24">
        <v>0</v>
      </c>
      <c r="J260" s="19">
        <v>0</v>
      </c>
      <c r="K260" s="23">
        <v>0</v>
      </c>
      <c r="L260" s="24">
        <v>0</v>
      </c>
      <c r="M260" s="25">
        <v>2.8</v>
      </c>
      <c r="N260" s="26">
        <v>7000</v>
      </c>
      <c r="O260" s="27">
        <v>7</v>
      </c>
      <c r="P260" s="28">
        <f t="shared" si="16"/>
        <v>0.4</v>
      </c>
      <c r="Q260" s="29">
        <f t="shared" si="17"/>
        <v>1000</v>
      </c>
      <c r="R260" s="30">
        <v>1</v>
      </c>
      <c r="S260" s="19">
        <v>0</v>
      </c>
      <c r="T260" s="23">
        <v>0</v>
      </c>
      <c r="U260" s="24">
        <v>0</v>
      </c>
      <c r="V260" s="31">
        <f t="shared" si="18"/>
        <v>4.4000000000000004</v>
      </c>
      <c r="W260" s="32">
        <v>11000</v>
      </c>
      <c r="X260" s="30">
        <v>11</v>
      </c>
      <c r="Y260" s="19">
        <v>0</v>
      </c>
      <c r="Z260" s="23">
        <v>0</v>
      </c>
      <c r="AA260" s="24">
        <v>0</v>
      </c>
      <c r="AB260" s="33">
        <v>0</v>
      </c>
      <c r="AC260" s="34">
        <v>0</v>
      </c>
      <c r="AD260" s="35">
        <v>0</v>
      </c>
      <c r="AE260" s="36">
        <v>0</v>
      </c>
      <c r="AF260" s="23">
        <v>0</v>
      </c>
      <c r="AG260" s="24">
        <v>0</v>
      </c>
      <c r="AH260" s="33">
        <v>0</v>
      </c>
      <c r="AI260" s="37">
        <v>0</v>
      </c>
      <c r="AJ260" s="35">
        <v>0</v>
      </c>
      <c r="AK260" s="36">
        <v>0</v>
      </c>
      <c r="AL260" s="38">
        <v>0</v>
      </c>
      <c r="AM260" s="35">
        <v>0</v>
      </c>
      <c r="AN260" s="19">
        <v>0</v>
      </c>
      <c r="AO260" s="23">
        <v>0</v>
      </c>
      <c r="AP260" s="24">
        <v>0</v>
      </c>
      <c r="AQ260" s="31">
        <f t="shared" si="19"/>
        <v>7.6</v>
      </c>
      <c r="AR260" s="32">
        <f t="shared" si="19"/>
        <v>19000</v>
      </c>
      <c r="AS260" s="30">
        <v>11</v>
      </c>
    </row>
    <row r="261" spans="1:45" ht="16" x14ac:dyDescent="0.2">
      <c r="A261" s="19">
        <v>258</v>
      </c>
      <c r="B261" s="21" t="s">
        <v>263</v>
      </c>
      <c r="C261" s="20" t="s">
        <v>284</v>
      </c>
      <c r="D261" s="345"/>
      <c r="E261" s="22">
        <v>14.399999999999999</v>
      </c>
      <c r="F261" s="23">
        <f t="shared" ref="F261:F324" si="20">E261*2500</f>
        <v>36000</v>
      </c>
      <c r="G261" s="19">
        <v>0</v>
      </c>
      <c r="H261" s="23">
        <v>0</v>
      </c>
      <c r="I261" s="24">
        <v>0</v>
      </c>
      <c r="J261" s="19">
        <v>0</v>
      </c>
      <c r="K261" s="23">
        <v>0</v>
      </c>
      <c r="L261" s="24">
        <v>0</v>
      </c>
      <c r="M261" s="25">
        <v>4</v>
      </c>
      <c r="N261" s="26">
        <v>10000</v>
      </c>
      <c r="O261" s="27">
        <v>10</v>
      </c>
      <c r="P261" s="28">
        <f t="shared" ref="P261:P324" si="21">Q261/2500</f>
        <v>0.8</v>
      </c>
      <c r="Q261" s="29">
        <f t="shared" ref="Q261:Q324" si="22">R261*1000</f>
        <v>2000</v>
      </c>
      <c r="R261" s="30">
        <v>2</v>
      </c>
      <c r="S261" s="19">
        <v>0</v>
      </c>
      <c r="T261" s="23">
        <v>0</v>
      </c>
      <c r="U261" s="24">
        <v>0</v>
      </c>
      <c r="V261" s="31">
        <f t="shared" ref="V261:V324" si="23">W261/2500</f>
        <v>5.2</v>
      </c>
      <c r="W261" s="32">
        <v>13000</v>
      </c>
      <c r="X261" s="30">
        <v>13</v>
      </c>
      <c r="Y261" s="19">
        <v>0</v>
      </c>
      <c r="Z261" s="23">
        <v>0</v>
      </c>
      <c r="AA261" s="24">
        <v>0</v>
      </c>
      <c r="AB261" s="33">
        <v>0</v>
      </c>
      <c r="AC261" s="34">
        <v>0</v>
      </c>
      <c r="AD261" s="35">
        <v>0</v>
      </c>
      <c r="AE261" s="36">
        <v>0</v>
      </c>
      <c r="AF261" s="23">
        <v>0</v>
      </c>
      <c r="AG261" s="24">
        <v>0</v>
      </c>
      <c r="AH261" s="33">
        <v>0</v>
      </c>
      <c r="AI261" s="37">
        <v>0</v>
      </c>
      <c r="AJ261" s="35">
        <v>0</v>
      </c>
      <c r="AK261" s="36">
        <v>0</v>
      </c>
      <c r="AL261" s="38">
        <v>0</v>
      </c>
      <c r="AM261" s="35">
        <v>0</v>
      </c>
      <c r="AN261" s="19">
        <v>0</v>
      </c>
      <c r="AO261" s="23">
        <v>0</v>
      </c>
      <c r="AP261" s="24">
        <v>0</v>
      </c>
      <c r="AQ261" s="31">
        <f t="shared" ref="AQ261:AR324" si="24">G261+J261+M261+P261+S261+V261+Y261+AB261+AE261+AH261+AK261+AN261</f>
        <v>10</v>
      </c>
      <c r="AR261" s="32">
        <f t="shared" si="24"/>
        <v>25000</v>
      </c>
      <c r="AS261" s="30">
        <v>13</v>
      </c>
    </row>
    <row r="262" spans="1:45" ht="16" x14ac:dyDescent="0.2">
      <c r="A262" s="19">
        <v>259</v>
      </c>
      <c r="B262" s="21" t="s">
        <v>263</v>
      </c>
      <c r="C262" s="20" t="s">
        <v>285</v>
      </c>
      <c r="D262" s="345"/>
      <c r="E262" s="22">
        <v>10.199999999999999</v>
      </c>
      <c r="F262" s="23">
        <f t="shared" si="20"/>
        <v>25500</v>
      </c>
      <c r="G262" s="19">
        <v>0</v>
      </c>
      <c r="H262" s="23">
        <v>0</v>
      </c>
      <c r="I262" s="24">
        <v>0</v>
      </c>
      <c r="J262" s="19">
        <v>0</v>
      </c>
      <c r="K262" s="23">
        <v>0</v>
      </c>
      <c r="L262" s="24">
        <v>0</v>
      </c>
      <c r="M262" s="25">
        <v>2.8</v>
      </c>
      <c r="N262" s="26">
        <v>7000</v>
      </c>
      <c r="O262" s="27">
        <v>7</v>
      </c>
      <c r="P262" s="28">
        <f t="shared" si="21"/>
        <v>2</v>
      </c>
      <c r="Q262" s="29">
        <f t="shared" si="22"/>
        <v>5000</v>
      </c>
      <c r="R262" s="30">
        <v>5</v>
      </c>
      <c r="S262" s="19">
        <v>0</v>
      </c>
      <c r="T262" s="23">
        <v>0</v>
      </c>
      <c r="U262" s="24">
        <v>0</v>
      </c>
      <c r="V262" s="31">
        <f t="shared" si="23"/>
        <v>4.8</v>
      </c>
      <c r="W262" s="32">
        <v>12000</v>
      </c>
      <c r="X262" s="30">
        <v>12</v>
      </c>
      <c r="Y262" s="19">
        <v>0</v>
      </c>
      <c r="Z262" s="23">
        <v>0</v>
      </c>
      <c r="AA262" s="24">
        <v>0</v>
      </c>
      <c r="AB262" s="33">
        <v>0</v>
      </c>
      <c r="AC262" s="34">
        <v>0</v>
      </c>
      <c r="AD262" s="35">
        <v>0</v>
      </c>
      <c r="AE262" s="36">
        <v>0</v>
      </c>
      <c r="AF262" s="23">
        <v>0</v>
      </c>
      <c r="AG262" s="24">
        <v>0</v>
      </c>
      <c r="AH262" s="33">
        <v>0</v>
      </c>
      <c r="AI262" s="37">
        <v>0</v>
      </c>
      <c r="AJ262" s="35">
        <v>0</v>
      </c>
      <c r="AK262" s="36">
        <v>0</v>
      </c>
      <c r="AL262" s="38">
        <v>0</v>
      </c>
      <c r="AM262" s="35">
        <v>0</v>
      </c>
      <c r="AN262" s="19">
        <v>0</v>
      </c>
      <c r="AO262" s="23">
        <v>0</v>
      </c>
      <c r="AP262" s="24">
        <v>0</v>
      </c>
      <c r="AQ262" s="31">
        <f t="shared" si="24"/>
        <v>9.6</v>
      </c>
      <c r="AR262" s="32">
        <f t="shared" si="24"/>
        <v>24000</v>
      </c>
      <c r="AS262" s="30">
        <v>12</v>
      </c>
    </row>
    <row r="263" spans="1:45" ht="16" x14ac:dyDescent="0.2">
      <c r="A263" s="19">
        <v>260</v>
      </c>
      <c r="B263" s="21" t="s">
        <v>263</v>
      </c>
      <c r="C263" s="20" t="s">
        <v>112</v>
      </c>
      <c r="D263" s="345"/>
      <c r="E263" s="22">
        <v>11</v>
      </c>
      <c r="F263" s="23">
        <f t="shared" si="20"/>
        <v>27500</v>
      </c>
      <c r="G263" s="19">
        <v>0</v>
      </c>
      <c r="H263" s="23">
        <v>0</v>
      </c>
      <c r="I263" s="24">
        <v>0</v>
      </c>
      <c r="J263" s="19">
        <v>0</v>
      </c>
      <c r="K263" s="23">
        <v>0</v>
      </c>
      <c r="L263" s="24">
        <v>0</v>
      </c>
      <c r="M263" s="25">
        <v>4.8</v>
      </c>
      <c r="N263" s="26">
        <v>12000</v>
      </c>
      <c r="O263" s="27">
        <v>12</v>
      </c>
      <c r="P263" s="28">
        <f t="shared" si="21"/>
        <v>0.4</v>
      </c>
      <c r="Q263" s="29">
        <f t="shared" si="22"/>
        <v>1000</v>
      </c>
      <c r="R263" s="30">
        <v>1</v>
      </c>
      <c r="S263" s="19">
        <v>0</v>
      </c>
      <c r="T263" s="23">
        <v>0</v>
      </c>
      <c r="U263" s="24">
        <v>0</v>
      </c>
      <c r="V263" s="31">
        <f t="shared" si="23"/>
        <v>5.2</v>
      </c>
      <c r="W263" s="32">
        <v>13000</v>
      </c>
      <c r="X263" s="30">
        <v>13</v>
      </c>
      <c r="Y263" s="19">
        <v>0</v>
      </c>
      <c r="Z263" s="23">
        <v>0</v>
      </c>
      <c r="AA263" s="24">
        <v>0</v>
      </c>
      <c r="AB263" s="33">
        <v>0</v>
      </c>
      <c r="AC263" s="34">
        <v>0</v>
      </c>
      <c r="AD263" s="35">
        <v>0</v>
      </c>
      <c r="AE263" s="36">
        <v>0</v>
      </c>
      <c r="AF263" s="23">
        <v>0</v>
      </c>
      <c r="AG263" s="24">
        <v>0</v>
      </c>
      <c r="AH263" s="33">
        <v>0</v>
      </c>
      <c r="AI263" s="37">
        <v>0</v>
      </c>
      <c r="AJ263" s="35">
        <v>0</v>
      </c>
      <c r="AK263" s="36">
        <v>0</v>
      </c>
      <c r="AL263" s="38">
        <v>0</v>
      </c>
      <c r="AM263" s="35">
        <v>0</v>
      </c>
      <c r="AN263" s="19">
        <v>0</v>
      </c>
      <c r="AO263" s="23">
        <v>0</v>
      </c>
      <c r="AP263" s="24">
        <v>0</v>
      </c>
      <c r="AQ263" s="31">
        <f t="shared" si="24"/>
        <v>10.4</v>
      </c>
      <c r="AR263" s="32">
        <f t="shared" si="24"/>
        <v>26000</v>
      </c>
      <c r="AS263" s="30">
        <v>14</v>
      </c>
    </row>
    <row r="264" spans="1:45" ht="16" x14ac:dyDescent="0.2">
      <c r="A264" s="19">
        <v>261</v>
      </c>
      <c r="B264" s="21" t="s">
        <v>263</v>
      </c>
      <c r="C264" s="20" t="s">
        <v>286</v>
      </c>
      <c r="D264" s="345"/>
      <c r="E264" s="22">
        <v>5.2</v>
      </c>
      <c r="F264" s="23">
        <f t="shared" si="20"/>
        <v>13000</v>
      </c>
      <c r="G264" s="19">
        <v>0</v>
      </c>
      <c r="H264" s="23">
        <v>0</v>
      </c>
      <c r="I264" s="24">
        <v>0</v>
      </c>
      <c r="J264" s="19">
        <v>0</v>
      </c>
      <c r="K264" s="23">
        <v>0</v>
      </c>
      <c r="L264" s="24">
        <v>0</v>
      </c>
      <c r="M264" s="25">
        <v>1</v>
      </c>
      <c r="N264" s="26">
        <v>1000</v>
      </c>
      <c r="O264" s="27">
        <v>1</v>
      </c>
      <c r="P264" s="28">
        <f t="shared" si="21"/>
        <v>0.4</v>
      </c>
      <c r="Q264" s="29">
        <f t="shared" si="22"/>
        <v>1000</v>
      </c>
      <c r="R264" s="30">
        <v>1</v>
      </c>
      <c r="S264" s="19">
        <v>0</v>
      </c>
      <c r="T264" s="23">
        <v>0</v>
      </c>
      <c r="U264" s="24">
        <v>0</v>
      </c>
      <c r="V264" s="31">
        <f t="shared" si="23"/>
        <v>0.8</v>
      </c>
      <c r="W264" s="32">
        <v>2000</v>
      </c>
      <c r="X264" s="30">
        <v>2</v>
      </c>
      <c r="Y264" s="19">
        <v>0</v>
      </c>
      <c r="Z264" s="23">
        <v>0</v>
      </c>
      <c r="AA264" s="24">
        <v>0</v>
      </c>
      <c r="AB264" s="33">
        <v>0</v>
      </c>
      <c r="AC264" s="34">
        <v>0</v>
      </c>
      <c r="AD264" s="35">
        <v>0</v>
      </c>
      <c r="AE264" s="36">
        <v>0</v>
      </c>
      <c r="AF264" s="23">
        <v>0</v>
      </c>
      <c r="AG264" s="24">
        <v>0</v>
      </c>
      <c r="AH264" s="33">
        <v>0</v>
      </c>
      <c r="AI264" s="37">
        <v>0</v>
      </c>
      <c r="AJ264" s="35">
        <v>0</v>
      </c>
      <c r="AK264" s="36">
        <v>0</v>
      </c>
      <c r="AL264" s="38">
        <v>0</v>
      </c>
      <c r="AM264" s="35">
        <v>0</v>
      </c>
      <c r="AN264" s="19">
        <v>0</v>
      </c>
      <c r="AO264" s="23">
        <v>0</v>
      </c>
      <c r="AP264" s="24">
        <v>0</v>
      </c>
      <c r="AQ264" s="31">
        <f t="shared" si="24"/>
        <v>2.2000000000000002</v>
      </c>
      <c r="AR264" s="32">
        <f t="shared" si="24"/>
        <v>4000</v>
      </c>
      <c r="AS264" s="30">
        <v>2</v>
      </c>
    </row>
    <row r="265" spans="1:45" ht="16" x14ac:dyDescent="0.2">
      <c r="A265" s="19">
        <v>262</v>
      </c>
      <c r="B265" s="21" t="s">
        <v>263</v>
      </c>
      <c r="C265" s="20" t="s">
        <v>287</v>
      </c>
      <c r="D265" s="345"/>
      <c r="E265" s="22">
        <v>12</v>
      </c>
      <c r="F265" s="23">
        <f t="shared" si="20"/>
        <v>30000</v>
      </c>
      <c r="G265" s="19">
        <v>0</v>
      </c>
      <c r="H265" s="23">
        <v>0</v>
      </c>
      <c r="I265" s="24">
        <v>0</v>
      </c>
      <c r="J265" s="19">
        <v>0</v>
      </c>
      <c r="K265" s="23">
        <v>0</v>
      </c>
      <c r="L265" s="24">
        <v>0</v>
      </c>
      <c r="M265" s="25">
        <v>3.2</v>
      </c>
      <c r="N265" s="26">
        <v>8000</v>
      </c>
      <c r="O265" s="27">
        <v>8</v>
      </c>
      <c r="P265" s="28">
        <f t="shared" si="21"/>
        <v>0.4</v>
      </c>
      <c r="Q265" s="29">
        <f t="shared" si="22"/>
        <v>1000</v>
      </c>
      <c r="R265" s="30">
        <v>1</v>
      </c>
      <c r="S265" s="19">
        <v>0</v>
      </c>
      <c r="T265" s="23">
        <v>0</v>
      </c>
      <c r="U265" s="24">
        <v>0</v>
      </c>
      <c r="V265" s="31">
        <f t="shared" si="23"/>
        <v>4</v>
      </c>
      <c r="W265" s="32">
        <v>10000</v>
      </c>
      <c r="X265" s="30">
        <v>10</v>
      </c>
      <c r="Y265" s="19">
        <v>0</v>
      </c>
      <c r="Z265" s="23">
        <v>0</v>
      </c>
      <c r="AA265" s="24">
        <v>0</v>
      </c>
      <c r="AB265" s="33">
        <v>0</v>
      </c>
      <c r="AC265" s="34">
        <v>0</v>
      </c>
      <c r="AD265" s="35">
        <v>0</v>
      </c>
      <c r="AE265" s="36">
        <v>0</v>
      </c>
      <c r="AF265" s="23">
        <v>0</v>
      </c>
      <c r="AG265" s="24">
        <v>0</v>
      </c>
      <c r="AH265" s="33">
        <v>0</v>
      </c>
      <c r="AI265" s="37">
        <v>0</v>
      </c>
      <c r="AJ265" s="35">
        <v>0</v>
      </c>
      <c r="AK265" s="36">
        <v>0</v>
      </c>
      <c r="AL265" s="38">
        <v>0</v>
      </c>
      <c r="AM265" s="35">
        <v>0</v>
      </c>
      <c r="AN265" s="19">
        <v>0</v>
      </c>
      <c r="AO265" s="23">
        <v>0</v>
      </c>
      <c r="AP265" s="24">
        <v>0</v>
      </c>
      <c r="AQ265" s="31">
        <f t="shared" si="24"/>
        <v>7.6</v>
      </c>
      <c r="AR265" s="32">
        <f t="shared" si="24"/>
        <v>19000</v>
      </c>
      <c r="AS265" s="30">
        <v>10</v>
      </c>
    </row>
    <row r="266" spans="1:45" ht="16" x14ac:dyDescent="0.2">
      <c r="A266" s="19">
        <v>263</v>
      </c>
      <c r="B266" s="21" t="s">
        <v>263</v>
      </c>
      <c r="C266" s="20" t="s">
        <v>288</v>
      </c>
      <c r="D266" s="345"/>
      <c r="E266" s="22">
        <v>19</v>
      </c>
      <c r="F266" s="23">
        <f t="shared" si="20"/>
        <v>47500</v>
      </c>
      <c r="G266" s="19">
        <v>0</v>
      </c>
      <c r="H266" s="23">
        <v>0</v>
      </c>
      <c r="I266" s="24">
        <v>0</v>
      </c>
      <c r="J266" s="19">
        <v>0</v>
      </c>
      <c r="K266" s="23">
        <v>0</v>
      </c>
      <c r="L266" s="24">
        <v>0</v>
      </c>
      <c r="M266" s="25">
        <v>7.2</v>
      </c>
      <c r="N266" s="26">
        <v>18000</v>
      </c>
      <c r="O266" s="27">
        <v>18</v>
      </c>
      <c r="P266" s="28">
        <f t="shared" si="21"/>
        <v>0.4</v>
      </c>
      <c r="Q266" s="29">
        <f t="shared" si="22"/>
        <v>1000</v>
      </c>
      <c r="R266" s="30">
        <v>1</v>
      </c>
      <c r="S266" s="19">
        <v>0</v>
      </c>
      <c r="T266" s="23">
        <v>0</v>
      </c>
      <c r="U266" s="24">
        <v>0</v>
      </c>
      <c r="V266" s="31">
        <f t="shared" si="23"/>
        <v>7.6</v>
      </c>
      <c r="W266" s="32">
        <v>19000</v>
      </c>
      <c r="X266" s="30">
        <v>19</v>
      </c>
      <c r="Y266" s="19">
        <v>0</v>
      </c>
      <c r="Z266" s="23">
        <v>0</v>
      </c>
      <c r="AA266" s="24">
        <v>0</v>
      </c>
      <c r="AB266" s="33">
        <v>0</v>
      </c>
      <c r="AC266" s="34">
        <v>0</v>
      </c>
      <c r="AD266" s="35">
        <v>0</v>
      </c>
      <c r="AE266" s="36">
        <v>0</v>
      </c>
      <c r="AF266" s="23">
        <v>0</v>
      </c>
      <c r="AG266" s="24">
        <v>0</v>
      </c>
      <c r="AH266" s="33">
        <v>0</v>
      </c>
      <c r="AI266" s="37">
        <v>0</v>
      </c>
      <c r="AJ266" s="35">
        <v>0</v>
      </c>
      <c r="AK266" s="36">
        <v>0</v>
      </c>
      <c r="AL266" s="38">
        <v>0</v>
      </c>
      <c r="AM266" s="35">
        <v>0</v>
      </c>
      <c r="AN266" s="19">
        <v>0</v>
      </c>
      <c r="AO266" s="23">
        <v>0</v>
      </c>
      <c r="AP266" s="24">
        <v>0</v>
      </c>
      <c r="AQ266" s="31">
        <f t="shared" si="24"/>
        <v>15.2</v>
      </c>
      <c r="AR266" s="32">
        <f t="shared" si="24"/>
        <v>38000</v>
      </c>
      <c r="AS266" s="30">
        <v>19</v>
      </c>
    </row>
    <row r="267" spans="1:45" ht="16" x14ac:dyDescent="0.2">
      <c r="A267" s="19">
        <v>264</v>
      </c>
      <c r="B267" s="21" t="s">
        <v>263</v>
      </c>
      <c r="C267" s="20" t="s">
        <v>289</v>
      </c>
      <c r="D267" s="345"/>
      <c r="E267" s="22">
        <v>12</v>
      </c>
      <c r="F267" s="23">
        <f t="shared" si="20"/>
        <v>30000</v>
      </c>
      <c r="G267" s="19">
        <v>0</v>
      </c>
      <c r="H267" s="23">
        <v>0</v>
      </c>
      <c r="I267" s="24">
        <v>0</v>
      </c>
      <c r="J267" s="19">
        <v>0</v>
      </c>
      <c r="K267" s="23">
        <v>0</v>
      </c>
      <c r="L267" s="24">
        <v>0</v>
      </c>
      <c r="M267" s="25">
        <v>4.4000000000000004</v>
      </c>
      <c r="N267" s="26">
        <v>11000</v>
      </c>
      <c r="O267" s="27">
        <v>11</v>
      </c>
      <c r="P267" s="28">
        <f t="shared" si="21"/>
        <v>0.4</v>
      </c>
      <c r="Q267" s="29">
        <f t="shared" si="22"/>
        <v>1000</v>
      </c>
      <c r="R267" s="30">
        <v>1</v>
      </c>
      <c r="S267" s="19">
        <v>0</v>
      </c>
      <c r="T267" s="23">
        <v>0</v>
      </c>
      <c r="U267" s="24">
        <v>0</v>
      </c>
      <c r="V267" s="31">
        <f t="shared" si="23"/>
        <v>4.8</v>
      </c>
      <c r="W267" s="32">
        <v>12000</v>
      </c>
      <c r="X267" s="30">
        <v>12</v>
      </c>
      <c r="Y267" s="19">
        <v>0</v>
      </c>
      <c r="Z267" s="23">
        <v>0</v>
      </c>
      <c r="AA267" s="24">
        <v>0</v>
      </c>
      <c r="AB267" s="33">
        <v>0</v>
      </c>
      <c r="AC267" s="34">
        <v>0</v>
      </c>
      <c r="AD267" s="35">
        <v>0</v>
      </c>
      <c r="AE267" s="36">
        <v>0</v>
      </c>
      <c r="AF267" s="23">
        <v>0</v>
      </c>
      <c r="AG267" s="24">
        <v>0</v>
      </c>
      <c r="AH267" s="33">
        <v>0</v>
      </c>
      <c r="AI267" s="37">
        <v>0</v>
      </c>
      <c r="AJ267" s="35">
        <v>0</v>
      </c>
      <c r="AK267" s="36">
        <v>0</v>
      </c>
      <c r="AL267" s="38">
        <v>0</v>
      </c>
      <c r="AM267" s="35">
        <v>0</v>
      </c>
      <c r="AN267" s="19">
        <v>0</v>
      </c>
      <c r="AO267" s="23">
        <v>0</v>
      </c>
      <c r="AP267" s="24">
        <v>0</v>
      </c>
      <c r="AQ267" s="31">
        <f t="shared" si="24"/>
        <v>9.6000000000000014</v>
      </c>
      <c r="AR267" s="32">
        <f t="shared" si="24"/>
        <v>24000</v>
      </c>
      <c r="AS267" s="30">
        <v>12</v>
      </c>
    </row>
    <row r="268" spans="1:45" ht="16" x14ac:dyDescent="0.2">
      <c r="A268" s="19">
        <v>265</v>
      </c>
      <c r="B268" s="21" t="s">
        <v>263</v>
      </c>
      <c r="C268" s="20" t="s">
        <v>290</v>
      </c>
      <c r="D268" s="345"/>
      <c r="E268" s="22">
        <v>15</v>
      </c>
      <c r="F268" s="23">
        <f t="shared" si="20"/>
        <v>37500</v>
      </c>
      <c r="G268" s="19">
        <v>0</v>
      </c>
      <c r="H268" s="23">
        <v>0</v>
      </c>
      <c r="I268" s="24">
        <v>0</v>
      </c>
      <c r="J268" s="19">
        <v>0</v>
      </c>
      <c r="K268" s="23">
        <v>0</v>
      </c>
      <c r="L268" s="24">
        <v>0</v>
      </c>
      <c r="M268" s="25">
        <v>5.2</v>
      </c>
      <c r="N268" s="26">
        <v>13000</v>
      </c>
      <c r="O268" s="27">
        <v>13</v>
      </c>
      <c r="P268" s="28">
        <f t="shared" si="21"/>
        <v>0</v>
      </c>
      <c r="Q268" s="29">
        <f t="shared" si="22"/>
        <v>0</v>
      </c>
      <c r="R268" s="30">
        <v>0</v>
      </c>
      <c r="S268" s="19">
        <v>0</v>
      </c>
      <c r="T268" s="23">
        <v>0</v>
      </c>
      <c r="U268" s="24">
        <v>0</v>
      </c>
      <c r="V268" s="31">
        <f t="shared" si="23"/>
        <v>4.8</v>
      </c>
      <c r="W268" s="32">
        <v>12000</v>
      </c>
      <c r="X268" s="30">
        <v>12</v>
      </c>
      <c r="Y268" s="19">
        <v>0</v>
      </c>
      <c r="Z268" s="23">
        <v>0</v>
      </c>
      <c r="AA268" s="24">
        <v>0</v>
      </c>
      <c r="AB268" s="33">
        <v>0</v>
      </c>
      <c r="AC268" s="34">
        <v>0</v>
      </c>
      <c r="AD268" s="35">
        <v>0</v>
      </c>
      <c r="AE268" s="36">
        <v>0</v>
      </c>
      <c r="AF268" s="23">
        <v>0</v>
      </c>
      <c r="AG268" s="24">
        <v>0</v>
      </c>
      <c r="AH268" s="33">
        <v>0</v>
      </c>
      <c r="AI268" s="37">
        <v>0</v>
      </c>
      <c r="AJ268" s="35">
        <v>0</v>
      </c>
      <c r="AK268" s="36">
        <v>0</v>
      </c>
      <c r="AL268" s="38">
        <v>0</v>
      </c>
      <c r="AM268" s="35">
        <v>0</v>
      </c>
      <c r="AN268" s="19">
        <v>0</v>
      </c>
      <c r="AO268" s="23">
        <v>0</v>
      </c>
      <c r="AP268" s="24">
        <v>0</v>
      </c>
      <c r="AQ268" s="31">
        <f t="shared" si="24"/>
        <v>10</v>
      </c>
      <c r="AR268" s="32">
        <f t="shared" si="24"/>
        <v>25000</v>
      </c>
      <c r="AS268" s="30">
        <v>13</v>
      </c>
    </row>
    <row r="269" spans="1:45" ht="16" x14ac:dyDescent="0.2">
      <c r="A269" s="19">
        <v>266</v>
      </c>
      <c r="B269" s="21" t="s">
        <v>263</v>
      </c>
      <c r="C269" s="20" t="s">
        <v>291</v>
      </c>
      <c r="D269" s="345"/>
      <c r="E269" s="22">
        <v>34</v>
      </c>
      <c r="F269" s="23">
        <f t="shared" si="20"/>
        <v>85000</v>
      </c>
      <c r="G269" s="19">
        <v>0</v>
      </c>
      <c r="H269" s="23">
        <v>0</v>
      </c>
      <c r="I269" s="24">
        <v>0</v>
      </c>
      <c r="J269" s="19">
        <v>0</v>
      </c>
      <c r="K269" s="23">
        <v>0</v>
      </c>
      <c r="L269" s="24">
        <v>0</v>
      </c>
      <c r="M269" s="25">
        <v>11.6</v>
      </c>
      <c r="N269" s="26">
        <v>29000</v>
      </c>
      <c r="O269" s="27">
        <v>29</v>
      </c>
      <c r="P269" s="28">
        <f t="shared" si="21"/>
        <v>1.6</v>
      </c>
      <c r="Q269" s="29">
        <f t="shared" si="22"/>
        <v>4000</v>
      </c>
      <c r="R269" s="30">
        <v>4</v>
      </c>
      <c r="S269" s="19">
        <v>0</v>
      </c>
      <c r="T269" s="23">
        <v>0</v>
      </c>
      <c r="U269" s="24">
        <v>0</v>
      </c>
      <c r="V269" s="31">
        <f t="shared" si="23"/>
        <v>12.4</v>
      </c>
      <c r="W269" s="32">
        <v>31000</v>
      </c>
      <c r="X269" s="30">
        <v>31</v>
      </c>
      <c r="Y269" s="19">
        <v>0</v>
      </c>
      <c r="Z269" s="23">
        <v>0</v>
      </c>
      <c r="AA269" s="24">
        <v>0</v>
      </c>
      <c r="AB269" s="33">
        <v>0</v>
      </c>
      <c r="AC269" s="34">
        <v>0</v>
      </c>
      <c r="AD269" s="35">
        <v>0</v>
      </c>
      <c r="AE269" s="36">
        <v>0</v>
      </c>
      <c r="AF269" s="23">
        <v>0</v>
      </c>
      <c r="AG269" s="24">
        <v>0</v>
      </c>
      <c r="AH269" s="33">
        <v>0</v>
      </c>
      <c r="AI269" s="37">
        <v>0</v>
      </c>
      <c r="AJ269" s="35">
        <v>0</v>
      </c>
      <c r="AK269" s="36">
        <v>0</v>
      </c>
      <c r="AL269" s="38">
        <v>0</v>
      </c>
      <c r="AM269" s="35">
        <v>0</v>
      </c>
      <c r="AN269" s="19">
        <v>0</v>
      </c>
      <c r="AO269" s="23">
        <v>0</v>
      </c>
      <c r="AP269" s="24">
        <v>0</v>
      </c>
      <c r="AQ269" s="31">
        <f t="shared" si="24"/>
        <v>25.6</v>
      </c>
      <c r="AR269" s="32">
        <f t="shared" si="24"/>
        <v>64000</v>
      </c>
      <c r="AS269" s="30">
        <v>34</v>
      </c>
    </row>
    <row r="270" spans="1:45" ht="16" x14ac:dyDescent="0.2">
      <c r="A270" s="19">
        <v>267</v>
      </c>
      <c r="B270" s="21" t="s">
        <v>292</v>
      </c>
      <c r="C270" s="20" t="s">
        <v>293</v>
      </c>
      <c r="D270" s="345"/>
      <c r="E270" s="22">
        <v>11.4</v>
      </c>
      <c r="F270" s="23">
        <f t="shared" si="20"/>
        <v>28500</v>
      </c>
      <c r="G270" s="19">
        <v>0</v>
      </c>
      <c r="H270" s="23">
        <v>0</v>
      </c>
      <c r="I270" s="24">
        <v>0</v>
      </c>
      <c r="J270" s="19">
        <v>0</v>
      </c>
      <c r="K270" s="23">
        <v>0</v>
      </c>
      <c r="L270" s="24">
        <v>0</v>
      </c>
      <c r="M270" s="25">
        <v>3.6</v>
      </c>
      <c r="N270" s="26">
        <v>9000</v>
      </c>
      <c r="O270" s="27">
        <v>9</v>
      </c>
      <c r="P270" s="28">
        <f t="shared" si="21"/>
        <v>1.6</v>
      </c>
      <c r="Q270" s="29">
        <f t="shared" si="22"/>
        <v>4000</v>
      </c>
      <c r="R270" s="30">
        <v>4</v>
      </c>
      <c r="S270" s="19">
        <v>0</v>
      </c>
      <c r="T270" s="23">
        <v>0</v>
      </c>
      <c r="U270" s="24">
        <v>0</v>
      </c>
      <c r="V270" s="31">
        <f t="shared" si="23"/>
        <v>4.8</v>
      </c>
      <c r="W270" s="32">
        <v>12000</v>
      </c>
      <c r="X270" s="30">
        <v>12</v>
      </c>
      <c r="Y270" s="19">
        <v>0</v>
      </c>
      <c r="Z270" s="23">
        <v>0</v>
      </c>
      <c r="AA270" s="24">
        <v>0</v>
      </c>
      <c r="AB270" s="33">
        <v>0</v>
      </c>
      <c r="AC270" s="34">
        <v>0</v>
      </c>
      <c r="AD270" s="35">
        <v>0</v>
      </c>
      <c r="AE270" s="36">
        <v>0</v>
      </c>
      <c r="AF270" s="23">
        <v>0</v>
      </c>
      <c r="AG270" s="24">
        <v>0</v>
      </c>
      <c r="AH270" s="33">
        <v>0</v>
      </c>
      <c r="AI270" s="37">
        <v>0</v>
      </c>
      <c r="AJ270" s="35">
        <v>0</v>
      </c>
      <c r="AK270" s="36">
        <v>0</v>
      </c>
      <c r="AL270" s="38">
        <v>0</v>
      </c>
      <c r="AM270" s="35">
        <v>0</v>
      </c>
      <c r="AN270" s="19">
        <v>0</v>
      </c>
      <c r="AO270" s="23">
        <v>0</v>
      </c>
      <c r="AP270" s="24">
        <v>0</v>
      </c>
      <c r="AQ270" s="31">
        <f t="shared" si="24"/>
        <v>10</v>
      </c>
      <c r="AR270" s="32">
        <f t="shared" si="24"/>
        <v>25000</v>
      </c>
      <c r="AS270" s="30">
        <v>13</v>
      </c>
    </row>
    <row r="271" spans="1:45" ht="16" x14ac:dyDescent="0.2">
      <c r="A271" s="19">
        <v>268</v>
      </c>
      <c r="B271" s="21" t="s">
        <v>292</v>
      </c>
      <c r="C271" s="20" t="s">
        <v>294</v>
      </c>
      <c r="D271" s="345"/>
      <c r="E271" s="22">
        <v>8.5999999999999979</v>
      </c>
      <c r="F271" s="23">
        <f t="shared" si="20"/>
        <v>21499.999999999996</v>
      </c>
      <c r="G271" s="19">
        <v>0</v>
      </c>
      <c r="H271" s="23">
        <v>0</v>
      </c>
      <c r="I271" s="24">
        <v>0</v>
      </c>
      <c r="J271" s="19">
        <v>0</v>
      </c>
      <c r="K271" s="23">
        <v>0</v>
      </c>
      <c r="L271" s="24">
        <v>0</v>
      </c>
      <c r="M271" s="25">
        <v>2.8</v>
      </c>
      <c r="N271" s="26">
        <v>7000</v>
      </c>
      <c r="O271" s="27">
        <v>7</v>
      </c>
      <c r="P271" s="28">
        <f t="shared" si="21"/>
        <v>1.2</v>
      </c>
      <c r="Q271" s="29">
        <f t="shared" si="22"/>
        <v>3000</v>
      </c>
      <c r="R271" s="30">
        <v>3</v>
      </c>
      <c r="S271" s="19">
        <v>0</v>
      </c>
      <c r="T271" s="23">
        <v>0</v>
      </c>
      <c r="U271" s="24">
        <v>0</v>
      </c>
      <c r="V271" s="31">
        <f t="shared" si="23"/>
        <v>3.6</v>
      </c>
      <c r="W271" s="32">
        <v>9000</v>
      </c>
      <c r="X271" s="30">
        <v>9</v>
      </c>
      <c r="Y271" s="19">
        <v>0</v>
      </c>
      <c r="Z271" s="23">
        <v>0</v>
      </c>
      <c r="AA271" s="24">
        <v>0</v>
      </c>
      <c r="AB271" s="33">
        <v>0</v>
      </c>
      <c r="AC271" s="34">
        <v>0</v>
      </c>
      <c r="AD271" s="35">
        <v>0</v>
      </c>
      <c r="AE271" s="36">
        <v>0</v>
      </c>
      <c r="AF271" s="23">
        <v>0</v>
      </c>
      <c r="AG271" s="24">
        <v>0</v>
      </c>
      <c r="AH271" s="33">
        <v>0</v>
      </c>
      <c r="AI271" s="37">
        <v>0</v>
      </c>
      <c r="AJ271" s="35">
        <v>0</v>
      </c>
      <c r="AK271" s="36">
        <v>0</v>
      </c>
      <c r="AL271" s="38">
        <v>0</v>
      </c>
      <c r="AM271" s="35">
        <v>0</v>
      </c>
      <c r="AN271" s="19">
        <v>0</v>
      </c>
      <c r="AO271" s="23">
        <v>0</v>
      </c>
      <c r="AP271" s="24">
        <v>0</v>
      </c>
      <c r="AQ271" s="31">
        <f t="shared" si="24"/>
        <v>7.6</v>
      </c>
      <c r="AR271" s="32">
        <f t="shared" si="24"/>
        <v>19000</v>
      </c>
      <c r="AS271" s="30">
        <v>10</v>
      </c>
    </row>
    <row r="272" spans="1:45" ht="16" x14ac:dyDescent="0.2">
      <c r="A272" s="19">
        <v>269</v>
      </c>
      <c r="B272" s="21" t="s">
        <v>292</v>
      </c>
      <c r="C272" s="20" t="s">
        <v>295</v>
      </c>
      <c r="D272" s="345"/>
      <c r="E272" s="22">
        <v>40.6</v>
      </c>
      <c r="F272" s="23">
        <f t="shared" si="20"/>
        <v>101500</v>
      </c>
      <c r="G272" s="19">
        <v>0</v>
      </c>
      <c r="H272" s="23">
        <v>0</v>
      </c>
      <c r="I272" s="24">
        <v>0</v>
      </c>
      <c r="J272" s="19">
        <v>0</v>
      </c>
      <c r="K272" s="23">
        <v>0</v>
      </c>
      <c r="L272" s="24">
        <v>0</v>
      </c>
      <c r="M272" s="25">
        <v>13.2</v>
      </c>
      <c r="N272" s="26">
        <v>33000</v>
      </c>
      <c r="O272" s="27">
        <v>33</v>
      </c>
      <c r="P272" s="28">
        <f t="shared" si="21"/>
        <v>1.6</v>
      </c>
      <c r="Q272" s="29">
        <f t="shared" si="22"/>
        <v>4000</v>
      </c>
      <c r="R272" s="30">
        <v>4</v>
      </c>
      <c r="S272" s="19">
        <v>0</v>
      </c>
      <c r="T272" s="23">
        <v>0</v>
      </c>
      <c r="U272" s="24">
        <v>0</v>
      </c>
      <c r="V272" s="31">
        <f t="shared" si="23"/>
        <v>14.8</v>
      </c>
      <c r="W272" s="32">
        <v>37000</v>
      </c>
      <c r="X272" s="30">
        <v>37</v>
      </c>
      <c r="Y272" s="19">
        <v>0</v>
      </c>
      <c r="Z272" s="23">
        <v>0</v>
      </c>
      <c r="AA272" s="24">
        <v>0</v>
      </c>
      <c r="AB272" s="33">
        <v>0</v>
      </c>
      <c r="AC272" s="34">
        <v>0</v>
      </c>
      <c r="AD272" s="35">
        <v>0</v>
      </c>
      <c r="AE272" s="36">
        <v>0</v>
      </c>
      <c r="AF272" s="23">
        <v>0</v>
      </c>
      <c r="AG272" s="24">
        <v>0</v>
      </c>
      <c r="AH272" s="33">
        <v>0</v>
      </c>
      <c r="AI272" s="37">
        <v>0</v>
      </c>
      <c r="AJ272" s="35">
        <v>0</v>
      </c>
      <c r="AK272" s="36">
        <v>0</v>
      </c>
      <c r="AL272" s="38">
        <v>0</v>
      </c>
      <c r="AM272" s="35">
        <v>0</v>
      </c>
      <c r="AN272" s="19">
        <v>0</v>
      </c>
      <c r="AO272" s="23">
        <v>0</v>
      </c>
      <c r="AP272" s="24">
        <v>0</v>
      </c>
      <c r="AQ272" s="31">
        <f t="shared" si="24"/>
        <v>29.6</v>
      </c>
      <c r="AR272" s="32">
        <f t="shared" si="24"/>
        <v>74000</v>
      </c>
      <c r="AS272" s="30">
        <v>37</v>
      </c>
    </row>
    <row r="273" spans="1:45" ht="16" x14ac:dyDescent="0.2">
      <c r="A273" s="19">
        <v>270</v>
      </c>
      <c r="B273" s="21" t="s">
        <v>292</v>
      </c>
      <c r="C273" s="20" t="s">
        <v>296</v>
      </c>
      <c r="D273" s="345"/>
      <c r="E273" s="22">
        <v>20.399999999999999</v>
      </c>
      <c r="F273" s="23">
        <f t="shared" si="20"/>
        <v>51000</v>
      </c>
      <c r="G273" s="19">
        <v>0</v>
      </c>
      <c r="H273" s="23">
        <v>0</v>
      </c>
      <c r="I273" s="24">
        <v>0</v>
      </c>
      <c r="J273" s="19">
        <v>0</v>
      </c>
      <c r="K273" s="23">
        <v>0</v>
      </c>
      <c r="L273" s="24">
        <v>0</v>
      </c>
      <c r="M273" s="25">
        <v>5.6</v>
      </c>
      <c r="N273" s="26">
        <v>14000</v>
      </c>
      <c r="O273" s="27">
        <v>14</v>
      </c>
      <c r="P273" s="28">
        <f t="shared" si="21"/>
        <v>0.4</v>
      </c>
      <c r="Q273" s="29">
        <f t="shared" si="22"/>
        <v>1000</v>
      </c>
      <c r="R273" s="30">
        <v>1</v>
      </c>
      <c r="S273" s="19">
        <v>0</v>
      </c>
      <c r="T273" s="23">
        <v>0</v>
      </c>
      <c r="U273" s="24">
        <v>0</v>
      </c>
      <c r="V273" s="31">
        <f t="shared" si="23"/>
        <v>6</v>
      </c>
      <c r="W273" s="32">
        <v>15000</v>
      </c>
      <c r="X273" s="30">
        <v>15</v>
      </c>
      <c r="Y273" s="19">
        <v>0</v>
      </c>
      <c r="Z273" s="23">
        <v>0</v>
      </c>
      <c r="AA273" s="24">
        <v>0</v>
      </c>
      <c r="AB273" s="33">
        <v>0</v>
      </c>
      <c r="AC273" s="34">
        <v>0</v>
      </c>
      <c r="AD273" s="35">
        <v>0</v>
      </c>
      <c r="AE273" s="36">
        <v>0</v>
      </c>
      <c r="AF273" s="23">
        <v>0</v>
      </c>
      <c r="AG273" s="24">
        <v>0</v>
      </c>
      <c r="AH273" s="33">
        <v>0</v>
      </c>
      <c r="AI273" s="37">
        <v>0</v>
      </c>
      <c r="AJ273" s="35">
        <v>0</v>
      </c>
      <c r="AK273" s="36">
        <v>0</v>
      </c>
      <c r="AL273" s="38">
        <v>0</v>
      </c>
      <c r="AM273" s="35">
        <v>0</v>
      </c>
      <c r="AN273" s="19">
        <v>0</v>
      </c>
      <c r="AO273" s="23">
        <v>0</v>
      </c>
      <c r="AP273" s="24">
        <v>0</v>
      </c>
      <c r="AQ273" s="31">
        <f t="shared" si="24"/>
        <v>12</v>
      </c>
      <c r="AR273" s="32">
        <f t="shared" si="24"/>
        <v>30000</v>
      </c>
      <c r="AS273" s="30">
        <v>16</v>
      </c>
    </row>
    <row r="274" spans="1:45" ht="16" x14ac:dyDescent="0.2">
      <c r="A274" s="19">
        <v>271</v>
      </c>
      <c r="B274" s="21" t="s">
        <v>292</v>
      </c>
      <c r="C274" s="20" t="s">
        <v>297</v>
      </c>
      <c r="D274" s="345"/>
      <c r="E274" s="22">
        <v>6</v>
      </c>
      <c r="F274" s="23">
        <f t="shared" si="20"/>
        <v>15000</v>
      </c>
      <c r="G274" s="19">
        <v>0</v>
      </c>
      <c r="H274" s="23">
        <v>0</v>
      </c>
      <c r="I274" s="24">
        <v>0</v>
      </c>
      <c r="J274" s="19">
        <v>0</v>
      </c>
      <c r="K274" s="23">
        <v>0</v>
      </c>
      <c r="L274" s="24">
        <v>0</v>
      </c>
      <c r="M274" s="25">
        <v>2.4</v>
      </c>
      <c r="N274" s="26">
        <v>6000</v>
      </c>
      <c r="O274" s="27">
        <v>6</v>
      </c>
      <c r="P274" s="28">
        <f t="shared" si="21"/>
        <v>0</v>
      </c>
      <c r="Q274" s="29">
        <f t="shared" si="22"/>
        <v>0</v>
      </c>
      <c r="R274" s="30">
        <v>0</v>
      </c>
      <c r="S274" s="19">
        <v>0</v>
      </c>
      <c r="T274" s="23">
        <v>0</v>
      </c>
      <c r="U274" s="24">
        <v>0</v>
      </c>
      <c r="V274" s="31">
        <f t="shared" si="23"/>
        <v>1.6</v>
      </c>
      <c r="W274" s="32">
        <v>4000</v>
      </c>
      <c r="X274" s="30">
        <v>4</v>
      </c>
      <c r="Y274" s="19">
        <v>0</v>
      </c>
      <c r="Z274" s="23">
        <v>0</v>
      </c>
      <c r="AA274" s="24">
        <v>0</v>
      </c>
      <c r="AB274" s="33">
        <v>0</v>
      </c>
      <c r="AC274" s="34">
        <v>0</v>
      </c>
      <c r="AD274" s="35">
        <v>0</v>
      </c>
      <c r="AE274" s="36">
        <v>0</v>
      </c>
      <c r="AF274" s="23">
        <v>0</v>
      </c>
      <c r="AG274" s="24">
        <v>0</v>
      </c>
      <c r="AH274" s="33">
        <v>0</v>
      </c>
      <c r="AI274" s="37">
        <v>0</v>
      </c>
      <c r="AJ274" s="35">
        <v>0</v>
      </c>
      <c r="AK274" s="36">
        <v>0</v>
      </c>
      <c r="AL274" s="38">
        <v>0</v>
      </c>
      <c r="AM274" s="35">
        <v>0</v>
      </c>
      <c r="AN274" s="19">
        <v>0</v>
      </c>
      <c r="AO274" s="23">
        <v>0</v>
      </c>
      <c r="AP274" s="24">
        <v>0</v>
      </c>
      <c r="AQ274" s="31">
        <f t="shared" si="24"/>
        <v>4</v>
      </c>
      <c r="AR274" s="32">
        <f t="shared" si="24"/>
        <v>10000</v>
      </c>
      <c r="AS274" s="30">
        <v>6</v>
      </c>
    </row>
    <row r="275" spans="1:45" ht="16" x14ac:dyDescent="0.2">
      <c r="A275" s="19">
        <v>272</v>
      </c>
      <c r="B275" s="21" t="s">
        <v>292</v>
      </c>
      <c r="C275" s="20" t="s">
        <v>298</v>
      </c>
      <c r="D275" s="345"/>
      <c r="E275" s="22">
        <v>7</v>
      </c>
      <c r="F275" s="23">
        <f t="shared" si="20"/>
        <v>17500</v>
      </c>
      <c r="G275" s="19">
        <v>0</v>
      </c>
      <c r="H275" s="23">
        <v>0</v>
      </c>
      <c r="I275" s="24">
        <v>0</v>
      </c>
      <c r="J275" s="19">
        <v>0</v>
      </c>
      <c r="K275" s="23">
        <v>0</v>
      </c>
      <c r="L275" s="24">
        <v>0</v>
      </c>
      <c r="M275" s="25">
        <v>2.4</v>
      </c>
      <c r="N275" s="26">
        <v>6000</v>
      </c>
      <c r="O275" s="27">
        <v>6</v>
      </c>
      <c r="P275" s="28">
        <f t="shared" si="21"/>
        <v>1.2</v>
      </c>
      <c r="Q275" s="29">
        <f t="shared" si="22"/>
        <v>3000</v>
      </c>
      <c r="R275" s="30">
        <v>3</v>
      </c>
      <c r="S275" s="19">
        <v>0</v>
      </c>
      <c r="T275" s="23">
        <v>0</v>
      </c>
      <c r="U275" s="24">
        <v>0</v>
      </c>
      <c r="V275" s="31">
        <f t="shared" si="23"/>
        <v>4</v>
      </c>
      <c r="W275" s="32">
        <v>10000</v>
      </c>
      <c r="X275" s="30">
        <v>10</v>
      </c>
      <c r="Y275" s="19">
        <v>0</v>
      </c>
      <c r="Z275" s="23">
        <v>0</v>
      </c>
      <c r="AA275" s="24">
        <v>0</v>
      </c>
      <c r="AB275" s="33">
        <v>0</v>
      </c>
      <c r="AC275" s="34">
        <v>0</v>
      </c>
      <c r="AD275" s="35">
        <v>0</v>
      </c>
      <c r="AE275" s="36">
        <v>0</v>
      </c>
      <c r="AF275" s="23">
        <v>0</v>
      </c>
      <c r="AG275" s="24">
        <v>0</v>
      </c>
      <c r="AH275" s="33">
        <v>0</v>
      </c>
      <c r="AI275" s="37">
        <v>0</v>
      </c>
      <c r="AJ275" s="35">
        <v>0</v>
      </c>
      <c r="AK275" s="36">
        <v>0</v>
      </c>
      <c r="AL275" s="38">
        <v>0</v>
      </c>
      <c r="AM275" s="35">
        <v>0</v>
      </c>
      <c r="AN275" s="19">
        <v>0</v>
      </c>
      <c r="AO275" s="23">
        <v>0</v>
      </c>
      <c r="AP275" s="24">
        <v>0</v>
      </c>
      <c r="AQ275" s="31">
        <f t="shared" si="24"/>
        <v>7.6</v>
      </c>
      <c r="AR275" s="32">
        <f t="shared" si="24"/>
        <v>19000</v>
      </c>
      <c r="AS275" s="30">
        <v>10</v>
      </c>
    </row>
    <row r="276" spans="1:45" ht="16" x14ac:dyDescent="0.2">
      <c r="A276" s="19">
        <v>273</v>
      </c>
      <c r="B276" s="21" t="s">
        <v>292</v>
      </c>
      <c r="C276" s="20" t="s">
        <v>299</v>
      </c>
      <c r="D276" s="345" t="s">
        <v>25</v>
      </c>
      <c r="E276" s="22">
        <v>14</v>
      </c>
      <c r="F276" s="23">
        <f t="shared" si="20"/>
        <v>35000</v>
      </c>
      <c r="G276" s="19">
        <v>0</v>
      </c>
      <c r="H276" s="23">
        <v>0</v>
      </c>
      <c r="I276" s="24">
        <v>0</v>
      </c>
      <c r="J276" s="19">
        <v>0</v>
      </c>
      <c r="K276" s="23">
        <v>0</v>
      </c>
      <c r="L276" s="24">
        <v>0</v>
      </c>
      <c r="M276" s="25">
        <v>3.2</v>
      </c>
      <c r="N276" s="26">
        <v>8000</v>
      </c>
      <c r="O276" s="27">
        <v>8</v>
      </c>
      <c r="P276" s="28">
        <f t="shared" si="21"/>
        <v>0.8</v>
      </c>
      <c r="Q276" s="29">
        <f t="shared" si="22"/>
        <v>2000</v>
      </c>
      <c r="R276" s="30">
        <v>2</v>
      </c>
      <c r="S276" s="19">
        <v>0</v>
      </c>
      <c r="T276" s="23">
        <v>0</v>
      </c>
      <c r="U276" s="24">
        <v>0</v>
      </c>
      <c r="V276" s="31">
        <f t="shared" si="23"/>
        <v>4</v>
      </c>
      <c r="W276" s="32">
        <v>10000</v>
      </c>
      <c r="X276" s="30">
        <v>10</v>
      </c>
      <c r="Y276" s="19">
        <v>0</v>
      </c>
      <c r="Z276" s="23">
        <v>0</v>
      </c>
      <c r="AA276" s="24">
        <v>0</v>
      </c>
      <c r="AB276" s="33">
        <v>0</v>
      </c>
      <c r="AC276" s="34">
        <v>0</v>
      </c>
      <c r="AD276" s="35">
        <v>0</v>
      </c>
      <c r="AE276" s="36">
        <v>0</v>
      </c>
      <c r="AF276" s="23">
        <v>0</v>
      </c>
      <c r="AG276" s="24">
        <v>0</v>
      </c>
      <c r="AH276" s="33">
        <v>0</v>
      </c>
      <c r="AI276" s="37">
        <v>0</v>
      </c>
      <c r="AJ276" s="35">
        <v>0</v>
      </c>
      <c r="AK276" s="36">
        <v>0</v>
      </c>
      <c r="AL276" s="38">
        <v>0</v>
      </c>
      <c r="AM276" s="35">
        <v>0</v>
      </c>
      <c r="AN276" s="19">
        <v>0</v>
      </c>
      <c r="AO276" s="23">
        <v>0</v>
      </c>
      <c r="AP276" s="24">
        <v>0</v>
      </c>
      <c r="AQ276" s="31">
        <f t="shared" si="24"/>
        <v>8</v>
      </c>
      <c r="AR276" s="32">
        <f t="shared" si="24"/>
        <v>20000</v>
      </c>
      <c r="AS276" s="30">
        <v>10</v>
      </c>
    </row>
    <row r="277" spans="1:45" ht="16" x14ac:dyDescent="0.2">
      <c r="A277" s="19">
        <v>274</v>
      </c>
      <c r="B277" s="21" t="s">
        <v>292</v>
      </c>
      <c r="C277" s="20" t="s">
        <v>300</v>
      </c>
      <c r="D277" s="345"/>
      <c r="E277" s="22">
        <v>38.800000000000004</v>
      </c>
      <c r="F277" s="23">
        <f t="shared" si="20"/>
        <v>97000.000000000015</v>
      </c>
      <c r="G277" s="19">
        <v>0</v>
      </c>
      <c r="H277" s="23">
        <v>0</v>
      </c>
      <c r="I277" s="24">
        <v>0</v>
      </c>
      <c r="J277" s="19">
        <v>0</v>
      </c>
      <c r="K277" s="23">
        <v>0</v>
      </c>
      <c r="L277" s="24">
        <v>0</v>
      </c>
      <c r="M277" s="25">
        <v>12.4</v>
      </c>
      <c r="N277" s="26">
        <v>31000</v>
      </c>
      <c r="O277" s="27">
        <v>31</v>
      </c>
      <c r="P277" s="28">
        <f t="shared" si="21"/>
        <v>2.4</v>
      </c>
      <c r="Q277" s="29">
        <f t="shared" si="22"/>
        <v>6000</v>
      </c>
      <c r="R277" s="30">
        <v>6</v>
      </c>
      <c r="S277" s="19">
        <v>0</v>
      </c>
      <c r="T277" s="23">
        <v>0</v>
      </c>
      <c r="U277" s="24">
        <v>0</v>
      </c>
      <c r="V277" s="31">
        <f t="shared" si="23"/>
        <v>14.4</v>
      </c>
      <c r="W277" s="32">
        <v>36000</v>
      </c>
      <c r="X277" s="30">
        <v>36</v>
      </c>
      <c r="Y277" s="19">
        <v>0</v>
      </c>
      <c r="Z277" s="23">
        <v>0</v>
      </c>
      <c r="AA277" s="24">
        <v>0</v>
      </c>
      <c r="AB277" s="33">
        <v>0</v>
      </c>
      <c r="AC277" s="34">
        <v>0</v>
      </c>
      <c r="AD277" s="35">
        <v>0</v>
      </c>
      <c r="AE277" s="36">
        <v>0</v>
      </c>
      <c r="AF277" s="23">
        <v>0</v>
      </c>
      <c r="AG277" s="24">
        <v>0</v>
      </c>
      <c r="AH277" s="33">
        <v>0</v>
      </c>
      <c r="AI277" s="37">
        <v>0</v>
      </c>
      <c r="AJ277" s="35">
        <v>0</v>
      </c>
      <c r="AK277" s="36">
        <v>0</v>
      </c>
      <c r="AL277" s="38">
        <v>0</v>
      </c>
      <c r="AM277" s="35">
        <v>0</v>
      </c>
      <c r="AN277" s="19">
        <v>0</v>
      </c>
      <c r="AO277" s="23">
        <v>0</v>
      </c>
      <c r="AP277" s="24">
        <v>0</v>
      </c>
      <c r="AQ277" s="31">
        <f t="shared" si="24"/>
        <v>29.200000000000003</v>
      </c>
      <c r="AR277" s="32">
        <f t="shared" si="24"/>
        <v>73000</v>
      </c>
      <c r="AS277" s="30">
        <v>37</v>
      </c>
    </row>
    <row r="278" spans="1:45" ht="16" x14ac:dyDescent="0.2">
      <c r="A278" s="19">
        <v>275</v>
      </c>
      <c r="B278" s="21" t="s">
        <v>292</v>
      </c>
      <c r="C278" s="20" t="s">
        <v>301</v>
      </c>
      <c r="D278" s="345"/>
      <c r="E278" s="22">
        <v>10.399999999999999</v>
      </c>
      <c r="F278" s="23">
        <f t="shared" si="20"/>
        <v>25999.999999999996</v>
      </c>
      <c r="G278" s="19">
        <v>0</v>
      </c>
      <c r="H278" s="23">
        <v>0</v>
      </c>
      <c r="I278" s="24">
        <v>0</v>
      </c>
      <c r="J278" s="19">
        <v>0</v>
      </c>
      <c r="K278" s="23">
        <v>0</v>
      </c>
      <c r="L278" s="24">
        <v>0</v>
      </c>
      <c r="M278" s="25">
        <v>4</v>
      </c>
      <c r="N278" s="26">
        <v>10000</v>
      </c>
      <c r="O278" s="27">
        <v>10</v>
      </c>
      <c r="P278" s="28">
        <f t="shared" si="21"/>
        <v>0</v>
      </c>
      <c r="Q278" s="29">
        <f t="shared" si="22"/>
        <v>0</v>
      </c>
      <c r="R278" s="30">
        <v>0</v>
      </c>
      <c r="S278" s="19">
        <v>0</v>
      </c>
      <c r="T278" s="23">
        <v>0</v>
      </c>
      <c r="U278" s="24">
        <v>0</v>
      </c>
      <c r="V278" s="31">
        <f t="shared" si="23"/>
        <v>4</v>
      </c>
      <c r="W278" s="32">
        <v>10000</v>
      </c>
      <c r="X278" s="30">
        <v>10</v>
      </c>
      <c r="Y278" s="19">
        <v>0</v>
      </c>
      <c r="Z278" s="23">
        <v>0</v>
      </c>
      <c r="AA278" s="24">
        <v>0</v>
      </c>
      <c r="AB278" s="33">
        <v>0</v>
      </c>
      <c r="AC278" s="34">
        <v>0</v>
      </c>
      <c r="AD278" s="35">
        <v>0</v>
      </c>
      <c r="AE278" s="36">
        <v>0</v>
      </c>
      <c r="AF278" s="23">
        <v>0</v>
      </c>
      <c r="AG278" s="24">
        <v>0</v>
      </c>
      <c r="AH278" s="33">
        <v>0</v>
      </c>
      <c r="AI278" s="37">
        <v>0</v>
      </c>
      <c r="AJ278" s="35">
        <v>0</v>
      </c>
      <c r="AK278" s="36">
        <v>0</v>
      </c>
      <c r="AL278" s="38">
        <v>0</v>
      </c>
      <c r="AM278" s="35">
        <v>0</v>
      </c>
      <c r="AN278" s="19">
        <v>0</v>
      </c>
      <c r="AO278" s="23">
        <v>0</v>
      </c>
      <c r="AP278" s="24">
        <v>0</v>
      </c>
      <c r="AQ278" s="31">
        <f t="shared" si="24"/>
        <v>8</v>
      </c>
      <c r="AR278" s="32">
        <f t="shared" si="24"/>
        <v>20000</v>
      </c>
      <c r="AS278" s="30">
        <v>10</v>
      </c>
    </row>
    <row r="279" spans="1:45" ht="16" x14ac:dyDescent="0.2">
      <c r="A279" s="19">
        <v>276</v>
      </c>
      <c r="B279" s="21" t="s">
        <v>292</v>
      </c>
      <c r="C279" s="20" t="s">
        <v>302</v>
      </c>
      <c r="D279" s="345"/>
      <c r="E279" s="22">
        <v>23.200000000000003</v>
      </c>
      <c r="F279" s="23">
        <f t="shared" si="20"/>
        <v>58000.000000000007</v>
      </c>
      <c r="G279" s="19">
        <v>0</v>
      </c>
      <c r="H279" s="23">
        <v>0</v>
      </c>
      <c r="I279" s="24">
        <v>0</v>
      </c>
      <c r="J279" s="19">
        <v>0</v>
      </c>
      <c r="K279" s="23">
        <v>0</v>
      </c>
      <c r="L279" s="24">
        <v>0</v>
      </c>
      <c r="M279" s="25">
        <v>7.6</v>
      </c>
      <c r="N279" s="26">
        <v>19000</v>
      </c>
      <c r="O279" s="27">
        <v>19</v>
      </c>
      <c r="P279" s="28">
        <f t="shared" si="21"/>
        <v>2.4</v>
      </c>
      <c r="Q279" s="29">
        <f t="shared" si="22"/>
        <v>6000</v>
      </c>
      <c r="R279" s="30">
        <v>6</v>
      </c>
      <c r="S279" s="19">
        <v>0</v>
      </c>
      <c r="T279" s="23">
        <v>0</v>
      </c>
      <c r="U279" s="24">
        <v>0</v>
      </c>
      <c r="V279" s="31">
        <f t="shared" si="23"/>
        <v>9.6</v>
      </c>
      <c r="W279" s="32">
        <v>24000</v>
      </c>
      <c r="X279" s="30">
        <v>24</v>
      </c>
      <c r="Y279" s="19">
        <v>0</v>
      </c>
      <c r="Z279" s="23">
        <v>0</v>
      </c>
      <c r="AA279" s="24">
        <v>0</v>
      </c>
      <c r="AB279" s="33">
        <v>0</v>
      </c>
      <c r="AC279" s="34">
        <v>0</v>
      </c>
      <c r="AD279" s="35">
        <v>0</v>
      </c>
      <c r="AE279" s="36">
        <v>0</v>
      </c>
      <c r="AF279" s="23">
        <v>0</v>
      </c>
      <c r="AG279" s="24">
        <v>0</v>
      </c>
      <c r="AH279" s="33">
        <v>0</v>
      </c>
      <c r="AI279" s="37">
        <v>0</v>
      </c>
      <c r="AJ279" s="35">
        <v>0</v>
      </c>
      <c r="AK279" s="36">
        <v>0</v>
      </c>
      <c r="AL279" s="38">
        <v>0</v>
      </c>
      <c r="AM279" s="35">
        <v>0</v>
      </c>
      <c r="AN279" s="19">
        <v>0</v>
      </c>
      <c r="AO279" s="23">
        <v>0</v>
      </c>
      <c r="AP279" s="24">
        <v>0</v>
      </c>
      <c r="AQ279" s="31">
        <f t="shared" si="24"/>
        <v>19.600000000000001</v>
      </c>
      <c r="AR279" s="32">
        <f t="shared" si="24"/>
        <v>49000</v>
      </c>
      <c r="AS279" s="30">
        <v>25</v>
      </c>
    </row>
    <row r="280" spans="1:45" ht="16" x14ac:dyDescent="0.2">
      <c r="A280" s="19">
        <v>277</v>
      </c>
      <c r="B280" s="21" t="s">
        <v>292</v>
      </c>
      <c r="C280" s="20" t="s">
        <v>303</v>
      </c>
      <c r="D280" s="345"/>
      <c r="E280" s="22">
        <v>19</v>
      </c>
      <c r="F280" s="23">
        <f t="shared" si="20"/>
        <v>47500</v>
      </c>
      <c r="G280" s="19">
        <v>0</v>
      </c>
      <c r="H280" s="23">
        <v>0</v>
      </c>
      <c r="I280" s="24">
        <v>0</v>
      </c>
      <c r="J280" s="19">
        <v>0</v>
      </c>
      <c r="K280" s="23">
        <v>0</v>
      </c>
      <c r="L280" s="24">
        <v>0</v>
      </c>
      <c r="M280" s="25">
        <v>5.6</v>
      </c>
      <c r="N280" s="26">
        <v>14000</v>
      </c>
      <c r="O280" s="27">
        <v>14</v>
      </c>
      <c r="P280" s="28">
        <f t="shared" si="21"/>
        <v>2.4</v>
      </c>
      <c r="Q280" s="29">
        <f t="shared" si="22"/>
        <v>6000</v>
      </c>
      <c r="R280" s="30">
        <v>6</v>
      </c>
      <c r="S280" s="19">
        <v>0</v>
      </c>
      <c r="T280" s="23">
        <v>0</v>
      </c>
      <c r="U280" s="24">
        <v>0</v>
      </c>
      <c r="V280" s="31">
        <f t="shared" si="23"/>
        <v>8</v>
      </c>
      <c r="W280" s="32">
        <v>20000</v>
      </c>
      <c r="X280" s="30">
        <v>20</v>
      </c>
      <c r="Y280" s="19">
        <v>0</v>
      </c>
      <c r="Z280" s="23">
        <v>0</v>
      </c>
      <c r="AA280" s="24">
        <v>0</v>
      </c>
      <c r="AB280" s="33">
        <v>0</v>
      </c>
      <c r="AC280" s="34">
        <v>0</v>
      </c>
      <c r="AD280" s="35">
        <v>0</v>
      </c>
      <c r="AE280" s="36">
        <v>0</v>
      </c>
      <c r="AF280" s="23">
        <v>0</v>
      </c>
      <c r="AG280" s="24">
        <v>0</v>
      </c>
      <c r="AH280" s="33">
        <v>0</v>
      </c>
      <c r="AI280" s="37">
        <v>0</v>
      </c>
      <c r="AJ280" s="35">
        <v>0</v>
      </c>
      <c r="AK280" s="36">
        <v>0</v>
      </c>
      <c r="AL280" s="38">
        <v>0</v>
      </c>
      <c r="AM280" s="35">
        <v>0</v>
      </c>
      <c r="AN280" s="19">
        <v>0</v>
      </c>
      <c r="AO280" s="23">
        <v>0</v>
      </c>
      <c r="AP280" s="24">
        <v>0</v>
      </c>
      <c r="AQ280" s="31">
        <f t="shared" si="24"/>
        <v>16</v>
      </c>
      <c r="AR280" s="32">
        <f t="shared" si="24"/>
        <v>40000</v>
      </c>
      <c r="AS280" s="30">
        <v>20</v>
      </c>
    </row>
    <row r="281" spans="1:45" ht="16" x14ac:dyDescent="0.2">
      <c r="A281" s="19">
        <v>278</v>
      </c>
      <c r="B281" s="21" t="s">
        <v>292</v>
      </c>
      <c r="C281" s="20" t="s">
        <v>304</v>
      </c>
      <c r="D281" s="345"/>
      <c r="E281" s="22">
        <v>32.800000000000004</v>
      </c>
      <c r="F281" s="23">
        <f t="shared" si="20"/>
        <v>82000.000000000015</v>
      </c>
      <c r="G281" s="19">
        <v>0</v>
      </c>
      <c r="H281" s="23">
        <v>0</v>
      </c>
      <c r="I281" s="24">
        <v>0</v>
      </c>
      <c r="J281" s="19">
        <v>0</v>
      </c>
      <c r="K281" s="23">
        <v>0</v>
      </c>
      <c r="L281" s="24">
        <v>0</v>
      </c>
      <c r="M281" s="25">
        <v>10.8</v>
      </c>
      <c r="N281" s="26">
        <v>27000</v>
      </c>
      <c r="O281" s="27">
        <v>27</v>
      </c>
      <c r="P281" s="28">
        <f t="shared" si="21"/>
        <v>2.8</v>
      </c>
      <c r="Q281" s="29">
        <f t="shared" si="22"/>
        <v>7000</v>
      </c>
      <c r="R281" s="30">
        <v>7</v>
      </c>
      <c r="S281" s="19">
        <v>0</v>
      </c>
      <c r="T281" s="23">
        <v>0</v>
      </c>
      <c r="U281" s="24">
        <v>0</v>
      </c>
      <c r="V281" s="31">
        <f t="shared" si="23"/>
        <v>14</v>
      </c>
      <c r="W281" s="32">
        <v>35000</v>
      </c>
      <c r="X281" s="30">
        <v>35</v>
      </c>
      <c r="Y281" s="19">
        <v>0</v>
      </c>
      <c r="Z281" s="23">
        <v>0</v>
      </c>
      <c r="AA281" s="24">
        <v>0</v>
      </c>
      <c r="AB281" s="33">
        <v>0</v>
      </c>
      <c r="AC281" s="34">
        <v>0</v>
      </c>
      <c r="AD281" s="35">
        <v>0</v>
      </c>
      <c r="AE281" s="36">
        <v>0</v>
      </c>
      <c r="AF281" s="23">
        <v>0</v>
      </c>
      <c r="AG281" s="24">
        <v>0</v>
      </c>
      <c r="AH281" s="33">
        <v>0</v>
      </c>
      <c r="AI281" s="37">
        <v>0</v>
      </c>
      <c r="AJ281" s="35">
        <v>0</v>
      </c>
      <c r="AK281" s="36">
        <v>0</v>
      </c>
      <c r="AL281" s="38">
        <v>0</v>
      </c>
      <c r="AM281" s="35">
        <v>0</v>
      </c>
      <c r="AN281" s="19">
        <v>0</v>
      </c>
      <c r="AO281" s="23">
        <v>0</v>
      </c>
      <c r="AP281" s="24">
        <v>0</v>
      </c>
      <c r="AQ281" s="31">
        <f t="shared" si="24"/>
        <v>27.6</v>
      </c>
      <c r="AR281" s="32">
        <f t="shared" si="24"/>
        <v>69000</v>
      </c>
      <c r="AS281" s="30">
        <v>36</v>
      </c>
    </row>
    <row r="282" spans="1:45" ht="16" x14ac:dyDescent="0.2">
      <c r="A282" s="19">
        <v>279</v>
      </c>
      <c r="B282" s="21" t="s">
        <v>292</v>
      </c>
      <c r="C282" s="20" t="s">
        <v>305</v>
      </c>
      <c r="D282" s="345"/>
      <c r="E282" s="22">
        <v>5</v>
      </c>
      <c r="F282" s="23">
        <f t="shared" si="20"/>
        <v>12500</v>
      </c>
      <c r="G282" s="19">
        <v>0</v>
      </c>
      <c r="H282" s="23">
        <v>0</v>
      </c>
      <c r="I282" s="24">
        <v>0</v>
      </c>
      <c r="J282" s="19">
        <v>0</v>
      </c>
      <c r="K282" s="23">
        <v>0</v>
      </c>
      <c r="L282" s="24">
        <v>0</v>
      </c>
      <c r="M282" s="25">
        <v>2</v>
      </c>
      <c r="N282" s="26">
        <v>5000</v>
      </c>
      <c r="O282" s="27">
        <v>5</v>
      </c>
      <c r="P282" s="28">
        <f t="shared" si="21"/>
        <v>2</v>
      </c>
      <c r="Q282" s="29">
        <f t="shared" si="22"/>
        <v>5000</v>
      </c>
      <c r="R282" s="30">
        <v>5</v>
      </c>
      <c r="S282" s="19">
        <v>0</v>
      </c>
      <c r="T282" s="23">
        <v>0</v>
      </c>
      <c r="U282" s="24">
        <v>0</v>
      </c>
      <c r="V282" s="31">
        <f t="shared" si="23"/>
        <v>4.4000000000000004</v>
      </c>
      <c r="W282" s="32">
        <v>11000</v>
      </c>
      <c r="X282" s="30">
        <v>11</v>
      </c>
      <c r="Y282" s="19">
        <v>0</v>
      </c>
      <c r="Z282" s="23">
        <v>0</v>
      </c>
      <c r="AA282" s="24">
        <v>0</v>
      </c>
      <c r="AB282" s="33">
        <v>0</v>
      </c>
      <c r="AC282" s="34">
        <v>0</v>
      </c>
      <c r="AD282" s="35">
        <v>0</v>
      </c>
      <c r="AE282" s="36">
        <v>0</v>
      </c>
      <c r="AF282" s="23">
        <v>0</v>
      </c>
      <c r="AG282" s="24">
        <v>0</v>
      </c>
      <c r="AH282" s="33">
        <v>0</v>
      </c>
      <c r="AI282" s="37">
        <v>0</v>
      </c>
      <c r="AJ282" s="35">
        <v>0</v>
      </c>
      <c r="AK282" s="36">
        <v>0</v>
      </c>
      <c r="AL282" s="38">
        <v>0</v>
      </c>
      <c r="AM282" s="35">
        <v>0</v>
      </c>
      <c r="AN282" s="19">
        <v>0</v>
      </c>
      <c r="AO282" s="23">
        <v>0</v>
      </c>
      <c r="AP282" s="24">
        <v>0</v>
      </c>
      <c r="AQ282" s="31">
        <f t="shared" si="24"/>
        <v>8.4</v>
      </c>
      <c r="AR282" s="32">
        <f t="shared" si="24"/>
        <v>21000</v>
      </c>
      <c r="AS282" s="30">
        <v>11</v>
      </c>
    </row>
    <row r="283" spans="1:45" ht="16" x14ac:dyDescent="0.2">
      <c r="A283" s="19">
        <v>280</v>
      </c>
      <c r="B283" s="21" t="s">
        <v>292</v>
      </c>
      <c r="C283" s="20" t="s">
        <v>306</v>
      </c>
      <c r="D283" s="345"/>
      <c r="E283" s="22">
        <v>18.2</v>
      </c>
      <c r="F283" s="23">
        <f t="shared" si="20"/>
        <v>45500</v>
      </c>
      <c r="G283" s="19">
        <v>0</v>
      </c>
      <c r="H283" s="23">
        <v>0</v>
      </c>
      <c r="I283" s="24">
        <v>0</v>
      </c>
      <c r="J283" s="19">
        <v>0</v>
      </c>
      <c r="K283" s="23">
        <v>0</v>
      </c>
      <c r="L283" s="24">
        <v>0</v>
      </c>
      <c r="M283" s="25">
        <v>6</v>
      </c>
      <c r="N283" s="26">
        <v>15000</v>
      </c>
      <c r="O283" s="27">
        <v>15</v>
      </c>
      <c r="P283" s="28">
        <f t="shared" si="21"/>
        <v>1.2</v>
      </c>
      <c r="Q283" s="29">
        <f t="shared" si="22"/>
        <v>3000</v>
      </c>
      <c r="R283" s="30">
        <v>3</v>
      </c>
      <c r="S283" s="19">
        <v>0</v>
      </c>
      <c r="T283" s="23">
        <v>0</v>
      </c>
      <c r="U283" s="24">
        <v>0</v>
      </c>
      <c r="V283" s="31">
        <f t="shared" si="23"/>
        <v>7.6</v>
      </c>
      <c r="W283" s="32">
        <v>19000</v>
      </c>
      <c r="X283" s="30">
        <v>19</v>
      </c>
      <c r="Y283" s="19">
        <v>0</v>
      </c>
      <c r="Z283" s="23">
        <v>0</v>
      </c>
      <c r="AA283" s="24">
        <v>0</v>
      </c>
      <c r="AB283" s="33">
        <v>0</v>
      </c>
      <c r="AC283" s="34">
        <v>0</v>
      </c>
      <c r="AD283" s="35">
        <v>0</v>
      </c>
      <c r="AE283" s="36">
        <v>0</v>
      </c>
      <c r="AF283" s="23">
        <v>0</v>
      </c>
      <c r="AG283" s="24">
        <v>0</v>
      </c>
      <c r="AH283" s="33">
        <v>0</v>
      </c>
      <c r="AI283" s="37">
        <v>0</v>
      </c>
      <c r="AJ283" s="35">
        <v>0</v>
      </c>
      <c r="AK283" s="36">
        <v>0</v>
      </c>
      <c r="AL283" s="38">
        <v>0</v>
      </c>
      <c r="AM283" s="35">
        <v>0</v>
      </c>
      <c r="AN283" s="19">
        <v>0</v>
      </c>
      <c r="AO283" s="23">
        <v>0</v>
      </c>
      <c r="AP283" s="24">
        <v>0</v>
      </c>
      <c r="AQ283" s="31">
        <f t="shared" si="24"/>
        <v>14.8</v>
      </c>
      <c r="AR283" s="32">
        <f t="shared" si="24"/>
        <v>37000</v>
      </c>
      <c r="AS283" s="30">
        <v>19</v>
      </c>
    </row>
    <row r="284" spans="1:45" ht="16" x14ac:dyDescent="0.2">
      <c r="A284" s="19">
        <v>281</v>
      </c>
      <c r="B284" s="21" t="s">
        <v>307</v>
      </c>
      <c r="C284" s="20" t="s">
        <v>308</v>
      </c>
      <c r="D284" s="345"/>
      <c r="E284" s="22">
        <v>24.2</v>
      </c>
      <c r="F284" s="23">
        <f t="shared" si="20"/>
        <v>60500</v>
      </c>
      <c r="G284" s="19">
        <v>0</v>
      </c>
      <c r="H284" s="23">
        <v>0</v>
      </c>
      <c r="I284" s="24">
        <v>0</v>
      </c>
      <c r="J284" s="19">
        <v>0</v>
      </c>
      <c r="K284" s="23">
        <v>0</v>
      </c>
      <c r="L284" s="24">
        <v>0</v>
      </c>
      <c r="M284" s="25">
        <v>7.6</v>
      </c>
      <c r="N284" s="26">
        <v>19000</v>
      </c>
      <c r="O284" s="27">
        <v>19</v>
      </c>
      <c r="P284" s="28">
        <f t="shared" si="21"/>
        <v>0.4</v>
      </c>
      <c r="Q284" s="29">
        <f t="shared" si="22"/>
        <v>1000</v>
      </c>
      <c r="R284" s="30">
        <v>1</v>
      </c>
      <c r="S284" s="19">
        <v>0</v>
      </c>
      <c r="T284" s="23">
        <v>0</v>
      </c>
      <c r="U284" s="24">
        <v>0</v>
      </c>
      <c r="V284" s="31">
        <f t="shared" si="23"/>
        <v>8</v>
      </c>
      <c r="W284" s="32">
        <v>20000</v>
      </c>
      <c r="X284" s="30">
        <v>20</v>
      </c>
      <c r="Y284" s="19">
        <v>0</v>
      </c>
      <c r="Z284" s="23">
        <v>0</v>
      </c>
      <c r="AA284" s="24">
        <v>0</v>
      </c>
      <c r="AB284" s="33">
        <v>0</v>
      </c>
      <c r="AC284" s="34">
        <v>0</v>
      </c>
      <c r="AD284" s="35">
        <v>0</v>
      </c>
      <c r="AE284" s="36">
        <v>0</v>
      </c>
      <c r="AF284" s="23">
        <v>0</v>
      </c>
      <c r="AG284" s="24">
        <v>0</v>
      </c>
      <c r="AH284" s="33">
        <v>0</v>
      </c>
      <c r="AI284" s="37">
        <v>0</v>
      </c>
      <c r="AJ284" s="35">
        <v>0</v>
      </c>
      <c r="AK284" s="36">
        <v>0</v>
      </c>
      <c r="AL284" s="38">
        <v>0</v>
      </c>
      <c r="AM284" s="35">
        <v>0</v>
      </c>
      <c r="AN284" s="19">
        <v>0</v>
      </c>
      <c r="AO284" s="23">
        <v>0</v>
      </c>
      <c r="AP284" s="24">
        <v>0</v>
      </c>
      <c r="AQ284" s="31">
        <f t="shared" si="24"/>
        <v>16</v>
      </c>
      <c r="AR284" s="32">
        <f t="shared" si="24"/>
        <v>40000</v>
      </c>
      <c r="AS284" s="30">
        <v>20</v>
      </c>
    </row>
    <row r="285" spans="1:45" ht="16" x14ac:dyDescent="0.2">
      <c r="A285" s="19">
        <v>282</v>
      </c>
      <c r="B285" s="21" t="s">
        <v>307</v>
      </c>
      <c r="C285" s="20" t="s">
        <v>309</v>
      </c>
      <c r="D285" s="345"/>
      <c r="E285" s="22">
        <v>25.400000000000002</v>
      </c>
      <c r="F285" s="23">
        <f t="shared" si="20"/>
        <v>63500.000000000007</v>
      </c>
      <c r="G285" s="19">
        <v>0</v>
      </c>
      <c r="H285" s="23">
        <v>0</v>
      </c>
      <c r="I285" s="24">
        <v>0</v>
      </c>
      <c r="J285" s="19">
        <v>0</v>
      </c>
      <c r="K285" s="23">
        <v>0</v>
      </c>
      <c r="L285" s="24">
        <v>0</v>
      </c>
      <c r="M285" s="25">
        <v>9.1999999999999993</v>
      </c>
      <c r="N285" s="26">
        <v>23000</v>
      </c>
      <c r="O285" s="27">
        <v>23</v>
      </c>
      <c r="P285" s="28">
        <f t="shared" si="21"/>
        <v>2</v>
      </c>
      <c r="Q285" s="29">
        <f t="shared" si="22"/>
        <v>5000</v>
      </c>
      <c r="R285" s="30">
        <v>5</v>
      </c>
      <c r="S285" s="19">
        <v>0</v>
      </c>
      <c r="T285" s="23">
        <v>0</v>
      </c>
      <c r="U285" s="24">
        <v>0</v>
      </c>
      <c r="V285" s="31">
        <f t="shared" si="23"/>
        <v>11.2</v>
      </c>
      <c r="W285" s="32">
        <v>28000</v>
      </c>
      <c r="X285" s="30">
        <v>28</v>
      </c>
      <c r="Y285" s="19">
        <v>0</v>
      </c>
      <c r="Z285" s="23">
        <v>0</v>
      </c>
      <c r="AA285" s="24">
        <v>0</v>
      </c>
      <c r="AB285" s="33">
        <v>0</v>
      </c>
      <c r="AC285" s="34">
        <v>0</v>
      </c>
      <c r="AD285" s="35">
        <v>0</v>
      </c>
      <c r="AE285" s="36">
        <v>0</v>
      </c>
      <c r="AF285" s="23">
        <v>0</v>
      </c>
      <c r="AG285" s="24">
        <v>0</v>
      </c>
      <c r="AH285" s="33">
        <v>0</v>
      </c>
      <c r="AI285" s="37">
        <v>0</v>
      </c>
      <c r="AJ285" s="35">
        <v>0</v>
      </c>
      <c r="AK285" s="36">
        <v>0</v>
      </c>
      <c r="AL285" s="38">
        <v>0</v>
      </c>
      <c r="AM285" s="35">
        <v>0</v>
      </c>
      <c r="AN285" s="19">
        <v>0</v>
      </c>
      <c r="AO285" s="23">
        <v>0</v>
      </c>
      <c r="AP285" s="24">
        <v>0</v>
      </c>
      <c r="AQ285" s="31">
        <f t="shared" si="24"/>
        <v>22.4</v>
      </c>
      <c r="AR285" s="32">
        <f t="shared" si="24"/>
        <v>56000</v>
      </c>
      <c r="AS285" s="30">
        <v>28</v>
      </c>
    </row>
    <row r="286" spans="1:45" ht="16" x14ac:dyDescent="0.2">
      <c r="A286" s="19">
        <v>283</v>
      </c>
      <c r="B286" s="21" t="s">
        <v>307</v>
      </c>
      <c r="C286" s="20" t="s">
        <v>310</v>
      </c>
      <c r="D286" s="345"/>
      <c r="E286" s="22">
        <v>11</v>
      </c>
      <c r="F286" s="23">
        <f t="shared" si="20"/>
        <v>27500</v>
      </c>
      <c r="G286" s="19">
        <v>0</v>
      </c>
      <c r="H286" s="23">
        <v>0</v>
      </c>
      <c r="I286" s="24">
        <v>0</v>
      </c>
      <c r="J286" s="19">
        <v>0</v>
      </c>
      <c r="K286" s="23">
        <v>0</v>
      </c>
      <c r="L286" s="24">
        <v>0</v>
      </c>
      <c r="M286" s="25">
        <v>4</v>
      </c>
      <c r="N286" s="26">
        <v>10000</v>
      </c>
      <c r="O286" s="27">
        <v>10</v>
      </c>
      <c r="P286" s="28">
        <f t="shared" si="21"/>
        <v>1.6</v>
      </c>
      <c r="Q286" s="29">
        <f t="shared" si="22"/>
        <v>4000</v>
      </c>
      <c r="R286" s="30">
        <v>4</v>
      </c>
      <c r="S286" s="19">
        <v>0</v>
      </c>
      <c r="T286" s="23">
        <v>0</v>
      </c>
      <c r="U286" s="24">
        <v>0</v>
      </c>
      <c r="V286" s="31">
        <f t="shared" si="23"/>
        <v>6</v>
      </c>
      <c r="W286" s="32">
        <v>15000</v>
      </c>
      <c r="X286" s="30">
        <v>15</v>
      </c>
      <c r="Y286" s="19">
        <v>0</v>
      </c>
      <c r="Z286" s="23">
        <v>0</v>
      </c>
      <c r="AA286" s="24">
        <v>0</v>
      </c>
      <c r="AB286" s="33">
        <v>0</v>
      </c>
      <c r="AC286" s="34">
        <v>0</v>
      </c>
      <c r="AD286" s="35">
        <v>0</v>
      </c>
      <c r="AE286" s="36">
        <v>0</v>
      </c>
      <c r="AF286" s="23">
        <v>0</v>
      </c>
      <c r="AG286" s="24">
        <v>0</v>
      </c>
      <c r="AH286" s="33">
        <v>0</v>
      </c>
      <c r="AI286" s="37">
        <v>0</v>
      </c>
      <c r="AJ286" s="35">
        <v>0</v>
      </c>
      <c r="AK286" s="36">
        <v>0</v>
      </c>
      <c r="AL286" s="38">
        <v>0</v>
      </c>
      <c r="AM286" s="35">
        <v>0</v>
      </c>
      <c r="AN286" s="19">
        <v>0</v>
      </c>
      <c r="AO286" s="23">
        <v>0</v>
      </c>
      <c r="AP286" s="24">
        <v>0</v>
      </c>
      <c r="AQ286" s="31">
        <f t="shared" si="24"/>
        <v>11.6</v>
      </c>
      <c r="AR286" s="32">
        <f t="shared" si="24"/>
        <v>29000</v>
      </c>
      <c r="AS286" s="30">
        <v>15</v>
      </c>
    </row>
    <row r="287" spans="1:45" ht="16" x14ac:dyDescent="0.2">
      <c r="A287" s="19">
        <v>284</v>
      </c>
      <c r="B287" s="21" t="s">
        <v>307</v>
      </c>
      <c r="C287" s="20" t="s">
        <v>311</v>
      </c>
      <c r="D287" s="345"/>
      <c r="E287" s="22">
        <v>13.6</v>
      </c>
      <c r="F287" s="23">
        <f t="shared" si="20"/>
        <v>34000</v>
      </c>
      <c r="G287" s="19">
        <v>0</v>
      </c>
      <c r="H287" s="23">
        <v>0</v>
      </c>
      <c r="I287" s="24">
        <v>0</v>
      </c>
      <c r="J287" s="19">
        <v>0</v>
      </c>
      <c r="K287" s="23">
        <v>0</v>
      </c>
      <c r="L287" s="24">
        <v>0</v>
      </c>
      <c r="M287" s="25">
        <v>3.6</v>
      </c>
      <c r="N287" s="26">
        <v>9000</v>
      </c>
      <c r="O287" s="27">
        <v>9</v>
      </c>
      <c r="P287" s="28">
        <f t="shared" si="21"/>
        <v>2</v>
      </c>
      <c r="Q287" s="29">
        <f t="shared" si="22"/>
        <v>5000</v>
      </c>
      <c r="R287" s="30">
        <v>5</v>
      </c>
      <c r="S287" s="19">
        <v>0</v>
      </c>
      <c r="T287" s="23">
        <v>0</v>
      </c>
      <c r="U287" s="24">
        <v>0</v>
      </c>
      <c r="V287" s="31">
        <f t="shared" si="23"/>
        <v>5.6</v>
      </c>
      <c r="W287" s="32">
        <v>14000</v>
      </c>
      <c r="X287" s="30">
        <v>14</v>
      </c>
      <c r="Y287" s="19">
        <v>0</v>
      </c>
      <c r="Z287" s="23">
        <v>0</v>
      </c>
      <c r="AA287" s="24">
        <v>0</v>
      </c>
      <c r="AB287" s="33">
        <v>0</v>
      </c>
      <c r="AC287" s="34">
        <v>0</v>
      </c>
      <c r="AD287" s="35">
        <v>0</v>
      </c>
      <c r="AE287" s="36">
        <v>0</v>
      </c>
      <c r="AF287" s="23">
        <v>0</v>
      </c>
      <c r="AG287" s="24">
        <v>0</v>
      </c>
      <c r="AH287" s="33">
        <v>0</v>
      </c>
      <c r="AI287" s="37">
        <v>0</v>
      </c>
      <c r="AJ287" s="35">
        <v>0</v>
      </c>
      <c r="AK287" s="36">
        <v>0</v>
      </c>
      <c r="AL287" s="38">
        <v>0</v>
      </c>
      <c r="AM287" s="35">
        <v>0</v>
      </c>
      <c r="AN287" s="19">
        <v>0</v>
      </c>
      <c r="AO287" s="23">
        <v>0</v>
      </c>
      <c r="AP287" s="24">
        <v>0</v>
      </c>
      <c r="AQ287" s="31">
        <f t="shared" si="24"/>
        <v>11.2</v>
      </c>
      <c r="AR287" s="32">
        <f t="shared" si="24"/>
        <v>28000</v>
      </c>
      <c r="AS287" s="30">
        <v>14</v>
      </c>
    </row>
    <row r="288" spans="1:45" ht="16" x14ac:dyDescent="0.2">
      <c r="A288" s="19">
        <v>285</v>
      </c>
      <c r="B288" s="21" t="s">
        <v>307</v>
      </c>
      <c r="C288" s="20" t="s">
        <v>312</v>
      </c>
      <c r="D288" s="345"/>
      <c r="E288" s="22">
        <v>14.2</v>
      </c>
      <c r="F288" s="23">
        <f t="shared" si="20"/>
        <v>35500</v>
      </c>
      <c r="G288" s="19">
        <v>0</v>
      </c>
      <c r="H288" s="23">
        <v>0</v>
      </c>
      <c r="I288" s="24">
        <v>0</v>
      </c>
      <c r="J288" s="19">
        <v>0</v>
      </c>
      <c r="K288" s="23">
        <v>0</v>
      </c>
      <c r="L288" s="24">
        <v>0</v>
      </c>
      <c r="M288" s="25">
        <v>3.2</v>
      </c>
      <c r="N288" s="26">
        <v>8000</v>
      </c>
      <c r="O288" s="27">
        <v>8</v>
      </c>
      <c r="P288" s="28">
        <f t="shared" si="21"/>
        <v>2</v>
      </c>
      <c r="Q288" s="29">
        <f t="shared" si="22"/>
        <v>5000</v>
      </c>
      <c r="R288" s="30">
        <v>5</v>
      </c>
      <c r="S288" s="19">
        <v>0</v>
      </c>
      <c r="T288" s="23">
        <v>0</v>
      </c>
      <c r="U288" s="24">
        <v>0</v>
      </c>
      <c r="V288" s="31">
        <f t="shared" si="23"/>
        <v>5.2</v>
      </c>
      <c r="W288" s="32">
        <v>13000</v>
      </c>
      <c r="X288" s="30">
        <v>13</v>
      </c>
      <c r="Y288" s="19">
        <v>0</v>
      </c>
      <c r="Z288" s="23">
        <v>0</v>
      </c>
      <c r="AA288" s="24">
        <v>0</v>
      </c>
      <c r="AB288" s="33">
        <v>0</v>
      </c>
      <c r="AC288" s="34">
        <v>0</v>
      </c>
      <c r="AD288" s="35">
        <v>0</v>
      </c>
      <c r="AE288" s="36">
        <v>0</v>
      </c>
      <c r="AF288" s="23">
        <v>0</v>
      </c>
      <c r="AG288" s="24">
        <v>0</v>
      </c>
      <c r="AH288" s="33">
        <v>0</v>
      </c>
      <c r="AI288" s="37">
        <v>0</v>
      </c>
      <c r="AJ288" s="35">
        <v>0</v>
      </c>
      <c r="AK288" s="36">
        <v>0</v>
      </c>
      <c r="AL288" s="38">
        <v>0</v>
      </c>
      <c r="AM288" s="35">
        <v>0</v>
      </c>
      <c r="AN288" s="19">
        <v>0</v>
      </c>
      <c r="AO288" s="23">
        <v>0</v>
      </c>
      <c r="AP288" s="24">
        <v>0</v>
      </c>
      <c r="AQ288" s="31">
        <f t="shared" si="24"/>
        <v>10.4</v>
      </c>
      <c r="AR288" s="32">
        <f t="shared" si="24"/>
        <v>26000</v>
      </c>
      <c r="AS288" s="30">
        <v>13</v>
      </c>
    </row>
    <row r="289" spans="1:45" ht="16" x14ac:dyDescent="0.2">
      <c r="A289" s="19">
        <v>286</v>
      </c>
      <c r="B289" s="21" t="s">
        <v>307</v>
      </c>
      <c r="C289" s="20" t="s">
        <v>313</v>
      </c>
      <c r="D289" s="345"/>
      <c r="E289" s="22">
        <v>11</v>
      </c>
      <c r="F289" s="23">
        <f t="shared" si="20"/>
        <v>27500</v>
      </c>
      <c r="G289" s="19">
        <v>0</v>
      </c>
      <c r="H289" s="23">
        <v>0</v>
      </c>
      <c r="I289" s="24">
        <v>0</v>
      </c>
      <c r="J289" s="19">
        <v>0</v>
      </c>
      <c r="K289" s="23">
        <v>0</v>
      </c>
      <c r="L289" s="24">
        <v>0</v>
      </c>
      <c r="M289" s="25">
        <v>3.2</v>
      </c>
      <c r="N289" s="26">
        <v>8000</v>
      </c>
      <c r="O289" s="27">
        <v>8</v>
      </c>
      <c r="P289" s="28">
        <f t="shared" si="21"/>
        <v>0.4</v>
      </c>
      <c r="Q289" s="29">
        <f t="shared" si="22"/>
        <v>1000</v>
      </c>
      <c r="R289" s="30">
        <v>1</v>
      </c>
      <c r="S289" s="19">
        <v>0</v>
      </c>
      <c r="T289" s="23">
        <v>0</v>
      </c>
      <c r="U289" s="24">
        <v>0</v>
      </c>
      <c r="V289" s="31">
        <f t="shared" si="23"/>
        <v>3.2</v>
      </c>
      <c r="W289" s="32">
        <v>8000</v>
      </c>
      <c r="X289" s="30">
        <v>8</v>
      </c>
      <c r="Y289" s="19">
        <v>0</v>
      </c>
      <c r="Z289" s="23">
        <v>0</v>
      </c>
      <c r="AA289" s="24">
        <v>0</v>
      </c>
      <c r="AB289" s="33">
        <v>0</v>
      </c>
      <c r="AC289" s="34">
        <v>0</v>
      </c>
      <c r="AD289" s="35">
        <v>0</v>
      </c>
      <c r="AE289" s="36">
        <v>0</v>
      </c>
      <c r="AF289" s="23">
        <v>0</v>
      </c>
      <c r="AG289" s="24">
        <v>0</v>
      </c>
      <c r="AH289" s="33">
        <v>0</v>
      </c>
      <c r="AI289" s="37">
        <v>0</v>
      </c>
      <c r="AJ289" s="35">
        <v>0</v>
      </c>
      <c r="AK289" s="36">
        <v>0</v>
      </c>
      <c r="AL289" s="38">
        <v>0</v>
      </c>
      <c r="AM289" s="35">
        <v>0</v>
      </c>
      <c r="AN289" s="19">
        <v>0</v>
      </c>
      <c r="AO289" s="23">
        <v>0</v>
      </c>
      <c r="AP289" s="24">
        <v>0</v>
      </c>
      <c r="AQ289" s="31">
        <f t="shared" si="24"/>
        <v>6.8000000000000007</v>
      </c>
      <c r="AR289" s="32">
        <f t="shared" si="24"/>
        <v>17000</v>
      </c>
      <c r="AS289" s="30">
        <v>9</v>
      </c>
    </row>
    <row r="290" spans="1:45" ht="16" x14ac:dyDescent="0.2">
      <c r="A290" s="19">
        <v>287</v>
      </c>
      <c r="B290" s="21" t="s">
        <v>307</v>
      </c>
      <c r="C290" s="20" t="s">
        <v>314</v>
      </c>
      <c r="D290" s="345"/>
      <c r="E290" s="22">
        <v>18.200000000000003</v>
      </c>
      <c r="F290" s="23">
        <f t="shared" si="20"/>
        <v>45500.000000000007</v>
      </c>
      <c r="G290" s="19">
        <v>0</v>
      </c>
      <c r="H290" s="23">
        <v>0</v>
      </c>
      <c r="I290" s="24">
        <v>0</v>
      </c>
      <c r="J290" s="19">
        <v>0</v>
      </c>
      <c r="K290" s="23">
        <v>0</v>
      </c>
      <c r="L290" s="24">
        <v>0</v>
      </c>
      <c r="M290" s="25">
        <v>4.8</v>
      </c>
      <c r="N290" s="26">
        <v>12000</v>
      </c>
      <c r="O290" s="27">
        <v>12</v>
      </c>
      <c r="P290" s="28">
        <f t="shared" si="21"/>
        <v>1.2</v>
      </c>
      <c r="Q290" s="29">
        <f t="shared" si="22"/>
        <v>3000</v>
      </c>
      <c r="R290" s="30">
        <v>3</v>
      </c>
      <c r="S290" s="19">
        <v>0</v>
      </c>
      <c r="T290" s="23">
        <v>0</v>
      </c>
      <c r="U290" s="24">
        <v>0</v>
      </c>
      <c r="V290" s="31">
        <f t="shared" si="23"/>
        <v>5.6</v>
      </c>
      <c r="W290" s="32">
        <v>14000</v>
      </c>
      <c r="X290" s="30">
        <v>14</v>
      </c>
      <c r="Y290" s="19">
        <v>0</v>
      </c>
      <c r="Z290" s="23">
        <v>0</v>
      </c>
      <c r="AA290" s="24">
        <v>0</v>
      </c>
      <c r="AB290" s="33">
        <v>0</v>
      </c>
      <c r="AC290" s="34">
        <v>0</v>
      </c>
      <c r="AD290" s="35">
        <v>0</v>
      </c>
      <c r="AE290" s="36">
        <v>0</v>
      </c>
      <c r="AF290" s="23">
        <v>0</v>
      </c>
      <c r="AG290" s="24">
        <v>0</v>
      </c>
      <c r="AH290" s="33">
        <v>0</v>
      </c>
      <c r="AI290" s="37">
        <v>0</v>
      </c>
      <c r="AJ290" s="35">
        <v>0</v>
      </c>
      <c r="AK290" s="36">
        <v>0</v>
      </c>
      <c r="AL290" s="38">
        <v>0</v>
      </c>
      <c r="AM290" s="35">
        <v>0</v>
      </c>
      <c r="AN290" s="19">
        <v>0</v>
      </c>
      <c r="AO290" s="23">
        <v>0</v>
      </c>
      <c r="AP290" s="24">
        <v>0</v>
      </c>
      <c r="AQ290" s="31">
        <f t="shared" si="24"/>
        <v>11.6</v>
      </c>
      <c r="AR290" s="32">
        <f t="shared" si="24"/>
        <v>29000</v>
      </c>
      <c r="AS290" s="30">
        <v>15</v>
      </c>
    </row>
    <row r="291" spans="1:45" ht="16" x14ac:dyDescent="0.2">
      <c r="A291" s="19">
        <v>288</v>
      </c>
      <c r="B291" s="21" t="s">
        <v>307</v>
      </c>
      <c r="C291" s="20" t="s">
        <v>315</v>
      </c>
      <c r="D291" s="345"/>
      <c r="E291" s="22">
        <v>46</v>
      </c>
      <c r="F291" s="23">
        <f t="shared" si="20"/>
        <v>115000</v>
      </c>
      <c r="G291" s="19">
        <v>0</v>
      </c>
      <c r="H291" s="23">
        <v>0</v>
      </c>
      <c r="I291" s="24">
        <v>0</v>
      </c>
      <c r="J291" s="19">
        <v>0</v>
      </c>
      <c r="K291" s="23">
        <v>0</v>
      </c>
      <c r="L291" s="24">
        <v>0</v>
      </c>
      <c r="M291" s="25">
        <v>18</v>
      </c>
      <c r="N291" s="26">
        <v>45000</v>
      </c>
      <c r="O291" s="27">
        <v>45</v>
      </c>
      <c r="P291" s="28">
        <f t="shared" si="21"/>
        <v>2.8</v>
      </c>
      <c r="Q291" s="29">
        <f t="shared" si="22"/>
        <v>7000</v>
      </c>
      <c r="R291" s="30">
        <v>7</v>
      </c>
      <c r="S291" s="19">
        <v>0</v>
      </c>
      <c r="T291" s="23">
        <v>0</v>
      </c>
      <c r="U291" s="24">
        <v>0</v>
      </c>
      <c r="V291" s="31">
        <f t="shared" si="23"/>
        <v>20.8</v>
      </c>
      <c r="W291" s="32">
        <v>52000</v>
      </c>
      <c r="X291" s="30">
        <v>52</v>
      </c>
      <c r="Y291" s="19">
        <v>0</v>
      </c>
      <c r="Z291" s="23">
        <v>0</v>
      </c>
      <c r="AA291" s="24">
        <v>0</v>
      </c>
      <c r="AB291" s="33">
        <v>0</v>
      </c>
      <c r="AC291" s="34">
        <v>0</v>
      </c>
      <c r="AD291" s="35">
        <v>0</v>
      </c>
      <c r="AE291" s="36">
        <v>0</v>
      </c>
      <c r="AF291" s="23">
        <v>0</v>
      </c>
      <c r="AG291" s="24">
        <v>0</v>
      </c>
      <c r="AH291" s="33">
        <v>0</v>
      </c>
      <c r="AI291" s="37">
        <v>0</v>
      </c>
      <c r="AJ291" s="35">
        <v>0</v>
      </c>
      <c r="AK291" s="36">
        <v>0</v>
      </c>
      <c r="AL291" s="38">
        <v>0</v>
      </c>
      <c r="AM291" s="35">
        <v>0</v>
      </c>
      <c r="AN291" s="19">
        <v>0</v>
      </c>
      <c r="AO291" s="23">
        <v>0</v>
      </c>
      <c r="AP291" s="24">
        <v>0</v>
      </c>
      <c r="AQ291" s="31">
        <f t="shared" si="24"/>
        <v>41.6</v>
      </c>
      <c r="AR291" s="32">
        <f t="shared" si="24"/>
        <v>104000</v>
      </c>
      <c r="AS291" s="30">
        <v>52</v>
      </c>
    </row>
    <row r="292" spans="1:45" ht="16" x14ac:dyDescent="0.2">
      <c r="A292" s="19">
        <v>289</v>
      </c>
      <c r="B292" s="21" t="s">
        <v>307</v>
      </c>
      <c r="C292" s="20" t="s">
        <v>316</v>
      </c>
      <c r="D292" s="345"/>
      <c r="E292" s="22">
        <v>14</v>
      </c>
      <c r="F292" s="23">
        <f t="shared" si="20"/>
        <v>35000</v>
      </c>
      <c r="G292" s="19">
        <v>0</v>
      </c>
      <c r="H292" s="23">
        <v>0</v>
      </c>
      <c r="I292" s="24">
        <v>0</v>
      </c>
      <c r="J292" s="19">
        <v>0</v>
      </c>
      <c r="K292" s="23">
        <v>0</v>
      </c>
      <c r="L292" s="24">
        <v>0</v>
      </c>
      <c r="M292" s="25">
        <v>5.2</v>
      </c>
      <c r="N292" s="26">
        <v>13000</v>
      </c>
      <c r="O292" s="27">
        <v>13</v>
      </c>
      <c r="P292" s="28">
        <f t="shared" si="21"/>
        <v>2</v>
      </c>
      <c r="Q292" s="29">
        <f t="shared" si="22"/>
        <v>5000</v>
      </c>
      <c r="R292" s="30">
        <v>5</v>
      </c>
      <c r="S292" s="19">
        <v>0</v>
      </c>
      <c r="T292" s="23">
        <v>0</v>
      </c>
      <c r="U292" s="24">
        <v>0</v>
      </c>
      <c r="V292" s="31">
        <f t="shared" si="23"/>
        <v>7.2</v>
      </c>
      <c r="W292" s="32">
        <v>18000</v>
      </c>
      <c r="X292" s="30">
        <v>18</v>
      </c>
      <c r="Y292" s="19">
        <v>0</v>
      </c>
      <c r="Z292" s="23">
        <v>0</v>
      </c>
      <c r="AA292" s="24">
        <v>0</v>
      </c>
      <c r="AB292" s="33">
        <v>0</v>
      </c>
      <c r="AC292" s="34">
        <v>0</v>
      </c>
      <c r="AD292" s="35">
        <v>0</v>
      </c>
      <c r="AE292" s="36">
        <v>0</v>
      </c>
      <c r="AF292" s="23">
        <v>0</v>
      </c>
      <c r="AG292" s="24">
        <v>0</v>
      </c>
      <c r="AH292" s="33">
        <v>0</v>
      </c>
      <c r="AI292" s="37">
        <v>0</v>
      </c>
      <c r="AJ292" s="35">
        <v>0</v>
      </c>
      <c r="AK292" s="36">
        <v>0</v>
      </c>
      <c r="AL292" s="38">
        <v>0</v>
      </c>
      <c r="AM292" s="35">
        <v>0</v>
      </c>
      <c r="AN292" s="19">
        <v>0</v>
      </c>
      <c r="AO292" s="23">
        <v>0</v>
      </c>
      <c r="AP292" s="24">
        <v>0</v>
      </c>
      <c r="AQ292" s="31">
        <f t="shared" si="24"/>
        <v>14.4</v>
      </c>
      <c r="AR292" s="32">
        <f t="shared" si="24"/>
        <v>36000</v>
      </c>
      <c r="AS292" s="30">
        <v>18</v>
      </c>
    </row>
    <row r="293" spans="1:45" ht="16" x14ac:dyDescent="0.2">
      <c r="A293" s="19">
        <v>290</v>
      </c>
      <c r="B293" s="21" t="s">
        <v>307</v>
      </c>
      <c r="C293" s="20" t="s">
        <v>317</v>
      </c>
      <c r="D293" s="345" t="s">
        <v>25</v>
      </c>
      <c r="E293" s="22">
        <v>20</v>
      </c>
      <c r="F293" s="23">
        <f t="shared" si="20"/>
        <v>50000</v>
      </c>
      <c r="G293" s="19">
        <v>0</v>
      </c>
      <c r="H293" s="23">
        <v>0</v>
      </c>
      <c r="I293" s="24">
        <v>0</v>
      </c>
      <c r="J293" s="19">
        <v>0</v>
      </c>
      <c r="K293" s="23">
        <v>0</v>
      </c>
      <c r="L293" s="24">
        <v>0</v>
      </c>
      <c r="M293" s="25">
        <v>8.4</v>
      </c>
      <c r="N293" s="26">
        <v>21000</v>
      </c>
      <c r="O293" s="27">
        <v>21</v>
      </c>
      <c r="P293" s="28">
        <f t="shared" si="21"/>
        <v>2.4</v>
      </c>
      <c r="Q293" s="29">
        <f t="shared" si="22"/>
        <v>6000</v>
      </c>
      <c r="R293" s="30">
        <v>6</v>
      </c>
      <c r="S293" s="19">
        <v>0</v>
      </c>
      <c r="T293" s="23">
        <v>0</v>
      </c>
      <c r="U293" s="24">
        <v>0</v>
      </c>
      <c r="V293" s="31">
        <f t="shared" si="23"/>
        <v>10.8</v>
      </c>
      <c r="W293" s="32">
        <v>27000</v>
      </c>
      <c r="X293" s="30">
        <v>27</v>
      </c>
      <c r="Y293" s="19">
        <v>0</v>
      </c>
      <c r="Z293" s="23">
        <v>0</v>
      </c>
      <c r="AA293" s="24">
        <v>0</v>
      </c>
      <c r="AB293" s="33">
        <v>0</v>
      </c>
      <c r="AC293" s="34">
        <v>0</v>
      </c>
      <c r="AD293" s="35">
        <v>0</v>
      </c>
      <c r="AE293" s="36">
        <v>0</v>
      </c>
      <c r="AF293" s="23">
        <v>0</v>
      </c>
      <c r="AG293" s="24">
        <v>0</v>
      </c>
      <c r="AH293" s="33">
        <v>0</v>
      </c>
      <c r="AI293" s="37">
        <v>0</v>
      </c>
      <c r="AJ293" s="35">
        <v>0</v>
      </c>
      <c r="AK293" s="36">
        <v>0</v>
      </c>
      <c r="AL293" s="38">
        <v>0</v>
      </c>
      <c r="AM293" s="35">
        <v>0</v>
      </c>
      <c r="AN293" s="19">
        <v>0</v>
      </c>
      <c r="AO293" s="23">
        <v>0</v>
      </c>
      <c r="AP293" s="24">
        <v>0</v>
      </c>
      <c r="AQ293" s="31">
        <f t="shared" si="24"/>
        <v>21.6</v>
      </c>
      <c r="AR293" s="32">
        <f t="shared" si="24"/>
        <v>54000</v>
      </c>
      <c r="AS293" s="30">
        <v>27</v>
      </c>
    </row>
    <row r="294" spans="1:45" ht="16" x14ac:dyDescent="0.2">
      <c r="A294" s="19">
        <v>291</v>
      </c>
      <c r="B294" s="21" t="s">
        <v>307</v>
      </c>
      <c r="C294" s="20" t="s">
        <v>318</v>
      </c>
      <c r="D294" s="345"/>
      <c r="E294" s="22">
        <v>20.6</v>
      </c>
      <c r="F294" s="23">
        <f t="shared" si="20"/>
        <v>51500</v>
      </c>
      <c r="G294" s="19">
        <v>0</v>
      </c>
      <c r="H294" s="23">
        <v>0</v>
      </c>
      <c r="I294" s="24">
        <v>0</v>
      </c>
      <c r="J294" s="19">
        <v>0</v>
      </c>
      <c r="K294" s="23">
        <v>0</v>
      </c>
      <c r="L294" s="24">
        <v>0</v>
      </c>
      <c r="M294" s="25">
        <v>4.4000000000000004</v>
      </c>
      <c r="N294" s="26">
        <v>11000</v>
      </c>
      <c r="O294" s="27">
        <v>11</v>
      </c>
      <c r="P294" s="28">
        <f t="shared" si="21"/>
        <v>4</v>
      </c>
      <c r="Q294" s="29">
        <f t="shared" si="22"/>
        <v>10000</v>
      </c>
      <c r="R294" s="30">
        <v>10</v>
      </c>
      <c r="S294" s="19">
        <v>0</v>
      </c>
      <c r="T294" s="23">
        <v>0</v>
      </c>
      <c r="U294" s="24">
        <v>0</v>
      </c>
      <c r="V294" s="31">
        <f t="shared" si="23"/>
        <v>8.4</v>
      </c>
      <c r="W294" s="32">
        <v>21000</v>
      </c>
      <c r="X294" s="30">
        <v>21</v>
      </c>
      <c r="Y294" s="19">
        <v>0</v>
      </c>
      <c r="Z294" s="23">
        <v>0</v>
      </c>
      <c r="AA294" s="24">
        <v>0</v>
      </c>
      <c r="AB294" s="33">
        <v>0</v>
      </c>
      <c r="AC294" s="34">
        <v>0</v>
      </c>
      <c r="AD294" s="35">
        <v>0</v>
      </c>
      <c r="AE294" s="36">
        <v>0</v>
      </c>
      <c r="AF294" s="23">
        <v>0</v>
      </c>
      <c r="AG294" s="24">
        <v>0</v>
      </c>
      <c r="AH294" s="33">
        <v>0</v>
      </c>
      <c r="AI294" s="37">
        <v>0</v>
      </c>
      <c r="AJ294" s="35">
        <v>0</v>
      </c>
      <c r="AK294" s="36">
        <v>0</v>
      </c>
      <c r="AL294" s="38">
        <v>0</v>
      </c>
      <c r="AM294" s="35">
        <v>0</v>
      </c>
      <c r="AN294" s="19">
        <v>0</v>
      </c>
      <c r="AO294" s="23">
        <v>0</v>
      </c>
      <c r="AP294" s="24">
        <v>0</v>
      </c>
      <c r="AQ294" s="31">
        <f t="shared" si="24"/>
        <v>16.8</v>
      </c>
      <c r="AR294" s="32">
        <f t="shared" si="24"/>
        <v>42000</v>
      </c>
      <c r="AS294" s="30">
        <v>21</v>
      </c>
    </row>
    <row r="295" spans="1:45" ht="16" x14ac:dyDescent="0.2">
      <c r="A295" s="19">
        <v>292</v>
      </c>
      <c r="B295" s="21" t="s">
        <v>307</v>
      </c>
      <c r="C295" s="20" t="s">
        <v>319</v>
      </c>
      <c r="D295" s="345"/>
      <c r="E295" s="22">
        <v>3</v>
      </c>
      <c r="F295" s="23">
        <f t="shared" si="20"/>
        <v>7500</v>
      </c>
      <c r="G295" s="19">
        <v>0</v>
      </c>
      <c r="H295" s="23">
        <v>0</v>
      </c>
      <c r="I295" s="24">
        <v>0</v>
      </c>
      <c r="J295" s="19">
        <v>0</v>
      </c>
      <c r="K295" s="23">
        <v>0</v>
      </c>
      <c r="L295" s="24">
        <v>0</v>
      </c>
      <c r="M295" s="25">
        <v>1.2</v>
      </c>
      <c r="N295" s="26">
        <v>3000</v>
      </c>
      <c r="O295" s="27">
        <v>3</v>
      </c>
      <c r="P295" s="28">
        <f t="shared" si="21"/>
        <v>1.2</v>
      </c>
      <c r="Q295" s="29">
        <f t="shared" si="22"/>
        <v>3000</v>
      </c>
      <c r="R295" s="30">
        <v>3</v>
      </c>
      <c r="S295" s="19">
        <v>0</v>
      </c>
      <c r="T295" s="23">
        <v>0</v>
      </c>
      <c r="U295" s="24">
        <v>0</v>
      </c>
      <c r="V295" s="31">
        <f t="shared" si="23"/>
        <v>2.8</v>
      </c>
      <c r="W295" s="32">
        <v>7000</v>
      </c>
      <c r="X295" s="30">
        <v>7</v>
      </c>
      <c r="Y295" s="19">
        <v>0</v>
      </c>
      <c r="Z295" s="23">
        <v>0</v>
      </c>
      <c r="AA295" s="24">
        <v>0</v>
      </c>
      <c r="AB295" s="33">
        <v>0</v>
      </c>
      <c r="AC295" s="34">
        <v>0</v>
      </c>
      <c r="AD295" s="35">
        <v>0</v>
      </c>
      <c r="AE295" s="36">
        <v>0</v>
      </c>
      <c r="AF295" s="23">
        <v>0</v>
      </c>
      <c r="AG295" s="24">
        <v>0</v>
      </c>
      <c r="AH295" s="33">
        <v>0</v>
      </c>
      <c r="AI295" s="37">
        <v>0</v>
      </c>
      <c r="AJ295" s="35">
        <v>0</v>
      </c>
      <c r="AK295" s="36">
        <v>0</v>
      </c>
      <c r="AL295" s="38">
        <v>0</v>
      </c>
      <c r="AM295" s="35">
        <v>0</v>
      </c>
      <c r="AN295" s="19">
        <v>0</v>
      </c>
      <c r="AO295" s="23">
        <v>0</v>
      </c>
      <c r="AP295" s="24">
        <v>0</v>
      </c>
      <c r="AQ295" s="31">
        <f t="shared" si="24"/>
        <v>5.1999999999999993</v>
      </c>
      <c r="AR295" s="32">
        <f t="shared" si="24"/>
        <v>13000</v>
      </c>
      <c r="AS295" s="30">
        <v>7</v>
      </c>
    </row>
    <row r="296" spans="1:45" ht="16" x14ac:dyDescent="0.2">
      <c r="A296" s="19">
        <v>293</v>
      </c>
      <c r="B296" s="21" t="s">
        <v>307</v>
      </c>
      <c r="C296" s="20" t="s">
        <v>320</v>
      </c>
      <c r="D296" s="345"/>
      <c r="E296" s="22">
        <v>19.2</v>
      </c>
      <c r="F296" s="23">
        <f t="shared" si="20"/>
        <v>48000</v>
      </c>
      <c r="G296" s="19">
        <v>0</v>
      </c>
      <c r="H296" s="23">
        <v>0</v>
      </c>
      <c r="I296" s="24">
        <v>0</v>
      </c>
      <c r="J296" s="19">
        <v>0</v>
      </c>
      <c r="K296" s="23">
        <v>0</v>
      </c>
      <c r="L296" s="24">
        <v>0</v>
      </c>
      <c r="M296" s="25">
        <v>5.6</v>
      </c>
      <c r="N296" s="26">
        <v>14000</v>
      </c>
      <c r="O296" s="27">
        <v>14</v>
      </c>
      <c r="P296" s="28">
        <f t="shared" si="21"/>
        <v>2</v>
      </c>
      <c r="Q296" s="29">
        <f t="shared" si="22"/>
        <v>5000</v>
      </c>
      <c r="R296" s="30">
        <v>5</v>
      </c>
      <c r="S296" s="19">
        <v>0</v>
      </c>
      <c r="T296" s="23">
        <v>0</v>
      </c>
      <c r="U296" s="24">
        <v>0</v>
      </c>
      <c r="V296" s="31">
        <f t="shared" si="23"/>
        <v>7.6</v>
      </c>
      <c r="W296" s="32">
        <v>19000</v>
      </c>
      <c r="X296" s="30">
        <v>19</v>
      </c>
      <c r="Y296" s="19">
        <v>0</v>
      </c>
      <c r="Z296" s="23">
        <v>0</v>
      </c>
      <c r="AA296" s="24">
        <v>0</v>
      </c>
      <c r="AB296" s="33">
        <v>0</v>
      </c>
      <c r="AC296" s="34">
        <v>0</v>
      </c>
      <c r="AD296" s="35">
        <v>0</v>
      </c>
      <c r="AE296" s="36">
        <v>0</v>
      </c>
      <c r="AF296" s="23">
        <v>0</v>
      </c>
      <c r="AG296" s="24">
        <v>0</v>
      </c>
      <c r="AH296" s="33">
        <v>0</v>
      </c>
      <c r="AI296" s="37">
        <v>0</v>
      </c>
      <c r="AJ296" s="35">
        <v>0</v>
      </c>
      <c r="AK296" s="36">
        <v>0</v>
      </c>
      <c r="AL296" s="38">
        <v>0</v>
      </c>
      <c r="AM296" s="35">
        <v>0</v>
      </c>
      <c r="AN296" s="19">
        <v>0</v>
      </c>
      <c r="AO296" s="23">
        <v>0</v>
      </c>
      <c r="AP296" s="24">
        <v>0</v>
      </c>
      <c r="AQ296" s="31">
        <f t="shared" si="24"/>
        <v>15.2</v>
      </c>
      <c r="AR296" s="32">
        <f t="shared" si="24"/>
        <v>38000</v>
      </c>
      <c r="AS296" s="30">
        <v>19</v>
      </c>
    </row>
    <row r="297" spans="1:45" ht="16" x14ac:dyDescent="0.2">
      <c r="A297" s="19">
        <v>294</v>
      </c>
      <c r="B297" s="21" t="s">
        <v>307</v>
      </c>
      <c r="C297" s="20" t="s">
        <v>321</v>
      </c>
      <c r="D297" s="345"/>
      <c r="E297" s="22">
        <v>11.200000000000001</v>
      </c>
      <c r="F297" s="23">
        <f t="shared" si="20"/>
        <v>28000.000000000004</v>
      </c>
      <c r="G297" s="19">
        <v>0</v>
      </c>
      <c r="H297" s="23">
        <v>0</v>
      </c>
      <c r="I297" s="24">
        <v>0</v>
      </c>
      <c r="J297" s="19">
        <v>0</v>
      </c>
      <c r="K297" s="23">
        <v>0</v>
      </c>
      <c r="L297" s="24">
        <v>0</v>
      </c>
      <c r="M297" s="25">
        <v>3.2</v>
      </c>
      <c r="N297" s="26">
        <v>8000</v>
      </c>
      <c r="O297" s="27">
        <v>8</v>
      </c>
      <c r="P297" s="28">
        <f t="shared" si="21"/>
        <v>0.8</v>
      </c>
      <c r="Q297" s="29">
        <f t="shared" si="22"/>
        <v>2000</v>
      </c>
      <c r="R297" s="30">
        <v>2</v>
      </c>
      <c r="S297" s="19">
        <v>0</v>
      </c>
      <c r="T297" s="23">
        <v>0</v>
      </c>
      <c r="U297" s="24">
        <v>0</v>
      </c>
      <c r="V297" s="31">
        <f t="shared" si="23"/>
        <v>4</v>
      </c>
      <c r="W297" s="32">
        <v>10000</v>
      </c>
      <c r="X297" s="30">
        <v>10</v>
      </c>
      <c r="Y297" s="19">
        <v>0</v>
      </c>
      <c r="Z297" s="23">
        <v>0</v>
      </c>
      <c r="AA297" s="24">
        <v>0</v>
      </c>
      <c r="AB297" s="33">
        <v>0</v>
      </c>
      <c r="AC297" s="34">
        <v>0</v>
      </c>
      <c r="AD297" s="35">
        <v>0</v>
      </c>
      <c r="AE297" s="36">
        <v>0</v>
      </c>
      <c r="AF297" s="23">
        <v>0</v>
      </c>
      <c r="AG297" s="24">
        <v>0</v>
      </c>
      <c r="AH297" s="33">
        <v>0</v>
      </c>
      <c r="AI297" s="37">
        <v>0</v>
      </c>
      <c r="AJ297" s="35">
        <v>0</v>
      </c>
      <c r="AK297" s="36">
        <v>0</v>
      </c>
      <c r="AL297" s="38">
        <v>0</v>
      </c>
      <c r="AM297" s="35">
        <v>0</v>
      </c>
      <c r="AN297" s="19">
        <v>0</v>
      </c>
      <c r="AO297" s="23">
        <v>0</v>
      </c>
      <c r="AP297" s="24">
        <v>0</v>
      </c>
      <c r="AQ297" s="31">
        <f t="shared" si="24"/>
        <v>8</v>
      </c>
      <c r="AR297" s="32">
        <f t="shared" si="24"/>
        <v>20000</v>
      </c>
      <c r="AS297" s="30">
        <v>10</v>
      </c>
    </row>
    <row r="298" spans="1:45" ht="16" x14ac:dyDescent="0.2">
      <c r="A298" s="19">
        <v>295</v>
      </c>
      <c r="B298" s="21" t="s">
        <v>307</v>
      </c>
      <c r="C298" s="20" t="s">
        <v>322</v>
      </c>
      <c r="D298" s="345"/>
      <c r="E298" s="22">
        <v>20.6</v>
      </c>
      <c r="F298" s="23">
        <f t="shared" si="20"/>
        <v>51500</v>
      </c>
      <c r="G298" s="19">
        <v>0</v>
      </c>
      <c r="H298" s="23">
        <v>0</v>
      </c>
      <c r="I298" s="24">
        <v>0</v>
      </c>
      <c r="J298" s="19">
        <v>0</v>
      </c>
      <c r="K298" s="23">
        <v>0</v>
      </c>
      <c r="L298" s="24">
        <v>0</v>
      </c>
      <c r="M298" s="25">
        <v>5.6</v>
      </c>
      <c r="N298" s="26">
        <v>14000</v>
      </c>
      <c r="O298" s="27">
        <v>14</v>
      </c>
      <c r="P298" s="28">
        <f t="shared" si="21"/>
        <v>0.4</v>
      </c>
      <c r="Q298" s="29">
        <f t="shared" si="22"/>
        <v>1000</v>
      </c>
      <c r="R298" s="30">
        <v>1</v>
      </c>
      <c r="S298" s="19">
        <v>0</v>
      </c>
      <c r="T298" s="23">
        <v>0</v>
      </c>
      <c r="U298" s="24">
        <v>0</v>
      </c>
      <c r="V298" s="31">
        <f t="shared" si="23"/>
        <v>6</v>
      </c>
      <c r="W298" s="32">
        <v>15000</v>
      </c>
      <c r="X298" s="30">
        <v>15</v>
      </c>
      <c r="Y298" s="19">
        <v>0</v>
      </c>
      <c r="Z298" s="23">
        <v>0</v>
      </c>
      <c r="AA298" s="24">
        <v>0</v>
      </c>
      <c r="AB298" s="33">
        <v>0</v>
      </c>
      <c r="AC298" s="34">
        <v>0</v>
      </c>
      <c r="AD298" s="35">
        <v>0</v>
      </c>
      <c r="AE298" s="36">
        <v>0</v>
      </c>
      <c r="AF298" s="23">
        <v>0</v>
      </c>
      <c r="AG298" s="24">
        <v>0</v>
      </c>
      <c r="AH298" s="33">
        <v>0</v>
      </c>
      <c r="AI298" s="37">
        <v>0</v>
      </c>
      <c r="AJ298" s="35">
        <v>0</v>
      </c>
      <c r="AK298" s="36">
        <v>0</v>
      </c>
      <c r="AL298" s="38">
        <v>0</v>
      </c>
      <c r="AM298" s="35">
        <v>0</v>
      </c>
      <c r="AN298" s="19">
        <v>0</v>
      </c>
      <c r="AO298" s="23">
        <v>0</v>
      </c>
      <c r="AP298" s="24">
        <v>0</v>
      </c>
      <c r="AQ298" s="31">
        <f t="shared" si="24"/>
        <v>12</v>
      </c>
      <c r="AR298" s="32">
        <f t="shared" si="24"/>
        <v>30000</v>
      </c>
      <c r="AS298" s="30">
        <v>15</v>
      </c>
    </row>
    <row r="299" spans="1:45" ht="16" x14ac:dyDescent="0.2">
      <c r="A299" s="19">
        <v>296</v>
      </c>
      <c r="B299" s="21" t="s">
        <v>307</v>
      </c>
      <c r="C299" s="20" t="s">
        <v>323</v>
      </c>
      <c r="D299" s="345"/>
      <c r="E299" s="22">
        <v>6.4</v>
      </c>
      <c r="F299" s="23">
        <f t="shared" si="20"/>
        <v>16000</v>
      </c>
      <c r="G299" s="19">
        <v>0</v>
      </c>
      <c r="H299" s="23">
        <v>0</v>
      </c>
      <c r="I299" s="24">
        <v>0</v>
      </c>
      <c r="J299" s="19">
        <v>0</v>
      </c>
      <c r="K299" s="23">
        <v>0</v>
      </c>
      <c r="L299" s="24">
        <v>0</v>
      </c>
      <c r="M299" s="25">
        <v>1.6</v>
      </c>
      <c r="N299" s="26">
        <v>4000</v>
      </c>
      <c r="O299" s="27">
        <v>4</v>
      </c>
      <c r="P299" s="28">
        <f t="shared" si="21"/>
        <v>0.8</v>
      </c>
      <c r="Q299" s="29">
        <f t="shared" si="22"/>
        <v>2000</v>
      </c>
      <c r="R299" s="30">
        <v>2</v>
      </c>
      <c r="S299" s="19">
        <v>0</v>
      </c>
      <c r="T299" s="23">
        <v>0</v>
      </c>
      <c r="U299" s="24">
        <v>0</v>
      </c>
      <c r="V299" s="31">
        <f t="shared" si="23"/>
        <v>2.4</v>
      </c>
      <c r="W299" s="32">
        <v>6000</v>
      </c>
      <c r="X299" s="30">
        <v>6</v>
      </c>
      <c r="Y299" s="19">
        <v>0</v>
      </c>
      <c r="Z299" s="23">
        <v>0</v>
      </c>
      <c r="AA299" s="24">
        <v>0</v>
      </c>
      <c r="AB299" s="33">
        <v>0</v>
      </c>
      <c r="AC299" s="34">
        <v>0</v>
      </c>
      <c r="AD299" s="35">
        <v>0</v>
      </c>
      <c r="AE299" s="36">
        <v>0</v>
      </c>
      <c r="AF299" s="23">
        <v>0</v>
      </c>
      <c r="AG299" s="24">
        <v>0</v>
      </c>
      <c r="AH299" s="33">
        <v>0</v>
      </c>
      <c r="AI299" s="37">
        <v>0</v>
      </c>
      <c r="AJ299" s="35">
        <v>0</v>
      </c>
      <c r="AK299" s="36">
        <v>0</v>
      </c>
      <c r="AL299" s="38">
        <v>0</v>
      </c>
      <c r="AM299" s="35">
        <v>0</v>
      </c>
      <c r="AN299" s="19">
        <v>0</v>
      </c>
      <c r="AO299" s="23">
        <v>0</v>
      </c>
      <c r="AP299" s="24">
        <v>0</v>
      </c>
      <c r="AQ299" s="31">
        <f t="shared" si="24"/>
        <v>4.8000000000000007</v>
      </c>
      <c r="AR299" s="32">
        <f t="shared" si="24"/>
        <v>12000</v>
      </c>
      <c r="AS299" s="30">
        <v>6</v>
      </c>
    </row>
    <row r="300" spans="1:45" ht="16" x14ac:dyDescent="0.2">
      <c r="A300" s="19">
        <v>297</v>
      </c>
      <c r="B300" s="21" t="s">
        <v>307</v>
      </c>
      <c r="C300" s="20" t="s">
        <v>324</v>
      </c>
      <c r="D300" s="345"/>
      <c r="E300" s="22">
        <v>5</v>
      </c>
      <c r="F300" s="23">
        <f t="shared" si="20"/>
        <v>12500</v>
      </c>
      <c r="G300" s="19">
        <v>0</v>
      </c>
      <c r="H300" s="23">
        <v>0</v>
      </c>
      <c r="I300" s="24">
        <v>0</v>
      </c>
      <c r="J300" s="19">
        <v>0</v>
      </c>
      <c r="K300" s="23">
        <v>0</v>
      </c>
      <c r="L300" s="24">
        <v>0</v>
      </c>
      <c r="M300" s="25">
        <v>2</v>
      </c>
      <c r="N300" s="26">
        <v>5000</v>
      </c>
      <c r="O300" s="27">
        <v>5</v>
      </c>
      <c r="P300" s="28">
        <f t="shared" si="21"/>
        <v>1.2</v>
      </c>
      <c r="Q300" s="29">
        <f t="shared" si="22"/>
        <v>3000</v>
      </c>
      <c r="R300" s="30">
        <v>3</v>
      </c>
      <c r="S300" s="19">
        <v>0</v>
      </c>
      <c r="T300" s="23">
        <v>0</v>
      </c>
      <c r="U300" s="24">
        <v>0</v>
      </c>
      <c r="V300" s="31">
        <f t="shared" si="23"/>
        <v>3.2</v>
      </c>
      <c r="W300" s="32">
        <v>8000</v>
      </c>
      <c r="X300" s="30">
        <v>8</v>
      </c>
      <c r="Y300" s="19">
        <v>0</v>
      </c>
      <c r="Z300" s="23">
        <v>0</v>
      </c>
      <c r="AA300" s="24">
        <v>0</v>
      </c>
      <c r="AB300" s="33">
        <v>0</v>
      </c>
      <c r="AC300" s="34">
        <v>0</v>
      </c>
      <c r="AD300" s="35">
        <v>0</v>
      </c>
      <c r="AE300" s="36">
        <v>0</v>
      </c>
      <c r="AF300" s="23">
        <v>0</v>
      </c>
      <c r="AG300" s="24">
        <v>0</v>
      </c>
      <c r="AH300" s="33">
        <v>0</v>
      </c>
      <c r="AI300" s="37">
        <v>0</v>
      </c>
      <c r="AJ300" s="35">
        <v>0</v>
      </c>
      <c r="AK300" s="36">
        <v>0</v>
      </c>
      <c r="AL300" s="38">
        <v>0</v>
      </c>
      <c r="AM300" s="35">
        <v>0</v>
      </c>
      <c r="AN300" s="19">
        <v>0</v>
      </c>
      <c r="AO300" s="23">
        <v>0</v>
      </c>
      <c r="AP300" s="24">
        <v>0</v>
      </c>
      <c r="AQ300" s="31">
        <f t="shared" si="24"/>
        <v>6.4</v>
      </c>
      <c r="AR300" s="32">
        <f t="shared" si="24"/>
        <v>16000</v>
      </c>
      <c r="AS300" s="30">
        <v>8</v>
      </c>
    </row>
    <row r="301" spans="1:45" ht="16" x14ac:dyDescent="0.2">
      <c r="A301" s="19">
        <v>298</v>
      </c>
      <c r="B301" s="21" t="s">
        <v>307</v>
      </c>
      <c r="C301" s="20" t="s">
        <v>325</v>
      </c>
      <c r="D301" s="345"/>
      <c r="E301" s="22">
        <v>33</v>
      </c>
      <c r="F301" s="23">
        <f t="shared" si="20"/>
        <v>82500</v>
      </c>
      <c r="G301" s="19">
        <v>0</v>
      </c>
      <c r="H301" s="23">
        <v>0</v>
      </c>
      <c r="I301" s="24">
        <v>0</v>
      </c>
      <c r="J301" s="19">
        <v>0</v>
      </c>
      <c r="K301" s="23">
        <v>0</v>
      </c>
      <c r="L301" s="24">
        <v>0</v>
      </c>
      <c r="M301" s="25">
        <v>9.6</v>
      </c>
      <c r="N301" s="26">
        <v>24000</v>
      </c>
      <c r="O301" s="27">
        <v>24</v>
      </c>
      <c r="P301" s="28">
        <f t="shared" si="21"/>
        <v>1.2</v>
      </c>
      <c r="Q301" s="29">
        <f t="shared" si="22"/>
        <v>3000</v>
      </c>
      <c r="R301" s="30">
        <v>3</v>
      </c>
      <c r="S301" s="19">
        <v>0</v>
      </c>
      <c r="T301" s="23">
        <v>0</v>
      </c>
      <c r="U301" s="24">
        <v>0</v>
      </c>
      <c r="V301" s="31">
        <f t="shared" si="23"/>
        <v>10.8</v>
      </c>
      <c r="W301" s="32">
        <v>27000</v>
      </c>
      <c r="X301" s="30">
        <v>27</v>
      </c>
      <c r="Y301" s="19">
        <v>0</v>
      </c>
      <c r="Z301" s="23">
        <v>0</v>
      </c>
      <c r="AA301" s="24">
        <v>0</v>
      </c>
      <c r="AB301" s="33">
        <v>0</v>
      </c>
      <c r="AC301" s="34">
        <v>0</v>
      </c>
      <c r="AD301" s="35">
        <v>0</v>
      </c>
      <c r="AE301" s="36">
        <v>0</v>
      </c>
      <c r="AF301" s="23">
        <v>0</v>
      </c>
      <c r="AG301" s="24">
        <v>0</v>
      </c>
      <c r="AH301" s="33">
        <v>0</v>
      </c>
      <c r="AI301" s="37">
        <v>0</v>
      </c>
      <c r="AJ301" s="35">
        <v>0</v>
      </c>
      <c r="AK301" s="36">
        <v>0</v>
      </c>
      <c r="AL301" s="38">
        <v>0</v>
      </c>
      <c r="AM301" s="35">
        <v>0</v>
      </c>
      <c r="AN301" s="19">
        <v>0</v>
      </c>
      <c r="AO301" s="23">
        <v>0</v>
      </c>
      <c r="AP301" s="24">
        <v>0</v>
      </c>
      <c r="AQ301" s="31">
        <f t="shared" si="24"/>
        <v>21.6</v>
      </c>
      <c r="AR301" s="32">
        <f t="shared" si="24"/>
        <v>54000</v>
      </c>
      <c r="AS301" s="30">
        <v>27</v>
      </c>
    </row>
    <row r="302" spans="1:45" ht="16" x14ac:dyDescent="0.2">
      <c r="A302" s="19">
        <v>299</v>
      </c>
      <c r="B302" s="21" t="s">
        <v>307</v>
      </c>
      <c r="C302" s="20" t="s">
        <v>326</v>
      </c>
      <c r="D302" s="345"/>
      <c r="E302" s="22">
        <v>16</v>
      </c>
      <c r="F302" s="23">
        <f t="shared" si="20"/>
        <v>40000</v>
      </c>
      <c r="G302" s="19">
        <v>0</v>
      </c>
      <c r="H302" s="23">
        <v>0</v>
      </c>
      <c r="I302" s="24">
        <v>0</v>
      </c>
      <c r="J302" s="19">
        <v>0</v>
      </c>
      <c r="K302" s="23">
        <v>0</v>
      </c>
      <c r="L302" s="24">
        <v>0</v>
      </c>
      <c r="M302" s="25">
        <v>3.2</v>
      </c>
      <c r="N302" s="26">
        <v>8000</v>
      </c>
      <c r="O302" s="27">
        <v>8</v>
      </c>
      <c r="P302" s="28">
        <f t="shared" si="21"/>
        <v>0.4</v>
      </c>
      <c r="Q302" s="29">
        <f t="shared" si="22"/>
        <v>1000</v>
      </c>
      <c r="R302" s="30">
        <v>1</v>
      </c>
      <c r="S302" s="19">
        <v>0</v>
      </c>
      <c r="T302" s="23">
        <v>0</v>
      </c>
      <c r="U302" s="24">
        <v>0</v>
      </c>
      <c r="V302" s="31">
        <f t="shared" si="23"/>
        <v>3.6</v>
      </c>
      <c r="W302" s="32">
        <v>9000</v>
      </c>
      <c r="X302" s="30">
        <v>9</v>
      </c>
      <c r="Y302" s="19">
        <v>0</v>
      </c>
      <c r="Z302" s="23">
        <v>0</v>
      </c>
      <c r="AA302" s="24">
        <v>0</v>
      </c>
      <c r="AB302" s="33">
        <v>0</v>
      </c>
      <c r="AC302" s="34">
        <v>0</v>
      </c>
      <c r="AD302" s="35">
        <v>0</v>
      </c>
      <c r="AE302" s="36">
        <v>0</v>
      </c>
      <c r="AF302" s="23">
        <v>0</v>
      </c>
      <c r="AG302" s="24">
        <v>0</v>
      </c>
      <c r="AH302" s="33">
        <v>0</v>
      </c>
      <c r="AI302" s="37">
        <v>0</v>
      </c>
      <c r="AJ302" s="35">
        <v>0</v>
      </c>
      <c r="AK302" s="36">
        <v>0</v>
      </c>
      <c r="AL302" s="38">
        <v>0</v>
      </c>
      <c r="AM302" s="35">
        <v>0</v>
      </c>
      <c r="AN302" s="19">
        <v>0</v>
      </c>
      <c r="AO302" s="23">
        <v>0</v>
      </c>
      <c r="AP302" s="24">
        <v>0</v>
      </c>
      <c r="AQ302" s="31">
        <f t="shared" si="24"/>
        <v>7.2</v>
      </c>
      <c r="AR302" s="32">
        <f t="shared" si="24"/>
        <v>18000</v>
      </c>
      <c r="AS302" s="30">
        <v>9</v>
      </c>
    </row>
    <row r="303" spans="1:45" ht="16" x14ac:dyDescent="0.2">
      <c r="A303" s="19">
        <v>300</v>
      </c>
      <c r="B303" s="21" t="s">
        <v>327</v>
      </c>
      <c r="C303" s="20" t="s">
        <v>328</v>
      </c>
      <c r="D303" s="345"/>
      <c r="E303" s="22">
        <v>31</v>
      </c>
      <c r="F303" s="23">
        <f t="shared" si="20"/>
        <v>77500</v>
      </c>
      <c r="G303" s="19">
        <v>0</v>
      </c>
      <c r="H303" s="23">
        <v>0</v>
      </c>
      <c r="I303" s="24">
        <v>0</v>
      </c>
      <c r="J303" s="19">
        <v>0</v>
      </c>
      <c r="K303" s="23">
        <v>0</v>
      </c>
      <c r="L303" s="24">
        <v>0</v>
      </c>
      <c r="M303" s="25">
        <v>8</v>
      </c>
      <c r="N303" s="26">
        <v>20000</v>
      </c>
      <c r="O303" s="27">
        <v>20</v>
      </c>
      <c r="P303" s="28">
        <f t="shared" si="21"/>
        <v>3.6</v>
      </c>
      <c r="Q303" s="29">
        <f t="shared" si="22"/>
        <v>9000</v>
      </c>
      <c r="R303" s="30">
        <v>9</v>
      </c>
      <c r="S303" s="19">
        <v>0</v>
      </c>
      <c r="T303" s="23">
        <v>0</v>
      </c>
      <c r="U303" s="24">
        <v>0</v>
      </c>
      <c r="V303" s="31">
        <f t="shared" si="23"/>
        <v>11.2</v>
      </c>
      <c r="W303" s="32">
        <v>28000</v>
      </c>
      <c r="X303" s="30">
        <v>28</v>
      </c>
      <c r="Y303" s="19">
        <v>0</v>
      </c>
      <c r="Z303" s="23">
        <v>0</v>
      </c>
      <c r="AA303" s="24">
        <v>0</v>
      </c>
      <c r="AB303" s="33">
        <v>0</v>
      </c>
      <c r="AC303" s="34">
        <v>0</v>
      </c>
      <c r="AD303" s="35">
        <v>0</v>
      </c>
      <c r="AE303" s="36">
        <v>0</v>
      </c>
      <c r="AF303" s="23">
        <v>0</v>
      </c>
      <c r="AG303" s="24">
        <v>0</v>
      </c>
      <c r="AH303" s="33">
        <v>0</v>
      </c>
      <c r="AI303" s="37">
        <v>0</v>
      </c>
      <c r="AJ303" s="35">
        <v>0</v>
      </c>
      <c r="AK303" s="36">
        <v>0</v>
      </c>
      <c r="AL303" s="38">
        <v>0</v>
      </c>
      <c r="AM303" s="35">
        <v>0</v>
      </c>
      <c r="AN303" s="19">
        <v>0</v>
      </c>
      <c r="AO303" s="23">
        <v>0</v>
      </c>
      <c r="AP303" s="24">
        <v>0</v>
      </c>
      <c r="AQ303" s="31">
        <f t="shared" si="24"/>
        <v>22.799999999999997</v>
      </c>
      <c r="AR303" s="32">
        <f t="shared" si="24"/>
        <v>57000</v>
      </c>
      <c r="AS303" s="30">
        <v>29</v>
      </c>
    </row>
    <row r="304" spans="1:45" ht="16" x14ac:dyDescent="0.2">
      <c r="A304" s="19">
        <v>301</v>
      </c>
      <c r="B304" s="21" t="s">
        <v>327</v>
      </c>
      <c r="C304" s="20" t="s">
        <v>329</v>
      </c>
      <c r="D304" s="345"/>
      <c r="E304" s="22">
        <v>22</v>
      </c>
      <c r="F304" s="23">
        <f t="shared" si="20"/>
        <v>55000</v>
      </c>
      <c r="G304" s="19">
        <v>0</v>
      </c>
      <c r="H304" s="23">
        <v>0</v>
      </c>
      <c r="I304" s="24">
        <v>0</v>
      </c>
      <c r="J304" s="19">
        <v>0</v>
      </c>
      <c r="K304" s="23">
        <v>0</v>
      </c>
      <c r="L304" s="24">
        <v>0</v>
      </c>
      <c r="M304" s="25">
        <v>4.8</v>
      </c>
      <c r="N304" s="26">
        <v>12000</v>
      </c>
      <c r="O304" s="27">
        <v>12</v>
      </c>
      <c r="P304" s="28">
        <f t="shared" si="21"/>
        <v>1.6</v>
      </c>
      <c r="Q304" s="29">
        <f t="shared" si="22"/>
        <v>4000</v>
      </c>
      <c r="R304" s="30">
        <v>4</v>
      </c>
      <c r="S304" s="19">
        <v>0</v>
      </c>
      <c r="T304" s="23">
        <v>0</v>
      </c>
      <c r="U304" s="24">
        <v>0</v>
      </c>
      <c r="V304" s="31">
        <f t="shared" si="23"/>
        <v>6.8</v>
      </c>
      <c r="W304" s="32">
        <v>17000</v>
      </c>
      <c r="X304" s="30">
        <v>17</v>
      </c>
      <c r="Y304" s="19">
        <v>0</v>
      </c>
      <c r="Z304" s="23">
        <v>0</v>
      </c>
      <c r="AA304" s="24">
        <v>0</v>
      </c>
      <c r="AB304" s="33">
        <v>0</v>
      </c>
      <c r="AC304" s="34">
        <v>0</v>
      </c>
      <c r="AD304" s="35">
        <v>0</v>
      </c>
      <c r="AE304" s="36">
        <v>0</v>
      </c>
      <c r="AF304" s="23">
        <v>0</v>
      </c>
      <c r="AG304" s="24">
        <v>0</v>
      </c>
      <c r="AH304" s="33">
        <v>0</v>
      </c>
      <c r="AI304" s="37">
        <v>0</v>
      </c>
      <c r="AJ304" s="35">
        <v>0</v>
      </c>
      <c r="AK304" s="36">
        <v>0</v>
      </c>
      <c r="AL304" s="38">
        <v>0</v>
      </c>
      <c r="AM304" s="35">
        <v>0</v>
      </c>
      <c r="AN304" s="19">
        <v>0</v>
      </c>
      <c r="AO304" s="23">
        <v>0</v>
      </c>
      <c r="AP304" s="24">
        <v>0</v>
      </c>
      <c r="AQ304" s="31">
        <f t="shared" si="24"/>
        <v>13.2</v>
      </c>
      <c r="AR304" s="32">
        <f t="shared" si="24"/>
        <v>33000</v>
      </c>
      <c r="AS304" s="30">
        <v>17</v>
      </c>
    </row>
    <row r="305" spans="1:45" ht="16" x14ac:dyDescent="0.2">
      <c r="A305" s="19">
        <v>302</v>
      </c>
      <c r="B305" s="21" t="s">
        <v>327</v>
      </c>
      <c r="C305" s="20" t="s">
        <v>330</v>
      </c>
      <c r="D305" s="345"/>
      <c r="E305" s="22">
        <v>15.6</v>
      </c>
      <c r="F305" s="23">
        <f t="shared" si="20"/>
        <v>39000</v>
      </c>
      <c r="G305" s="19">
        <v>0</v>
      </c>
      <c r="H305" s="23">
        <v>0</v>
      </c>
      <c r="I305" s="24">
        <v>0</v>
      </c>
      <c r="J305" s="19">
        <v>0</v>
      </c>
      <c r="K305" s="23">
        <v>0</v>
      </c>
      <c r="L305" s="24">
        <v>0</v>
      </c>
      <c r="M305" s="25">
        <v>6</v>
      </c>
      <c r="N305" s="26">
        <v>15000</v>
      </c>
      <c r="O305" s="27">
        <v>15</v>
      </c>
      <c r="P305" s="28">
        <f t="shared" si="21"/>
        <v>2.4</v>
      </c>
      <c r="Q305" s="29">
        <f t="shared" si="22"/>
        <v>6000</v>
      </c>
      <c r="R305" s="30">
        <v>6</v>
      </c>
      <c r="S305" s="19">
        <v>0</v>
      </c>
      <c r="T305" s="23">
        <v>0</v>
      </c>
      <c r="U305" s="24">
        <v>0</v>
      </c>
      <c r="V305" s="31">
        <f t="shared" si="23"/>
        <v>8.8000000000000007</v>
      </c>
      <c r="W305" s="32">
        <v>22000</v>
      </c>
      <c r="X305" s="30">
        <v>22</v>
      </c>
      <c r="Y305" s="19">
        <v>0</v>
      </c>
      <c r="Z305" s="23">
        <v>0</v>
      </c>
      <c r="AA305" s="24">
        <v>0</v>
      </c>
      <c r="AB305" s="33">
        <v>0</v>
      </c>
      <c r="AC305" s="34">
        <v>0</v>
      </c>
      <c r="AD305" s="35">
        <v>0</v>
      </c>
      <c r="AE305" s="36">
        <v>0</v>
      </c>
      <c r="AF305" s="23">
        <v>0</v>
      </c>
      <c r="AG305" s="24">
        <v>0</v>
      </c>
      <c r="AH305" s="33">
        <v>0</v>
      </c>
      <c r="AI305" s="37">
        <v>0</v>
      </c>
      <c r="AJ305" s="35">
        <v>0</v>
      </c>
      <c r="AK305" s="36">
        <v>0</v>
      </c>
      <c r="AL305" s="38">
        <v>0</v>
      </c>
      <c r="AM305" s="35">
        <v>0</v>
      </c>
      <c r="AN305" s="19">
        <v>0</v>
      </c>
      <c r="AO305" s="23">
        <v>0</v>
      </c>
      <c r="AP305" s="24">
        <v>0</v>
      </c>
      <c r="AQ305" s="31">
        <f t="shared" si="24"/>
        <v>17.200000000000003</v>
      </c>
      <c r="AR305" s="32">
        <f t="shared" si="24"/>
        <v>43000</v>
      </c>
      <c r="AS305" s="30">
        <v>22</v>
      </c>
    </row>
    <row r="306" spans="1:45" ht="16" x14ac:dyDescent="0.2">
      <c r="A306" s="19">
        <v>303</v>
      </c>
      <c r="B306" s="21" t="s">
        <v>327</v>
      </c>
      <c r="C306" s="20" t="s">
        <v>331</v>
      </c>
      <c r="D306" s="345"/>
      <c r="E306" s="22">
        <v>21.4</v>
      </c>
      <c r="F306" s="23">
        <f t="shared" si="20"/>
        <v>53500</v>
      </c>
      <c r="G306" s="19">
        <v>0</v>
      </c>
      <c r="H306" s="23">
        <v>0</v>
      </c>
      <c r="I306" s="24">
        <v>0</v>
      </c>
      <c r="J306" s="19">
        <v>0</v>
      </c>
      <c r="K306" s="23">
        <v>0</v>
      </c>
      <c r="L306" s="24">
        <v>0</v>
      </c>
      <c r="M306" s="25">
        <v>6.8</v>
      </c>
      <c r="N306" s="26">
        <v>17000</v>
      </c>
      <c r="O306" s="27">
        <v>17</v>
      </c>
      <c r="P306" s="28">
        <f t="shared" si="21"/>
        <v>1.2</v>
      </c>
      <c r="Q306" s="29">
        <f t="shared" si="22"/>
        <v>3000</v>
      </c>
      <c r="R306" s="30">
        <v>3</v>
      </c>
      <c r="S306" s="19">
        <v>0</v>
      </c>
      <c r="T306" s="23">
        <v>0</v>
      </c>
      <c r="U306" s="24">
        <v>0</v>
      </c>
      <c r="V306" s="31">
        <f t="shared" si="23"/>
        <v>8.4</v>
      </c>
      <c r="W306" s="32">
        <v>21000</v>
      </c>
      <c r="X306" s="30">
        <v>21</v>
      </c>
      <c r="Y306" s="19">
        <v>0</v>
      </c>
      <c r="Z306" s="23">
        <v>0</v>
      </c>
      <c r="AA306" s="24">
        <v>0</v>
      </c>
      <c r="AB306" s="33">
        <v>0</v>
      </c>
      <c r="AC306" s="34">
        <v>0</v>
      </c>
      <c r="AD306" s="35">
        <v>0</v>
      </c>
      <c r="AE306" s="36">
        <v>0</v>
      </c>
      <c r="AF306" s="23">
        <v>0</v>
      </c>
      <c r="AG306" s="24">
        <v>0</v>
      </c>
      <c r="AH306" s="33">
        <v>0</v>
      </c>
      <c r="AI306" s="37">
        <v>0</v>
      </c>
      <c r="AJ306" s="35">
        <v>0</v>
      </c>
      <c r="AK306" s="36">
        <v>0</v>
      </c>
      <c r="AL306" s="38">
        <v>0</v>
      </c>
      <c r="AM306" s="35">
        <v>0</v>
      </c>
      <c r="AN306" s="19">
        <v>0</v>
      </c>
      <c r="AO306" s="23">
        <v>0</v>
      </c>
      <c r="AP306" s="24">
        <v>0</v>
      </c>
      <c r="AQ306" s="31">
        <f t="shared" si="24"/>
        <v>16.399999999999999</v>
      </c>
      <c r="AR306" s="32">
        <f t="shared" si="24"/>
        <v>41000</v>
      </c>
      <c r="AS306" s="30">
        <v>21</v>
      </c>
    </row>
    <row r="307" spans="1:45" ht="16" x14ac:dyDescent="0.2">
      <c r="A307" s="19">
        <v>304</v>
      </c>
      <c r="B307" s="21" t="s">
        <v>327</v>
      </c>
      <c r="C307" s="20" t="s">
        <v>332</v>
      </c>
      <c r="D307" s="345"/>
      <c r="E307" s="22">
        <v>20</v>
      </c>
      <c r="F307" s="23">
        <f t="shared" si="20"/>
        <v>50000</v>
      </c>
      <c r="G307" s="19">
        <v>0</v>
      </c>
      <c r="H307" s="23">
        <v>0</v>
      </c>
      <c r="I307" s="24">
        <v>0</v>
      </c>
      <c r="J307" s="19">
        <v>0</v>
      </c>
      <c r="K307" s="23">
        <v>0</v>
      </c>
      <c r="L307" s="24">
        <v>0</v>
      </c>
      <c r="M307" s="25">
        <v>7.2</v>
      </c>
      <c r="N307" s="26">
        <v>18000</v>
      </c>
      <c r="O307" s="27">
        <v>18</v>
      </c>
      <c r="P307" s="28">
        <f t="shared" si="21"/>
        <v>2</v>
      </c>
      <c r="Q307" s="29">
        <f t="shared" si="22"/>
        <v>5000</v>
      </c>
      <c r="R307" s="30">
        <v>5</v>
      </c>
      <c r="S307" s="19">
        <v>0</v>
      </c>
      <c r="T307" s="23">
        <v>0</v>
      </c>
      <c r="U307" s="24">
        <v>0</v>
      </c>
      <c r="V307" s="31">
        <f t="shared" si="23"/>
        <v>9.1999999999999993</v>
      </c>
      <c r="W307" s="32">
        <v>23000</v>
      </c>
      <c r="X307" s="30">
        <v>23</v>
      </c>
      <c r="Y307" s="19">
        <v>0</v>
      </c>
      <c r="Z307" s="23">
        <v>0</v>
      </c>
      <c r="AA307" s="24">
        <v>0</v>
      </c>
      <c r="AB307" s="33">
        <v>0</v>
      </c>
      <c r="AC307" s="34">
        <v>0</v>
      </c>
      <c r="AD307" s="35">
        <v>0</v>
      </c>
      <c r="AE307" s="36">
        <v>0</v>
      </c>
      <c r="AF307" s="23">
        <v>0</v>
      </c>
      <c r="AG307" s="24">
        <v>0</v>
      </c>
      <c r="AH307" s="33">
        <v>0</v>
      </c>
      <c r="AI307" s="37">
        <v>0</v>
      </c>
      <c r="AJ307" s="35">
        <v>0</v>
      </c>
      <c r="AK307" s="36">
        <v>0</v>
      </c>
      <c r="AL307" s="38">
        <v>0</v>
      </c>
      <c r="AM307" s="35">
        <v>0</v>
      </c>
      <c r="AN307" s="19">
        <v>0</v>
      </c>
      <c r="AO307" s="23">
        <v>0</v>
      </c>
      <c r="AP307" s="24">
        <v>0</v>
      </c>
      <c r="AQ307" s="31">
        <f t="shared" si="24"/>
        <v>18.399999999999999</v>
      </c>
      <c r="AR307" s="32">
        <f t="shared" si="24"/>
        <v>46000</v>
      </c>
      <c r="AS307" s="30">
        <v>24</v>
      </c>
    </row>
    <row r="308" spans="1:45" ht="16" x14ac:dyDescent="0.2">
      <c r="A308" s="19">
        <v>305</v>
      </c>
      <c r="B308" s="21" t="s">
        <v>327</v>
      </c>
      <c r="C308" s="20" t="s">
        <v>333</v>
      </c>
      <c r="D308" s="345"/>
      <c r="E308" s="22">
        <v>20.400000000000002</v>
      </c>
      <c r="F308" s="23">
        <f t="shared" si="20"/>
        <v>51000.000000000007</v>
      </c>
      <c r="G308" s="19">
        <v>0</v>
      </c>
      <c r="H308" s="23">
        <v>0</v>
      </c>
      <c r="I308" s="24">
        <v>0</v>
      </c>
      <c r="J308" s="19">
        <v>0</v>
      </c>
      <c r="K308" s="23">
        <v>0</v>
      </c>
      <c r="L308" s="24">
        <v>0</v>
      </c>
      <c r="M308" s="25">
        <v>5.2</v>
      </c>
      <c r="N308" s="26">
        <v>13000</v>
      </c>
      <c r="O308" s="27">
        <v>13</v>
      </c>
      <c r="P308" s="28">
        <f t="shared" si="21"/>
        <v>2</v>
      </c>
      <c r="Q308" s="29">
        <f t="shared" si="22"/>
        <v>5000</v>
      </c>
      <c r="R308" s="30">
        <v>5</v>
      </c>
      <c r="S308" s="19">
        <v>0</v>
      </c>
      <c r="T308" s="23">
        <v>0</v>
      </c>
      <c r="U308" s="24">
        <v>0</v>
      </c>
      <c r="V308" s="31">
        <f t="shared" si="23"/>
        <v>7.2</v>
      </c>
      <c r="W308" s="32">
        <v>18000</v>
      </c>
      <c r="X308" s="30">
        <v>18</v>
      </c>
      <c r="Y308" s="19">
        <v>0</v>
      </c>
      <c r="Z308" s="23">
        <v>0</v>
      </c>
      <c r="AA308" s="24">
        <v>0</v>
      </c>
      <c r="AB308" s="33">
        <v>0</v>
      </c>
      <c r="AC308" s="34">
        <v>0</v>
      </c>
      <c r="AD308" s="35">
        <v>0</v>
      </c>
      <c r="AE308" s="36">
        <v>0</v>
      </c>
      <c r="AF308" s="23">
        <v>0</v>
      </c>
      <c r="AG308" s="24">
        <v>0</v>
      </c>
      <c r="AH308" s="33">
        <v>0</v>
      </c>
      <c r="AI308" s="37">
        <v>0</v>
      </c>
      <c r="AJ308" s="35">
        <v>0</v>
      </c>
      <c r="AK308" s="36">
        <v>0</v>
      </c>
      <c r="AL308" s="38">
        <v>0</v>
      </c>
      <c r="AM308" s="35">
        <v>0</v>
      </c>
      <c r="AN308" s="19">
        <v>0</v>
      </c>
      <c r="AO308" s="23">
        <v>0</v>
      </c>
      <c r="AP308" s="24">
        <v>0</v>
      </c>
      <c r="AQ308" s="31">
        <f t="shared" si="24"/>
        <v>14.4</v>
      </c>
      <c r="AR308" s="32">
        <f t="shared" si="24"/>
        <v>36000</v>
      </c>
      <c r="AS308" s="30">
        <v>18</v>
      </c>
    </row>
    <row r="309" spans="1:45" ht="16" x14ac:dyDescent="0.2">
      <c r="A309" s="19">
        <v>306</v>
      </c>
      <c r="B309" s="21" t="s">
        <v>327</v>
      </c>
      <c r="C309" s="20" t="s">
        <v>334</v>
      </c>
      <c r="D309" s="345"/>
      <c r="E309" s="22">
        <v>21.800000000000004</v>
      </c>
      <c r="F309" s="23">
        <f t="shared" si="20"/>
        <v>54500.000000000007</v>
      </c>
      <c r="G309" s="19">
        <v>0</v>
      </c>
      <c r="H309" s="23">
        <v>0</v>
      </c>
      <c r="I309" s="24">
        <v>0</v>
      </c>
      <c r="J309" s="19">
        <v>0</v>
      </c>
      <c r="K309" s="23">
        <v>0</v>
      </c>
      <c r="L309" s="24">
        <v>0</v>
      </c>
      <c r="M309" s="25">
        <v>6.8</v>
      </c>
      <c r="N309" s="26">
        <v>17000</v>
      </c>
      <c r="O309" s="27">
        <v>17</v>
      </c>
      <c r="P309" s="28">
        <f t="shared" si="21"/>
        <v>1.2</v>
      </c>
      <c r="Q309" s="29">
        <f t="shared" si="22"/>
        <v>3000</v>
      </c>
      <c r="R309" s="30">
        <v>3</v>
      </c>
      <c r="S309" s="19">
        <v>0</v>
      </c>
      <c r="T309" s="23">
        <v>0</v>
      </c>
      <c r="U309" s="24">
        <v>0</v>
      </c>
      <c r="V309" s="31">
        <f t="shared" si="23"/>
        <v>7.6</v>
      </c>
      <c r="W309" s="32">
        <v>19000</v>
      </c>
      <c r="X309" s="30">
        <v>19</v>
      </c>
      <c r="Y309" s="19">
        <v>0</v>
      </c>
      <c r="Z309" s="23">
        <v>0</v>
      </c>
      <c r="AA309" s="24">
        <v>0</v>
      </c>
      <c r="AB309" s="33">
        <v>0</v>
      </c>
      <c r="AC309" s="34">
        <v>0</v>
      </c>
      <c r="AD309" s="35">
        <v>0</v>
      </c>
      <c r="AE309" s="36">
        <v>0</v>
      </c>
      <c r="AF309" s="23">
        <v>0</v>
      </c>
      <c r="AG309" s="24">
        <v>0</v>
      </c>
      <c r="AH309" s="33">
        <v>0</v>
      </c>
      <c r="AI309" s="37">
        <v>0</v>
      </c>
      <c r="AJ309" s="35">
        <v>0</v>
      </c>
      <c r="AK309" s="36">
        <v>0</v>
      </c>
      <c r="AL309" s="38">
        <v>0</v>
      </c>
      <c r="AM309" s="35">
        <v>0</v>
      </c>
      <c r="AN309" s="19">
        <v>0</v>
      </c>
      <c r="AO309" s="23">
        <v>0</v>
      </c>
      <c r="AP309" s="24">
        <v>0</v>
      </c>
      <c r="AQ309" s="31">
        <f t="shared" si="24"/>
        <v>15.6</v>
      </c>
      <c r="AR309" s="32">
        <f t="shared" si="24"/>
        <v>39000</v>
      </c>
      <c r="AS309" s="30">
        <v>20</v>
      </c>
    </row>
    <row r="310" spans="1:45" ht="16" x14ac:dyDescent="0.2">
      <c r="A310" s="19">
        <v>307</v>
      </c>
      <c r="B310" s="21" t="s">
        <v>327</v>
      </c>
      <c r="C310" s="20" t="s">
        <v>335</v>
      </c>
      <c r="D310" s="345" t="s">
        <v>25</v>
      </c>
      <c r="E310" s="22">
        <v>10.8</v>
      </c>
      <c r="F310" s="23">
        <f t="shared" si="20"/>
        <v>27000</v>
      </c>
      <c r="G310" s="19">
        <v>0</v>
      </c>
      <c r="H310" s="23">
        <v>0</v>
      </c>
      <c r="I310" s="24">
        <v>0</v>
      </c>
      <c r="J310" s="19">
        <v>0</v>
      </c>
      <c r="K310" s="23">
        <v>0</v>
      </c>
      <c r="L310" s="24">
        <v>0</v>
      </c>
      <c r="M310" s="25">
        <v>2.4</v>
      </c>
      <c r="N310" s="26">
        <v>6000</v>
      </c>
      <c r="O310" s="27">
        <v>6</v>
      </c>
      <c r="P310" s="28">
        <f t="shared" si="21"/>
        <v>3.2</v>
      </c>
      <c r="Q310" s="29">
        <f t="shared" si="22"/>
        <v>8000</v>
      </c>
      <c r="R310" s="30">
        <v>8</v>
      </c>
      <c r="S310" s="19">
        <v>0</v>
      </c>
      <c r="T310" s="23">
        <v>0</v>
      </c>
      <c r="U310" s="24">
        <v>0</v>
      </c>
      <c r="V310" s="31">
        <f t="shared" si="23"/>
        <v>5.2</v>
      </c>
      <c r="W310" s="32">
        <v>13000</v>
      </c>
      <c r="X310" s="30">
        <v>13</v>
      </c>
      <c r="Y310" s="19">
        <v>0</v>
      </c>
      <c r="Z310" s="23">
        <v>0</v>
      </c>
      <c r="AA310" s="24">
        <v>0</v>
      </c>
      <c r="AB310" s="33">
        <v>0</v>
      </c>
      <c r="AC310" s="34">
        <v>0</v>
      </c>
      <c r="AD310" s="35">
        <v>0</v>
      </c>
      <c r="AE310" s="36">
        <v>0</v>
      </c>
      <c r="AF310" s="23">
        <v>0</v>
      </c>
      <c r="AG310" s="24">
        <v>0</v>
      </c>
      <c r="AH310" s="33">
        <v>0</v>
      </c>
      <c r="AI310" s="37">
        <v>0</v>
      </c>
      <c r="AJ310" s="35">
        <v>0</v>
      </c>
      <c r="AK310" s="36">
        <v>0</v>
      </c>
      <c r="AL310" s="38">
        <v>0</v>
      </c>
      <c r="AM310" s="35">
        <v>0</v>
      </c>
      <c r="AN310" s="19">
        <v>0</v>
      </c>
      <c r="AO310" s="23">
        <v>0</v>
      </c>
      <c r="AP310" s="24">
        <v>0</v>
      </c>
      <c r="AQ310" s="31">
        <f t="shared" si="24"/>
        <v>10.8</v>
      </c>
      <c r="AR310" s="32">
        <f t="shared" si="24"/>
        <v>27000</v>
      </c>
      <c r="AS310" s="30">
        <v>14</v>
      </c>
    </row>
    <row r="311" spans="1:45" ht="16" x14ac:dyDescent="0.2">
      <c r="A311" s="19">
        <v>308</v>
      </c>
      <c r="B311" s="21" t="s">
        <v>327</v>
      </c>
      <c r="C311" s="20" t="s">
        <v>336</v>
      </c>
      <c r="D311" s="345"/>
      <c r="E311" s="22">
        <v>15</v>
      </c>
      <c r="F311" s="23">
        <f t="shared" si="20"/>
        <v>37500</v>
      </c>
      <c r="G311" s="19">
        <v>0</v>
      </c>
      <c r="H311" s="23">
        <v>0</v>
      </c>
      <c r="I311" s="24">
        <v>0</v>
      </c>
      <c r="J311" s="19">
        <v>0</v>
      </c>
      <c r="K311" s="23">
        <v>0</v>
      </c>
      <c r="L311" s="24">
        <v>0</v>
      </c>
      <c r="M311" s="25">
        <v>4.4000000000000004</v>
      </c>
      <c r="N311" s="26">
        <v>11000</v>
      </c>
      <c r="O311" s="27">
        <v>11</v>
      </c>
      <c r="P311" s="28">
        <f t="shared" si="21"/>
        <v>1.2</v>
      </c>
      <c r="Q311" s="29">
        <f t="shared" si="22"/>
        <v>3000</v>
      </c>
      <c r="R311" s="30">
        <v>3</v>
      </c>
      <c r="S311" s="19">
        <v>0</v>
      </c>
      <c r="T311" s="23">
        <v>0</v>
      </c>
      <c r="U311" s="24">
        <v>0</v>
      </c>
      <c r="V311" s="31">
        <f t="shared" si="23"/>
        <v>6</v>
      </c>
      <c r="W311" s="32">
        <v>15000</v>
      </c>
      <c r="X311" s="30">
        <v>15</v>
      </c>
      <c r="Y311" s="19">
        <v>0</v>
      </c>
      <c r="Z311" s="23">
        <v>0</v>
      </c>
      <c r="AA311" s="24">
        <v>0</v>
      </c>
      <c r="AB311" s="33">
        <v>0</v>
      </c>
      <c r="AC311" s="34">
        <v>0</v>
      </c>
      <c r="AD311" s="35">
        <v>0</v>
      </c>
      <c r="AE311" s="36">
        <v>0</v>
      </c>
      <c r="AF311" s="23">
        <v>0</v>
      </c>
      <c r="AG311" s="24">
        <v>0</v>
      </c>
      <c r="AH311" s="33">
        <v>0</v>
      </c>
      <c r="AI311" s="37">
        <v>0</v>
      </c>
      <c r="AJ311" s="35">
        <v>0</v>
      </c>
      <c r="AK311" s="36">
        <v>0</v>
      </c>
      <c r="AL311" s="38">
        <v>0</v>
      </c>
      <c r="AM311" s="35">
        <v>0</v>
      </c>
      <c r="AN311" s="19">
        <v>0</v>
      </c>
      <c r="AO311" s="23">
        <v>0</v>
      </c>
      <c r="AP311" s="24">
        <v>0</v>
      </c>
      <c r="AQ311" s="31">
        <f t="shared" si="24"/>
        <v>11.600000000000001</v>
      </c>
      <c r="AR311" s="32">
        <f t="shared" si="24"/>
        <v>29000</v>
      </c>
      <c r="AS311" s="30">
        <v>15</v>
      </c>
    </row>
    <row r="312" spans="1:45" ht="16" x14ac:dyDescent="0.2">
      <c r="A312" s="19">
        <v>309</v>
      </c>
      <c r="B312" s="21" t="s">
        <v>327</v>
      </c>
      <c r="C312" s="20" t="s">
        <v>337</v>
      </c>
      <c r="D312" s="345"/>
      <c r="E312" s="22">
        <v>11.4</v>
      </c>
      <c r="F312" s="23">
        <f t="shared" si="20"/>
        <v>28500</v>
      </c>
      <c r="G312" s="19">
        <v>0</v>
      </c>
      <c r="H312" s="23">
        <v>0</v>
      </c>
      <c r="I312" s="24">
        <v>0</v>
      </c>
      <c r="J312" s="19">
        <v>0</v>
      </c>
      <c r="K312" s="23">
        <v>0</v>
      </c>
      <c r="L312" s="24">
        <v>0</v>
      </c>
      <c r="M312" s="25">
        <v>3.2</v>
      </c>
      <c r="N312" s="26">
        <v>8000</v>
      </c>
      <c r="O312" s="27">
        <v>8</v>
      </c>
      <c r="P312" s="28">
        <f t="shared" si="21"/>
        <v>2.8</v>
      </c>
      <c r="Q312" s="29">
        <f t="shared" si="22"/>
        <v>7000</v>
      </c>
      <c r="R312" s="30">
        <v>7</v>
      </c>
      <c r="S312" s="19">
        <v>0</v>
      </c>
      <c r="T312" s="23">
        <v>0</v>
      </c>
      <c r="U312" s="24">
        <v>0</v>
      </c>
      <c r="V312" s="31">
        <f t="shared" si="23"/>
        <v>6</v>
      </c>
      <c r="W312" s="32">
        <v>15000</v>
      </c>
      <c r="X312" s="30">
        <v>15</v>
      </c>
      <c r="Y312" s="19">
        <v>0</v>
      </c>
      <c r="Z312" s="23">
        <v>0</v>
      </c>
      <c r="AA312" s="24">
        <v>0</v>
      </c>
      <c r="AB312" s="33">
        <v>0</v>
      </c>
      <c r="AC312" s="34">
        <v>0</v>
      </c>
      <c r="AD312" s="35">
        <v>0</v>
      </c>
      <c r="AE312" s="36">
        <v>0</v>
      </c>
      <c r="AF312" s="23">
        <v>0</v>
      </c>
      <c r="AG312" s="24">
        <v>0</v>
      </c>
      <c r="AH312" s="33">
        <v>0</v>
      </c>
      <c r="AI312" s="37">
        <v>0</v>
      </c>
      <c r="AJ312" s="35">
        <v>0</v>
      </c>
      <c r="AK312" s="36">
        <v>0</v>
      </c>
      <c r="AL312" s="38">
        <v>0</v>
      </c>
      <c r="AM312" s="35">
        <v>0</v>
      </c>
      <c r="AN312" s="19">
        <v>0</v>
      </c>
      <c r="AO312" s="23">
        <v>0</v>
      </c>
      <c r="AP312" s="24">
        <v>0</v>
      </c>
      <c r="AQ312" s="31">
        <f t="shared" si="24"/>
        <v>12</v>
      </c>
      <c r="AR312" s="32">
        <f t="shared" si="24"/>
        <v>30000</v>
      </c>
      <c r="AS312" s="30">
        <v>15</v>
      </c>
    </row>
    <row r="313" spans="1:45" ht="16" x14ac:dyDescent="0.2">
      <c r="A313" s="19">
        <v>310</v>
      </c>
      <c r="B313" s="21" t="s">
        <v>327</v>
      </c>
      <c r="C313" s="20" t="s">
        <v>338</v>
      </c>
      <c r="D313" s="345"/>
      <c r="E313" s="22">
        <v>27.200000000000003</v>
      </c>
      <c r="F313" s="23">
        <f t="shared" si="20"/>
        <v>68000</v>
      </c>
      <c r="G313" s="19">
        <v>0</v>
      </c>
      <c r="H313" s="23">
        <v>0</v>
      </c>
      <c r="I313" s="24">
        <v>0</v>
      </c>
      <c r="J313" s="19">
        <v>0</v>
      </c>
      <c r="K313" s="23">
        <v>0</v>
      </c>
      <c r="L313" s="24">
        <v>0</v>
      </c>
      <c r="M313" s="25">
        <v>7.6</v>
      </c>
      <c r="N313" s="26">
        <v>19000</v>
      </c>
      <c r="O313" s="27">
        <v>19</v>
      </c>
      <c r="P313" s="28">
        <f t="shared" si="21"/>
        <v>0.8</v>
      </c>
      <c r="Q313" s="29">
        <f t="shared" si="22"/>
        <v>2000</v>
      </c>
      <c r="R313" s="30">
        <v>2</v>
      </c>
      <c r="S313" s="19">
        <v>0</v>
      </c>
      <c r="T313" s="23">
        <v>0</v>
      </c>
      <c r="U313" s="24">
        <v>0</v>
      </c>
      <c r="V313" s="31">
        <f t="shared" si="23"/>
        <v>8.4</v>
      </c>
      <c r="W313" s="32">
        <v>21000</v>
      </c>
      <c r="X313" s="30">
        <v>21</v>
      </c>
      <c r="Y313" s="19">
        <v>0</v>
      </c>
      <c r="Z313" s="23">
        <v>0</v>
      </c>
      <c r="AA313" s="24">
        <v>0</v>
      </c>
      <c r="AB313" s="33">
        <v>0</v>
      </c>
      <c r="AC313" s="34">
        <v>0</v>
      </c>
      <c r="AD313" s="35">
        <v>0</v>
      </c>
      <c r="AE313" s="36">
        <v>0</v>
      </c>
      <c r="AF313" s="23">
        <v>0</v>
      </c>
      <c r="AG313" s="24">
        <v>0</v>
      </c>
      <c r="AH313" s="33">
        <v>0</v>
      </c>
      <c r="AI313" s="37">
        <v>0</v>
      </c>
      <c r="AJ313" s="35">
        <v>0</v>
      </c>
      <c r="AK313" s="36">
        <v>0</v>
      </c>
      <c r="AL313" s="38">
        <v>0</v>
      </c>
      <c r="AM313" s="35">
        <v>0</v>
      </c>
      <c r="AN313" s="19">
        <v>0</v>
      </c>
      <c r="AO313" s="23">
        <v>0</v>
      </c>
      <c r="AP313" s="24">
        <v>0</v>
      </c>
      <c r="AQ313" s="31">
        <f t="shared" si="24"/>
        <v>16.8</v>
      </c>
      <c r="AR313" s="32">
        <f t="shared" si="24"/>
        <v>42000</v>
      </c>
      <c r="AS313" s="30">
        <v>22</v>
      </c>
    </row>
    <row r="314" spans="1:45" ht="16" x14ac:dyDescent="0.2">
      <c r="A314" s="19">
        <v>311</v>
      </c>
      <c r="B314" s="21" t="s">
        <v>327</v>
      </c>
      <c r="C314" s="20" t="s">
        <v>339</v>
      </c>
      <c r="D314" s="345"/>
      <c r="E314" s="22">
        <v>20.8</v>
      </c>
      <c r="F314" s="23">
        <f t="shared" si="20"/>
        <v>52000</v>
      </c>
      <c r="G314" s="19">
        <v>0</v>
      </c>
      <c r="H314" s="23">
        <v>0</v>
      </c>
      <c r="I314" s="24">
        <v>0</v>
      </c>
      <c r="J314" s="19">
        <v>0</v>
      </c>
      <c r="K314" s="23">
        <v>0</v>
      </c>
      <c r="L314" s="24">
        <v>0</v>
      </c>
      <c r="M314" s="25">
        <v>6</v>
      </c>
      <c r="N314" s="26">
        <v>15000</v>
      </c>
      <c r="O314" s="27">
        <v>15</v>
      </c>
      <c r="P314" s="28">
        <f t="shared" si="21"/>
        <v>2.8</v>
      </c>
      <c r="Q314" s="29">
        <f t="shared" si="22"/>
        <v>7000</v>
      </c>
      <c r="R314" s="30">
        <v>7</v>
      </c>
      <c r="S314" s="19">
        <v>0</v>
      </c>
      <c r="T314" s="23">
        <v>0</v>
      </c>
      <c r="U314" s="24">
        <v>0</v>
      </c>
      <c r="V314" s="31">
        <f t="shared" si="23"/>
        <v>8.4</v>
      </c>
      <c r="W314" s="32">
        <v>21000</v>
      </c>
      <c r="X314" s="30">
        <v>21</v>
      </c>
      <c r="Y314" s="19">
        <v>0</v>
      </c>
      <c r="Z314" s="23">
        <v>0</v>
      </c>
      <c r="AA314" s="24">
        <v>0</v>
      </c>
      <c r="AB314" s="33">
        <v>0</v>
      </c>
      <c r="AC314" s="34">
        <v>0</v>
      </c>
      <c r="AD314" s="35">
        <v>0</v>
      </c>
      <c r="AE314" s="36">
        <v>0</v>
      </c>
      <c r="AF314" s="23">
        <v>0</v>
      </c>
      <c r="AG314" s="24">
        <v>0</v>
      </c>
      <c r="AH314" s="33">
        <v>0</v>
      </c>
      <c r="AI314" s="37">
        <v>0</v>
      </c>
      <c r="AJ314" s="35">
        <v>0</v>
      </c>
      <c r="AK314" s="36">
        <v>0</v>
      </c>
      <c r="AL314" s="38">
        <v>0</v>
      </c>
      <c r="AM314" s="35">
        <v>0</v>
      </c>
      <c r="AN314" s="19">
        <v>0</v>
      </c>
      <c r="AO314" s="23">
        <v>0</v>
      </c>
      <c r="AP314" s="24">
        <v>0</v>
      </c>
      <c r="AQ314" s="31">
        <f t="shared" si="24"/>
        <v>17.200000000000003</v>
      </c>
      <c r="AR314" s="32">
        <f t="shared" si="24"/>
        <v>43000</v>
      </c>
      <c r="AS314" s="30">
        <v>23</v>
      </c>
    </row>
    <row r="315" spans="1:45" ht="16" x14ac:dyDescent="0.2">
      <c r="A315" s="19">
        <v>312</v>
      </c>
      <c r="B315" s="21" t="s">
        <v>327</v>
      </c>
      <c r="C315" s="20" t="s">
        <v>340</v>
      </c>
      <c r="D315" s="345"/>
      <c r="E315" s="22">
        <v>30</v>
      </c>
      <c r="F315" s="23">
        <f t="shared" si="20"/>
        <v>75000</v>
      </c>
      <c r="G315" s="19">
        <v>0</v>
      </c>
      <c r="H315" s="23">
        <v>0</v>
      </c>
      <c r="I315" s="24">
        <v>0</v>
      </c>
      <c r="J315" s="19">
        <v>0</v>
      </c>
      <c r="K315" s="23">
        <v>0</v>
      </c>
      <c r="L315" s="24">
        <v>0</v>
      </c>
      <c r="M315" s="25">
        <v>10.8</v>
      </c>
      <c r="N315" s="26">
        <v>27000</v>
      </c>
      <c r="O315" s="27">
        <v>27</v>
      </c>
      <c r="P315" s="28">
        <f t="shared" si="21"/>
        <v>1.6</v>
      </c>
      <c r="Q315" s="29">
        <f t="shared" si="22"/>
        <v>4000</v>
      </c>
      <c r="R315" s="30">
        <v>4</v>
      </c>
      <c r="S315" s="19">
        <v>0</v>
      </c>
      <c r="T315" s="23">
        <v>0</v>
      </c>
      <c r="U315" s="24">
        <v>0</v>
      </c>
      <c r="V315" s="31">
        <f t="shared" si="23"/>
        <v>12.4</v>
      </c>
      <c r="W315" s="32">
        <v>31000</v>
      </c>
      <c r="X315" s="30">
        <v>31</v>
      </c>
      <c r="Y315" s="19">
        <v>0</v>
      </c>
      <c r="Z315" s="23">
        <v>0</v>
      </c>
      <c r="AA315" s="24">
        <v>0</v>
      </c>
      <c r="AB315" s="33">
        <v>0</v>
      </c>
      <c r="AC315" s="34">
        <v>0</v>
      </c>
      <c r="AD315" s="35">
        <v>0</v>
      </c>
      <c r="AE315" s="36">
        <v>0</v>
      </c>
      <c r="AF315" s="23">
        <v>0</v>
      </c>
      <c r="AG315" s="24">
        <v>0</v>
      </c>
      <c r="AH315" s="33">
        <v>0</v>
      </c>
      <c r="AI315" s="37">
        <v>0</v>
      </c>
      <c r="AJ315" s="35">
        <v>0</v>
      </c>
      <c r="AK315" s="36">
        <v>0</v>
      </c>
      <c r="AL315" s="38">
        <v>0</v>
      </c>
      <c r="AM315" s="35">
        <v>0</v>
      </c>
      <c r="AN315" s="19">
        <v>0</v>
      </c>
      <c r="AO315" s="23">
        <v>0</v>
      </c>
      <c r="AP315" s="24">
        <v>0</v>
      </c>
      <c r="AQ315" s="31">
        <f t="shared" si="24"/>
        <v>24.8</v>
      </c>
      <c r="AR315" s="32">
        <f t="shared" si="24"/>
        <v>62000</v>
      </c>
      <c r="AS315" s="30">
        <v>31</v>
      </c>
    </row>
    <row r="316" spans="1:45" ht="16" x14ac:dyDescent="0.2">
      <c r="A316" s="19">
        <v>313</v>
      </c>
      <c r="B316" s="21" t="s">
        <v>327</v>
      </c>
      <c r="C316" s="20" t="s">
        <v>341</v>
      </c>
      <c r="D316" s="345"/>
      <c r="E316" s="22">
        <v>31</v>
      </c>
      <c r="F316" s="23">
        <f t="shared" si="20"/>
        <v>77500</v>
      </c>
      <c r="G316" s="19">
        <v>0</v>
      </c>
      <c r="H316" s="23">
        <v>0</v>
      </c>
      <c r="I316" s="24">
        <v>0</v>
      </c>
      <c r="J316" s="19">
        <v>0</v>
      </c>
      <c r="K316" s="23">
        <v>0</v>
      </c>
      <c r="L316" s="24">
        <v>0</v>
      </c>
      <c r="M316" s="25">
        <v>10</v>
      </c>
      <c r="N316" s="26">
        <v>25000</v>
      </c>
      <c r="O316" s="27">
        <v>25</v>
      </c>
      <c r="P316" s="28">
        <f t="shared" si="21"/>
        <v>3.2</v>
      </c>
      <c r="Q316" s="29">
        <f t="shared" si="22"/>
        <v>8000</v>
      </c>
      <c r="R316" s="30">
        <v>8</v>
      </c>
      <c r="S316" s="19">
        <v>0</v>
      </c>
      <c r="T316" s="23">
        <v>0</v>
      </c>
      <c r="U316" s="24">
        <v>0</v>
      </c>
      <c r="V316" s="31">
        <f t="shared" si="23"/>
        <v>12.8</v>
      </c>
      <c r="W316" s="32">
        <v>32000</v>
      </c>
      <c r="X316" s="30">
        <v>32</v>
      </c>
      <c r="Y316" s="19">
        <v>0</v>
      </c>
      <c r="Z316" s="23">
        <v>0</v>
      </c>
      <c r="AA316" s="24">
        <v>0</v>
      </c>
      <c r="AB316" s="33">
        <v>0</v>
      </c>
      <c r="AC316" s="34">
        <v>0</v>
      </c>
      <c r="AD316" s="35">
        <v>0</v>
      </c>
      <c r="AE316" s="36">
        <v>0</v>
      </c>
      <c r="AF316" s="23">
        <v>0</v>
      </c>
      <c r="AG316" s="24">
        <v>0</v>
      </c>
      <c r="AH316" s="33">
        <v>0</v>
      </c>
      <c r="AI316" s="37">
        <v>0</v>
      </c>
      <c r="AJ316" s="35">
        <v>0</v>
      </c>
      <c r="AK316" s="36">
        <v>0</v>
      </c>
      <c r="AL316" s="38">
        <v>0</v>
      </c>
      <c r="AM316" s="35">
        <v>0</v>
      </c>
      <c r="AN316" s="19">
        <v>0</v>
      </c>
      <c r="AO316" s="23">
        <v>0</v>
      </c>
      <c r="AP316" s="24">
        <v>0</v>
      </c>
      <c r="AQ316" s="31">
        <f t="shared" si="24"/>
        <v>26</v>
      </c>
      <c r="AR316" s="32">
        <f t="shared" si="24"/>
        <v>65000</v>
      </c>
      <c r="AS316" s="30">
        <v>33</v>
      </c>
    </row>
    <row r="317" spans="1:45" ht="16" x14ac:dyDescent="0.2">
      <c r="A317" s="19">
        <v>314</v>
      </c>
      <c r="B317" s="21" t="s">
        <v>327</v>
      </c>
      <c r="C317" s="20" t="s">
        <v>283</v>
      </c>
      <c r="D317" s="345"/>
      <c r="E317" s="22">
        <v>26.800000000000004</v>
      </c>
      <c r="F317" s="23">
        <f t="shared" si="20"/>
        <v>67000.000000000015</v>
      </c>
      <c r="G317" s="19">
        <v>0</v>
      </c>
      <c r="H317" s="23">
        <v>0</v>
      </c>
      <c r="I317" s="24">
        <v>0</v>
      </c>
      <c r="J317" s="19">
        <v>0</v>
      </c>
      <c r="K317" s="23">
        <v>0</v>
      </c>
      <c r="L317" s="24">
        <v>0</v>
      </c>
      <c r="M317" s="25">
        <v>8</v>
      </c>
      <c r="N317" s="26">
        <v>20000</v>
      </c>
      <c r="O317" s="27">
        <v>20</v>
      </c>
      <c r="P317" s="28">
        <f t="shared" si="21"/>
        <v>2.4</v>
      </c>
      <c r="Q317" s="29">
        <f t="shared" si="22"/>
        <v>6000</v>
      </c>
      <c r="R317" s="30">
        <v>6</v>
      </c>
      <c r="S317" s="19">
        <v>0</v>
      </c>
      <c r="T317" s="23">
        <v>0</v>
      </c>
      <c r="U317" s="24">
        <v>0</v>
      </c>
      <c r="V317" s="31">
        <f t="shared" si="23"/>
        <v>10.4</v>
      </c>
      <c r="W317" s="32">
        <v>26000</v>
      </c>
      <c r="X317" s="30">
        <v>26</v>
      </c>
      <c r="Y317" s="19">
        <v>0</v>
      </c>
      <c r="Z317" s="23">
        <v>0</v>
      </c>
      <c r="AA317" s="24">
        <v>0</v>
      </c>
      <c r="AB317" s="33">
        <v>0</v>
      </c>
      <c r="AC317" s="34">
        <v>0</v>
      </c>
      <c r="AD317" s="35">
        <v>0</v>
      </c>
      <c r="AE317" s="36">
        <v>0</v>
      </c>
      <c r="AF317" s="23">
        <v>0</v>
      </c>
      <c r="AG317" s="24">
        <v>0</v>
      </c>
      <c r="AH317" s="33">
        <v>0</v>
      </c>
      <c r="AI317" s="37">
        <v>0</v>
      </c>
      <c r="AJ317" s="35">
        <v>0</v>
      </c>
      <c r="AK317" s="36">
        <v>0</v>
      </c>
      <c r="AL317" s="38">
        <v>0</v>
      </c>
      <c r="AM317" s="35">
        <v>0</v>
      </c>
      <c r="AN317" s="19">
        <v>0</v>
      </c>
      <c r="AO317" s="23">
        <v>0</v>
      </c>
      <c r="AP317" s="24">
        <v>0</v>
      </c>
      <c r="AQ317" s="31">
        <f t="shared" si="24"/>
        <v>20.8</v>
      </c>
      <c r="AR317" s="32">
        <f t="shared" si="24"/>
        <v>52000</v>
      </c>
      <c r="AS317" s="30">
        <v>26</v>
      </c>
    </row>
    <row r="318" spans="1:45" ht="16" x14ac:dyDescent="0.2">
      <c r="A318" s="19">
        <v>315</v>
      </c>
      <c r="B318" s="21" t="s">
        <v>327</v>
      </c>
      <c r="C318" s="20" t="s">
        <v>342</v>
      </c>
      <c r="D318" s="345"/>
      <c r="E318" s="22">
        <v>21.6</v>
      </c>
      <c r="F318" s="23">
        <f t="shared" si="20"/>
        <v>54000</v>
      </c>
      <c r="G318" s="19">
        <v>0</v>
      </c>
      <c r="H318" s="23">
        <v>0</v>
      </c>
      <c r="I318" s="24">
        <v>0</v>
      </c>
      <c r="J318" s="19">
        <v>0</v>
      </c>
      <c r="K318" s="23">
        <v>0</v>
      </c>
      <c r="L318" s="24">
        <v>0</v>
      </c>
      <c r="M318" s="25">
        <v>6.4</v>
      </c>
      <c r="N318" s="26">
        <v>16000</v>
      </c>
      <c r="O318" s="27">
        <v>16</v>
      </c>
      <c r="P318" s="28">
        <f t="shared" si="21"/>
        <v>1.6</v>
      </c>
      <c r="Q318" s="29">
        <f t="shared" si="22"/>
        <v>4000</v>
      </c>
      <c r="R318" s="30">
        <v>4</v>
      </c>
      <c r="S318" s="19">
        <v>0</v>
      </c>
      <c r="T318" s="23">
        <v>0</v>
      </c>
      <c r="U318" s="24">
        <v>0</v>
      </c>
      <c r="V318" s="31">
        <f t="shared" si="23"/>
        <v>8</v>
      </c>
      <c r="W318" s="32">
        <v>20000</v>
      </c>
      <c r="X318" s="30">
        <v>20</v>
      </c>
      <c r="Y318" s="19">
        <v>0</v>
      </c>
      <c r="Z318" s="23">
        <v>0</v>
      </c>
      <c r="AA318" s="24">
        <v>0</v>
      </c>
      <c r="AB318" s="33">
        <v>0</v>
      </c>
      <c r="AC318" s="34">
        <v>0</v>
      </c>
      <c r="AD318" s="35">
        <v>0</v>
      </c>
      <c r="AE318" s="36">
        <v>0</v>
      </c>
      <c r="AF318" s="23">
        <v>0</v>
      </c>
      <c r="AG318" s="24">
        <v>0</v>
      </c>
      <c r="AH318" s="33">
        <v>0</v>
      </c>
      <c r="AI318" s="37">
        <v>0</v>
      </c>
      <c r="AJ318" s="35">
        <v>0</v>
      </c>
      <c r="AK318" s="36">
        <v>0</v>
      </c>
      <c r="AL318" s="38">
        <v>0</v>
      </c>
      <c r="AM318" s="35">
        <v>0</v>
      </c>
      <c r="AN318" s="19">
        <v>0</v>
      </c>
      <c r="AO318" s="23">
        <v>0</v>
      </c>
      <c r="AP318" s="24">
        <v>0</v>
      </c>
      <c r="AQ318" s="31">
        <f t="shared" si="24"/>
        <v>16</v>
      </c>
      <c r="AR318" s="32">
        <f t="shared" si="24"/>
        <v>40000</v>
      </c>
      <c r="AS318" s="30">
        <v>20</v>
      </c>
    </row>
    <row r="319" spans="1:45" ht="16" x14ac:dyDescent="0.2">
      <c r="A319" s="19">
        <v>316</v>
      </c>
      <c r="B319" s="21" t="s">
        <v>327</v>
      </c>
      <c r="C319" s="20" t="s">
        <v>343</v>
      </c>
      <c r="D319" s="345"/>
      <c r="E319" s="22">
        <v>11.8</v>
      </c>
      <c r="F319" s="23">
        <f t="shared" si="20"/>
        <v>29500</v>
      </c>
      <c r="G319" s="19">
        <v>0</v>
      </c>
      <c r="H319" s="23">
        <v>0</v>
      </c>
      <c r="I319" s="24">
        <v>0</v>
      </c>
      <c r="J319" s="19">
        <v>0</v>
      </c>
      <c r="K319" s="23">
        <v>0</v>
      </c>
      <c r="L319" s="24">
        <v>0</v>
      </c>
      <c r="M319" s="25">
        <v>3.2</v>
      </c>
      <c r="N319" s="26">
        <v>8000</v>
      </c>
      <c r="O319" s="27">
        <v>8</v>
      </c>
      <c r="P319" s="28">
        <f t="shared" si="21"/>
        <v>2</v>
      </c>
      <c r="Q319" s="29">
        <f t="shared" si="22"/>
        <v>5000</v>
      </c>
      <c r="R319" s="30">
        <v>5</v>
      </c>
      <c r="S319" s="19">
        <v>0</v>
      </c>
      <c r="T319" s="23">
        <v>0</v>
      </c>
      <c r="U319" s="24">
        <v>0</v>
      </c>
      <c r="V319" s="31">
        <f t="shared" si="23"/>
        <v>4.8</v>
      </c>
      <c r="W319" s="32">
        <v>12000</v>
      </c>
      <c r="X319" s="30">
        <v>12</v>
      </c>
      <c r="Y319" s="19">
        <v>0</v>
      </c>
      <c r="Z319" s="23">
        <v>0</v>
      </c>
      <c r="AA319" s="24">
        <v>0</v>
      </c>
      <c r="AB319" s="33">
        <v>0</v>
      </c>
      <c r="AC319" s="34">
        <v>0</v>
      </c>
      <c r="AD319" s="35">
        <v>0</v>
      </c>
      <c r="AE319" s="36">
        <v>0</v>
      </c>
      <c r="AF319" s="23">
        <v>0</v>
      </c>
      <c r="AG319" s="24">
        <v>0</v>
      </c>
      <c r="AH319" s="33">
        <v>0</v>
      </c>
      <c r="AI319" s="37">
        <v>0</v>
      </c>
      <c r="AJ319" s="35">
        <v>0</v>
      </c>
      <c r="AK319" s="36">
        <v>0</v>
      </c>
      <c r="AL319" s="38">
        <v>0</v>
      </c>
      <c r="AM319" s="35">
        <v>0</v>
      </c>
      <c r="AN319" s="19">
        <v>0</v>
      </c>
      <c r="AO319" s="23">
        <v>0</v>
      </c>
      <c r="AP319" s="24">
        <v>0</v>
      </c>
      <c r="AQ319" s="31">
        <f t="shared" si="24"/>
        <v>10</v>
      </c>
      <c r="AR319" s="32">
        <f t="shared" si="24"/>
        <v>25000</v>
      </c>
      <c r="AS319" s="30">
        <v>13</v>
      </c>
    </row>
    <row r="320" spans="1:45" ht="16" x14ac:dyDescent="0.2">
      <c r="A320" s="19">
        <v>317</v>
      </c>
      <c r="B320" s="21" t="s">
        <v>327</v>
      </c>
      <c r="C320" s="20" t="s">
        <v>142</v>
      </c>
      <c r="D320" s="345"/>
      <c r="E320" s="22">
        <v>22</v>
      </c>
      <c r="F320" s="23">
        <f t="shared" si="20"/>
        <v>55000</v>
      </c>
      <c r="G320" s="19">
        <v>0</v>
      </c>
      <c r="H320" s="23">
        <v>0</v>
      </c>
      <c r="I320" s="24">
        <v>0</v>
      </c>
      <c r="J320" s="19">
        <v>0</v>
      </c>
      <c r="K320" s="23">
        <v>0</v>
      </c>
      <c r="L320" s="24">
        <v>0</v>
      </c>
      <c r="M320" s="25">
        <v>8</v>
      </c>
      <c r="N320" s="26">
        <v>22000</v>
      </c>
      <c r="O320" s="27">
        <v>22</v>
      </c>
      <c r="P320" s="28">
        <f t="shared" si="21"/>
        <v>1.6</v>
      </c>
      <c r="Q320" s="29">
        <f t="shared" si="22"/>
        <v>4000</v>
      </c>
      <c r="R320" s="30">
        <v>4</v>
      </c>
      <c r="S320" s="19">
        <v>0</v>
      </c>
      <c r="T320" s="23">
        <v>0</v>
      </c>
      <c r="U320" s="24">
        <v>0</v>
      </c>
      <c r="V320" s="31">
        <f t="shared" si="23"/>
        <v>10.4</v>
      </c>
      <c r="W320" s="32">
        <v>26000</v>
      </c>
      <c r="X320" s="30">
        <v>26</v>
      </c>
      <c r="Y320" s="19">
        <v>0</v>
      </c>
      <c r="Z320" s="23">
        <v>0</v>
      </c>
      <c r="AA320" s="24">
        <v>0</v>
      </c>
      <c r="AB320" s="33">
        <v>0</v>
      </c>
      <c r="AC320" s="34">
        <v>0</v>
      </c>
      <c r="AD320" s="35">
        <v>0</v>
      </c>
      <c r="AE320" s="36">
        <v>0</v>
      </c>
      <c r="AF320" s="23">
        <v>0</v>
      </c>
      <c r="AG320" s="24">
        <v>0</v>
      </c>
      <c r="AH320" s="33">
        <v>0</v>
      </c>
      <c r="AI320" s="37">
        <v>0</v>
      </c>
      <c r="AJ320" s="35">
        <v>0</v>
      </c>
      <c r="AK320" s="36">
        <v>0</v>
      </c>
      <c r="AL320" s="38">
        <v>0</v>
      </c>
      <c r="AM320" s="35">
        <v>0</v>
      </c>
      <c r="AN320" s="19">
        <v>0</v>
      </c>
      <c r="AO320" s="23">
        <v>0</v>
      </c>
      <c r="AP320" s="24">
        <v>0</v>
      </c>
      <c r="AQ320" s="31">
        <f t="shared" si="24"/>
        <v>20</v>
      </c>
      <c r="AR320" s="32">
        <f t="shared" si="24"/>
        <v>52000</v>
      </c>
      <c r="AS320" s="30">
        <v>26</v>
      </c>
    </row>
    <row r="321" spans="1:45" ht="16" x14ac:dyDescent="0.2">
      <c r="A321" s="19">
        <v>318</v>
      </c>
      <c r="B321" s="21" t="s">
        <v>327</v>
      </c>
      <c r="C321" s="20" t="s">
        <v>344</v>
      </c>
      <c r="D321" s="345"/>
      <c r="E321" s="22">
        <v>22.200000000000003</v>
      </c>
      <c r="F321" s="23">
        <f t="shared" si="20"/>
        <v>55500.000000000007</v>
      </c>
      <c r="G321" s="19">
        <v>0</v>
      </c>
      <c r="H321" s="23">
        <v>0</v>
      </c>
      <c r="I321" s="24">
        <v>0</v>
      </c>
      <c r="J321" s="19">
        <v>0</v>
      </c>
      <c r="K321" s="23">
        <v>0</v>
      </c>
      <c r="L321" s="24">
        <v>0</v>
      </c>
      <c r="M321" s="25">
        <v>6.8</v>
      </c>
      <c r="N321" s="26">
        <v>17000</v>
      </c>
      <c r="O321" s="27">
        <v>17</v>
      </c>
      <c r="P321" s="28">
        <f t="shared" si="21"/>
        <v>1.6</v>
      </c>
      <c r="Q321" s="29">
        <f t="shared" si="22"/>
        <v>4000</v>
      </c>
      <c r="R321" s="30">
        <v>4</v>
      </c>
      <c r="S321" s="19">
        <v>0</v>
      </c>
      <c r="T321" s="23">
        <v>0</v>
      </c>
      <c r="U321" s="24">
        <v>0</v>
      </c>
      <c r="V321" s="31">
        <f t="shared" si="23"/>
        <v>8.4</v>
      </c>
      <c r="W321" s="32">
        <v>21000</v>
      </c>
      <c r="X321" s="30">
        <v>21</v>
      </c>
      <c r="Y321" s="19">
        <v>0</v>
      </c>
      <c r="Z321" s="23">
        <v>0</v>
      </c>
      <c r="AA321" s="24">
        <v>0</v>
      </c>
      <c r="AB321" s="33">
        <v>0</v>
      </c>
      <c r="AC321" s="34">
        <v>0</v>
      </c>
      <c r="AD321" s="35">
        <v>0</v>
      </c>
      <c r="AE321" s="36">
        <v>0</v>
      </c>
      <c r="AF321" s="23">
        <v>0</v>
      </c>
      <c r="AG321" s="24">
        <v>0</v>
      </c>
      <c r="AH321" s="33">
        <v>0</v>
      </c>
      <c r="AI321" s="37">
        <v>0</v>
      </c>
      <c r="AJ321" s="35">
        <v>0</v>
      </c>
      <c r="AK321" s="36">
        <v>0</v>
      </c>
      <c r="AL321" s="38">
        <v>0</v>
      </c>
      <c r="AM321" s="35">
        <v>0</v>
      </c>
      <c r="AN321" s="19">
        <v>0</v>
      </c>
      <c r="AO321" s="23">
        <v>0</v>
      </c>
      <c r="AP321" s="24">
        <v>0</v>
      </c>
      <c r="AQ321" s="31">
        <f t="shared" si="24"/>
        <v>16.8</v>
      </c>
      <c r="AR321" s="32">
        <f t="shared" si="24"/>
        <v>42000</v>
      </c>
      <c r="AS321" s="30">
        <v>21</v>
      </c>
    </row>
    <row r="322" spans="1:45" ht="16" x14ac:dyDescent="0.2">
      <c r="A322" s="19">
        <v>319</v>
      </c>
      <c r="B322" s="21" t="s">
        <v>327</v>
      </c>
      <c r="C322" s="20" t="s">
        <v>345</v>
      </c>
      <c r="D322" s="345"/>
      <c r="E322" s="22">
        <v>18.600000000000001</v>
      </c>
      <c r="F322" s="23">
        <f t="shared" si="20"/>
        <v>46500</v>
      </c>
      <c r="G322" s="19">
        <v>0</v>
      </c>
      <c r="H322" s="23">
        <v>0</v>
      </c>
      <c r="I322" s="24">
        <v>0</v>
      </c>
      <c r="J322" s="19">
        <v>0</v>
      </c>
      <c r="K322" s="23">
        <v>0</v>
      </c>
      <c r="L322" s="24">
        <v>0</v>
      </c>
      <c r="M322" s="25">
        <v>6.4</v>
      </c>
      <c r="N322" s="26">
        <v>16000</v>
      </c>
      <c r="O322" s="27">
        <v>16</v>
      </c>
      <c r="P322" s="28">
        <f t="shared" si="21"/>
        <v>2</v>
      </c>
      <c r="Q322" s="29">
        <f t="shared" si="22"/>
        <v>5000</v>
      </c>
      <c r="R322" s="30">
        <v>5</v>
      </c>
      <c r="S322" s="19">
        <v>0</v>
      </c>
      <c r="T322" s="23">
        <v>0</v>
      </c>
      <c r="U322" s="24">
        <v>0</v>
      </c>
      <c r="V322" s="31">
        <f t="shared" si="23"/>
        <v>8.4</v>
      </c>
      <c r="W322" s="32">
        <v>21000</v>
      </c>
      <c r="X322" s="30">
        <v>21</v>
      </c>
      <c r="Y322" s="19">
        <v>0</v>
      </c>
      <c r="Z322" s="23">
        <v>0</v>
      </c>
      <c r="AA322" s="24">
        <v>0</v>
      </c>
      <c r="AB322" s="33">
        <v>0</v>
      </c>
      <c r="AC322" s="34">
        <v>0</v>
      </c>
      <c r="AD322" s="35">
        <v>0</v>
      </c>
      <c r="AE322" s="36">
        <v>0</v>
      </c>
      <c r="AF322" s="23">
        <v>0</v>
      </c>
      <c r="AG322" s="24">
        <v>0</v>
      </c>
      <c r="AH322" s="33">
        <v>0</v>
      </c>
      <c r="AI322" s="37">
        <v>0</v>
      </c>
      <c r="AJ322" s="35">
        <v>0</v>
      </c>
      <c r="AK322" s="36">
        <v>0</v>
      </c>
      <c r="AL322" s="38">
        <v>0</v>
      </c>
      <c r="AM322" s="35">
        <v>0</v>
      </c>
      <c r="AN322" s="19">
        <v>0</v>
      </c>
      <c r="AO322" s="23">
        <v>0</v>
      </c>
      <c r="AP322" s="24">
        <v>0</v>
      </c>
      <c r="AQ322" s="31">
        <f t="shared" si="24"/>
        <v>16.8</v>
      </c>
      <c r="AR322" s="32">
        <f t="shared" si="24"/>
        <v>42000</v>
      </c>
      <c r="AS322" s="30">
        <v>21</v>
      </c>
    </row>
    <row r="323" spans="1:45" ht="16" x14ac:dyDescent="0.2">
      <c r="A323" s="19">
        <v>320</v>
      </c>
      <c r="B323" s="21" t="s">
        <v>327</v>
      </c>
      <c r="C323" s="20" t="s">
        <v>346</v>
      </c>
      <c r="D323" s="345"/>
      <c r="E323" s="22">
        <v>18.8</v>
      </c>
      <c r="F323" s="23">
        <f t="shared" si="20"/>
        <v>47000</v>
      </c>
      <c r="G323" s="19">
        <v>0</v>
      </c>
      <c r="H323" s="23">
        <v>0</v>
      </c>
      <c r="I323" s="24">
        <v>0</v>
      </c>
      <c r="J323" s="19">
        <v>0</v>
      </c>
      <c r="K323" s="23">
        <v>0</v>
      </c>
      <c r="L323" s="24">
        <v>0</v>
      </c>
      <c r="M323" s="25">
        <v>5</v>
      </c>
      <c r="N323" s="26">
        <v>14000</v>
      </c>
      <c r="O323" s="27">
        <v>14</v>
      </c>
      <c r="P323" s="28">
        <f t="shared" si="21"/>
        <v>1.2</v>
      </c>
      <c r="Q323" s="29">
        <f t="shared" si="22"/>
        <v>3000</v>
      </c>
      <c r="R323" s="30">
        <v>3</v>
      </c>
      <c r="S323" s="19">
        <v>0</v>
      </c>
      <c r="T323" s="23">
        <v>0</v>
      </c>
      <c r="U323" s="24">
        <v>0</v>
      </c>
      <c r="V323" s="31">
        <f t="shared" si="23"/>
        <v>6.8</v>
      </c>
      <c r="W323" s="32">
        <v>17000</v>
      </c>
      <c r="X323" s="30">
        <v>17</v>
      </c>
      <c r="Y323" s="19">
        <v>0</v>
      </c>
      <c r="Z323" s="23">
        <v>0</v>
      </c>
      <c r="AA323" s="24">
        <v>0</v>
      </c>
      <c r="AB323" s="33">
        <v>0</v>
      </c>
      <c r="AC323" s="34">
        <v>0</v>
      </c>
      <c r="AD323" s="35">
        <v>0</v>
      </c>
      <c r="AE323" s="36">
        <v>0</v>
      </c>
      <c r="AF323" s="23">
        <v>0</v>
      </c>
      <c r="AG323" s="24">
        <v>0</v>
      </c>
      <c r="AH323" s="33">
        <v>0</v>
      </c>
      <c r="AI323" s="37">
        <v>0</v>
      </c>
      <c r="AJ323" s="35">
        <v>0</v>
      </c>
      <c r="AK323" s="36">
        <v>0</v>
      </c>
      <c r="AL323" s="38">
        <v>0</v>
      </c>
      <c r="AM323" s="35">
        <v>0</v>
      </c>
      <c r="AN323" s="19">
        <v>0</v>
      </c>
      <c r="AO323" s="23">
        <v>0</v>
      </c>
      <c r="AP323" s="24">
        <v>0</v>
      </c>
      <c r="AQ323" s="31">
        <f t="shared" si="24"/>
        <v>13</v>
      </c>
      <c r="AR323" s="32">
        <f t="shared" si="24"/>
        <v>34000</v>
      </c>
      <c r="AS323" s="30">
        <v>17</v>
      </c>
    </row>
    <row r="324" spans="1:45" ht="16" x14ac:dyDescent="0.2">
      <c r="A324" s="19">
        <v>321</v>
      </c>
      <c r="B324" s="21" t="s">
        <v>347</v>
      </c>
      <c r="C324" s="20" t="s">
        <v>348</v>
      </c>
      <c r="D324" s="345"/>
      <c r="E324" s="22">
        <v>16.399999999999999</v>
      </c>
      <c r="F324" s="23">
        <f t="shared" si="20"/>
        <v>41000</v>
      </c>
      <c r="G324" s="19">
        <v>0</v>
      </c>
      <c r="H324" s="23">
        <v>0</v>
      </c>
      <c r="I324" s="24">
        <v>0</v>
      </c>
      <c r="J324" s="19">
        <v>0</v>
      </c>
      <c r="K324" s="23">
        <v>0</v>
      </c>
      <c r="L324" s="24">
        <v>0</v>
      </c>
      <c r="M324" s="25">
        <v>5</v>
      </c>
      <c r="N324" s="26">
        <v>14000</v>
      </c>
      <c r="O324" s="27">
        <v>14</v>
      </c>
      <c r="P324" s="28">
        <f t="shared" si="21"/>
        <v>2.8</v>
      </c>
      <c r="Q324" s="29">
        <f t="shared" si="22"/>
        <v>7000</v>
      </c>
      <c r="R324" s="30">
        <v>7</v>
      </c>
      <c r="S324" s="19">
        <v>0</v>
      </c>
      <c r="T324" s="23">
        <v>0</v>
      </c>
      <c r="U324" s="24">
        <v>0</v>
      </c>
      <c r="V324" s="31">
        <f t="shared" si="23"/>
        <v>8.4</v>
      </c>
      <c r="W324" s="32">
        <v>21000</v>
      </c>
      <c r="X324" s="30">
        <v>21</v>
      </c>
      <c r="Y324" s="19">
        <v>0</v>
      </c>
      <c r="Z324" s="23">
        <v>0</v>
      </c>
      <c r="AA324" s="24">
        <v>0</v>
      </c>
      <c r="AB324" s="33">
        <v>0</v>
      </c>
      <c r="AC324" s="34">
        <v>0</v>
      </c>
      <c r="AD324" s="35">
        <v>0</v>
      </c>
      <c r="AE324" s="36">
        <v>0</v>
      </c>
      <c r="AF324" s="23">
        <v>0</v>
      </c>
      <c r="AG324" s="24">
        <v>0</v>
      </c>
      <c r="AH324" s="33">
        <v>0</v>
      </c>
      <c r="AI324" s="37">
        <v>0</v>
      </c>
      <c r="AJ324" s="35">
        <v>0</v>
      </c>
      <c r="AK324" s="36">
        <v>0</v>
      </c>
      <c r="AL324" s="38">
        <v>0</v>
      </c>
      <c r="AM324" s="35">
        <v>0</v>
      </c>
      <c r="AN324" s="19">
        <v>0</v>
      </c>
      <c r="AO324" s="23">
        <v>0</v>
      </c>
      <c r="AP324" s="24">
        <v>0</v>
      </c>
      <c r="AQ324" s="31">
        <f t="shared" si="24"/>
        <v>16.2</v>
      </c>
      <c r="AR324" s="32">
        <f t="shared" si="24"/>
        <v>42000</v>
      </c>
      <c r="AS324" s="30">
        <v>21</v>
      </c>
    </row>
    <row r="325" spans="1:45" ht="16" x14ac:dyDescent="0.2">
      <c r="A325" s="19">
        <v>322</v>
      </c>
      <c r="B325" s="21" t="s">
        <v>347</v>
      </c>
      <c r="C325" s="20" t="s">
        <v>349</v>
      </c>
      <c r="D325" s="345"/>
      <c r="E325" s="22">
        <v>13.4</v>
      </c>
      <c r="F325" s="23">
        <f t="shared" ref="F325:F342" si="25">E325*2500</f>
        <v>33500</v>
      </c>
      <c r="G325" s="19">
        <v>0</v>
      </c>
      <c r="H325" s="23">
        <v>0</v>
      </c>
      <c r="I325" s="24">
        <v>0</v>
      </c>
      <c r="J325" s="19">
        <v>0</v>
      </c>
      <c r="K325" s="23">
        <v>0</v>
      </c>
      <c r="L325" s="24">
        <v>0</v>
      </c>
      <c r="M325" s="25">
        <v>4</v>
      </c>
      <c r="N325" s="26">
        <v>10000</v>
      </c>
      <c r="O325" s="27">
        <v>10</v>
      </c>
      <c r="P325" s="28">
        <f t="shared" ref="P325:P342" si="26">Q325/2500</f>
        <v>2.4</v>
      </c>
      <c r="Q325" s="29">
        <f t="shared" ref="Q325:Q342" si="27">R325*1000</f>
        <v>6000</v>
      </c>
      <c r="R325" s="30">
        <v>6</v>
      </c>
      <c r="S325" s="19">
        <v>0</v>
      </c>
      <c r="T325" s="23">
        <v>0</v>
      </c>
      <c r="U325" s="24">
        <v>0</v>
      </c>
      <c r="V325" s="31">
        <f t="shared" ref="V325:V342" si="28">W325/2500</f>
        <v>6.4</v>
      </c>
      <c r="W325" s="32">
        <v>16000</v>
      </c>
      <c r="X325" s="30">
        <v>16</v>
      </c>
      <c r="Y325" s="19">
        <v>0</v>
      </c>
      <c r="Z325" s="23">
        <v>0</v>
      </c>
      <c r="AA325" s="24">
        <v>0</v>
      </c>
      <c r="AB325" s="33">
        <v>0</v>
      </c>
      <c r="AC325" s="34">
        <v>0</v>
      </c>
      <c r="AD325" s="35">
        <v>0</v>
      </c>
      <c r="AE325" s="36">
        <v>0</v>
      </c>
      <c r="AF325" s="23">
        <v>0</v>
      </c>
      <c r="AG325" s="24">
        <v>0</v>
      </c>
      <c r="AH325" s="33">
        <v>0</v>
      </c>
      <c r="AI325" s="37">
        <v>0</v>
      </c>
      <c r="AJ325" s="35">
        <v>0</v>
      </c>
      <c r="AK325" s="36">
        <v>0</v>
      </c>
      <c r="AL325" s="38">
        <v>0</v>
      </c>
      <c r="AM325" s="35">
        <v>0</v>
      </c>
      <c r="AN325" s="19">
        <v>0</v>
      </c>
      <c r="AO325" s="23">
        <v>0</v>
      </c>
      <c r="AP325" s="24">
        <v>0</v>
      </c>
      <c r="AQ325" s="31">
        <f t="shared" ref="AQ325:AR342" si="29">G325+J325+M325+P325+S325+V325+Y325+AB325+AE325+AH325+AK325+AN325</f>
        <v>12.8</v>
      </c>
      <c r="AR325" s="32">
        <f t="shared" si="29"/>
        <v>32000</v>
      </c>
      <c r="AS325" s="30">
        <v>16</v>
      </c>
    </row>
    <row r="326" spans="1:45" ht="16" x14ac:dyDescent="0.2">
      <c r="A326" s="19">
        <v>323</v>
      </c>
      <c r="B326" s="21" t="s">
        <v>347</v>
      </c>
      <c r="C326" s="20" t="s">
        <v>350</v>
      </c>
      <c r="D326" s="345"/>
      <c r="E326" s="22">
        <v>20.6</v>
      </c>
      <c r="F326" s="23">
        <f t="shared" si="25"/>
        <v>51500</v>
      </c>
      <c r="G326" s="19">
        <v>0</v>
      </c>
      <c r="H326" s="23">
        <v>0</v>
      </c>
      <c r="I326" s="24">
        <v>0</v>
      </c>
      <c r="J326" s="19">
        <v>0</v>
      </c>
      <c r="K326" s="23">
        <v>0</v>
      </c>
      <c r="L326" s="24">
        <v>0</v>
      </c>
      <c r="M326" s="25">
        <v>6.4</v>
      </c>
      <c r="N326" s="26">
        <v>16000</v>
      </c>
      <c r="O326" s="27">
        <v>16</v>
      </c>
      <c r="P326" s="28">
        <f t="shared" si="26"/>
        <v>1.2</v>
      </c>
      <c r="Q326" s="29">
        <f t="shared" si="27"/>
        <v>3000</v>
      </c>
      <c r="R326" s="30">
        <v>3</v>
      </c>
      <c r="S326" s="19">
        <v>0</v>
      </c>
      <c r="T326" s="23">
        <v>0</v>
      </c>
      <c r="U326" s="24">
        <v>0</v>
      </c>
      <c r="V326" s="31">
        <f t="shared" si="28"/>
        <v>7.2</v>
      </c>
      <c r="W326" s="32">
        <v>18000</v>
      </c>
      <c r="X326" s="30">
        <v>18</v>
      </c>
      <c r="Y326" s="19">
        <v>0</v>
      </c>
      <c r="Z326" s="23">
        <v>0</v>
      </c>
      <c r="AA326" s="24">
        <v>0</v>
      </c>
      <c r="AB326" s="33">
        <v>0</v>
      </c>
      <c r="AC326" s="34">
        <v>0</v>
      </c>
      <c r="AD326" s="35">
        <v>0</v>
      </c>
      <c r="AE326" s="36">
        <v>0</v>
      </c>
      <c r="AF326" s="23">
        <v>0</v>
      </c>
      <c r="AG326" s="24">
        <v>0</v>
      </c>
      <c r="AH326" s="33">
        <v>0</v>
      </c>
      <c r="AI326" s="37">
        <v>0</v>
      </c>
      <c r="AJ326" s="35">
        <v>0</v>
      </c>
      <c r="AK326" s="36">
        <v>0</v>
      </c>
      <c r="AL326" s="38">
        <v>0</v>
      </c>
      <c r="AM326" s="35">
        <v>0</v>
      </c>
      <c r="AN326" s="19">
        <v>0</v>
      </c>
      <c r="AO326" s="23">
        <v>0</v>
      </c>
      <c r="AP326" s="24">
        <v>0</v>
      </c>
      <c r="AQ326" s="31">
        <f t="shared" si="29"/>
        <v>14.8</v>
      </c>
      <c r="AR326" s="32">
        <f t="shared" si="29"/>
        <v>37000</v>
      </c>
      <c r="AS326" s="30">
        <v>19</v>
      </c>
    </row>
    <row r="327" spans="1:45" ht="16" x14ac:dyDescent="0.2">
      <c r="A327" s="19">
        <v>324</v>
      </c>
      <c r="B327" s="21" t="s">
        <v>347</v>
      </c>
      <c r="C327" s="20" t="s">
        <v>351</v>
      </c>
      <c r="D327" s="346" t="s">
        <v>25</v>
      </c>
      <c r="E327" s="22">
        <v>10.6</v>
      </c>
      <c r="F327" s="23">
        <f t="shared" si="25"/>
        <v>26500</v>
      </c>
      <c r="G327" s="19">
        <v>0</v>
      </c>
      <c r="H327" s="23">
        <v>0</v>
      </c>
      <c r="I327" s="24">
        <v>0</v>
      </c>
      <c r="J327" s="19">
        <v>0</v>
      </c>
      <c r="K327" s="23">
        <v>0</v>
      </c>
      <c r="L327" s="24">
        <v>0</v>
      </c>
      <c r="M327" s="25">
        <v>3.6</v>
      </c>
      <c r="N327" s="26">
        <v>9000</v>
      </c>
      <c r="O327" s="27">
        <v>9</v>
      </c>
      <c r="P327" s="28">
        <f t="shared" si="26"/>
        <v>0.4</v>
      </c>
      <c r="Q327" s="29">
        <f t="shared" si="27"/>
        <v>1000</v>
      </c>
      <c r="R327" s="30">
        <v>1</v>
      </c>
      <c r="S327" s="19">
        <v>0</v>
      </c>
      <c r="T327" s="23">
        <v>0</v>
      </c>
      <c r="U327" s="24">
        <v>0</v>
      </c>
      <c r="V327" s="31">
        <f t="shared" si="28"/>
        <v>4</v>
      </c>
      <c r="W327" s="32">
        <v>10000</v>
      </c>
      <c r="X327" s="30">
        <v>10</v>
      </c>
      <c r="Y327" s="19">
        <v>0</v>
      </c>
      <c r="Z327" s="23">
        <v>0</v>
      </c>
      <c r="AA327" s="24">
        <v>0</v>
      </c>
      <c r="AB327" s="33">
        <v>0</v>
      </c>
      <c r="AC327" s="34">
        <v>0</v>
      </c>
      <c r="AD327" s="35">
        <v>0</v>
      </c>
      <c r="AE327" s="36">
        <v>0</v>
      </c>
      <c r="AF327" s="23">
        <v>0</v>
      </c>
      <c r="AG327" s="24">
        <v>0</v>
      </c>
      <c r="AH327" s="33">
        <v>0</v>
      </c>
      <c r="AI327" s="37">
        <v>0</v>
      </c>
      <c r="AJ327" s="35">
        <v>0</v>
      </c>
      <c r="AK327" s="36">
        <v>0</v>
      </c>
      <c r="AL327" s="38">
        <v>0</v>
      </c>
      <c r="AM327" s="35">
        <v>0</v>
      </c>
      <c r="AN327" s="19">
        <v>0</v>
      </c>
      <c r="AO327" s="23">
        <v>0</v>
      </c>
      <c r="AP327" s="24">
        <v>0</v>
      </c>
      <c r="AQ327" s="31">
        <f t="shared" si="29"/>
        <v>8</v>
      </c>
      <c r="AR327" s="32">
        <f t="shared" si="29"/>
        <v>20000</v>
      </c>
      <c r="AS327" s="30">
        <v>10</v>
      </c>
    </row>
    <row r="328" spans="1:45" ht="16" x14ac:dyDescent="0.2">
      <c r="A328" s="19">
        <v>325</v>
      </c>
      <c r="B328" s="21" t="s">
        <v>347</v>
      </c>
      <c r="C328" s="20" t="s">
        <v>352</v>
      </c>
      <c r="D328" s="347"/>
      <c r="E328" s="22">
        <v>8</v>
      </c>
      <c r="F328" s="23">
        <f t="shared" si="25"/>
        <v>20000</v>
      </c>
      <c r="G328" s="19">
        <v>0</v>
      </c>
      <c r="H328" s="23">
        <v>0</v>
      </c>
      <c r="I328" s="24">
        <v>0</v>
      </c>
      <c r="J328" s="19">
        <v>0</v>
      </c>
      <c r="K328" s="23">
        <v>0</v>
      </c>
      <c r="L328" s="24">
        <v>0</v>
      </c>
      <c r="M328" s="25">
        <v>2.4</v>
      </c>
      <c r="N328" s="26">
        <v>6000</v>
      </c>
      <c r="O328" s="27">
        <v>6</v>
      </c>
      <c r="P328" s="28">
        <f t="shared" si="26"/>
        <v>2.4</v>
      </c>
      <c r="Q328" s="29">
        <f t="shared" si="27"/>
        <v>6000</v>
      </c>
      <c r="R328" s="30">
        <v>6</v>
      </c>
      <c r="S328" s="19">
        <v>0</v>
      </c>
      <c r="T328" s="23">
        <v>0</v>
      </c>
      <c r="U328" s="24">
        <v>0</v>
      </c>
      <c r="V328" s="31">
        <f t="shared" si="28"/>
        <v>4.8</v>
      </c>
      <c r="W328" s="32">
        <v>12000</v>
      </c>
      <c r="X328" s="30">
        <v>12</v>
      </c>
      <c r="Y328" s="19">
        <v>0</v>
      </c>
      <c r="Z328" s="23">
        <v>0</v>
      </c>
      <c r="AA328" s="24">
        <v>0</v>
      </c>
      <c r="AB328" s="33">
        <v>0</v>
      </c>
      <c r="AC328" s="34">
        <v>0</v>
      </c>
      <c r="AD328" s="35">
        <v>0</v>
      </c>
      <c r="AE328" s="36">
        <v>0</v>
      </c>
      <c r="AF328" s="23">
        <v>0</v>
      </c>
      <c r="AG328" s="24">
        <v>0</v>
      </c>
      <c r="AH328" s="33">
        <v>0</v>
      </c>
      <c r="AI328" s="37">
        <v>0</v>
      </c>
      <c r="AJ328" s="35">
        <v>0</v>
      </c>
      <c r="AK328" s="36">
        <v>0</v>
      </c>
      <c r="AL328" s="38">
        <v>0</v>
      </c>
      <c r="AM328" s="35">
        <v>0</v>
      </c>
      <c r="AN328" s="19">
        <v>0</v>
      </c>
      <c r="AO328" s="23">
        <v>0</v>
      </c>
      <c r="AP328" s="24">
        <v>0</v>
      </c>
      <c r="AQ328" s="31">
        <f t="shared" si="29"/>
        <v>9.6</v>
      </c>
      <c r="AR328" s="32">
        <f t="shared" si="29"/>
        <v>24000</v>
      </c>
      <c r="AS328" s="30">
        <v>12</v>
      </c>
    </row>
    <row r="329" spans="1:45" ht="16" x14ac:dyDescent="0.2">
      <c r="A329" s="19">
        <v>326</v>
      </c>
      <c r="B329" s="21" t="s">
        <v>347</v>
      </c>
      <c r="C329" s="20" t="s">
        <v>353</v>
      </c>
      <c r="D329" s="347"/>
      <c r="E329" s="22">
        <v>15</v>
      </c>
      <c r="F329" s="23">
        <f t="shared" si="25"/>
        <v>37500</v>
      </c>
      <c r="G329" s="19">
        <v>0</v>
      </c>
      <c r="H329" s="23">
        <v>0</v>
      </c>
      <c r="I329" s="24">
        <v>0</v>
      </c>
      <c r="J329" s="19">
        <v>0</v>
      </c>
      <c r="K329" s="23">
        <v>0</v>
      </c>
      <c r="L329" s="24">
        <v>0</v>
      </c>
      <c r="M329" s="25">
        <v>5.2</v>
      </c>
      <c r="N329" s="26">
        <v>13000</v>
      </c>
      <c r="O329" s="27">
        <v>13</v>
      </c>
      <c r="P329" s="28">
        <f t="shared" si="26"/>
        <v>1.6</v>
      </c>
      <c r="Q329" s="29">
        <f t="shared" si="27"/>
        <v>4000</v>
      </c>
      <c r="R329" s="30">
        <v>4</v>
      </c>
      <c r="S329" s="19">
        <v>0</v>
      </c>
      <c r="T329" s="23">
        <v>0</v>
      </c>
      <c r="U329" s="24">
        <v>0</v>
      </c>
      <c r="V329" s="31">
        <f t="shared" si="28"/>
        <v>6.8</v>
      </c>
      <c r="W329" s="32">
        <v>17000</v>
      </c>
      <c r="X329" s="30">
        <v>17</v>
      </c>
      <c r="Y329" s="19">
        <v>0</v>
      </c>
      <c r="Z329" s="23">
        <v>0</v>
      </c>
      <c r="AA329" s="24">
        <v>0</v>
      </c>
      <c r="AB329" s="33">
        <v>0</v>
      </c>
      <c r="AC329" s="34">
        <v>0</v>
      </c>
      <c r="AD329" s="35">
        <v>0</v>
      </c>
      <c r="AE329" s="36">
        <v>0</v>
      </c>
      <c r="AF329" s="23">
        <v>0</v>
      </c>
      <c r="AG329" s="24">
        <v>0</v>
      </c>
      <c r="AH329" s="33">
        <v>0</v>
      </c>
      <c r="AI329" s="37">
        <v>0</v>
      </c>
      <c r="AJ329" s="35">
        <v>0</v>
      </c>
      <c r="AK329" s="36">
        <v>0</v>
      </c>
      <c r="AL329" s="38">
        <v>0</v>
      </c>
      <c r="AM329" s="35">
        <v>0</v>
      </c>
      <c r="AN329" s="19">
        <v>0</v>
      </c>
      <c r="AO329" s="23">
        <v>0</v>
      </c>
      <c r="AP329" s="24">
        <v>0</v>
      </c>
      <c r="AQ329" s="31">
        <f t="shared" si="29"/>
        <v>13.600000000000001</v>
      </c>
      <c r="AR329" s="32">
        <f t="shared" si="29"/>
        <v>34000</v>
      </c>
      <c r="AS329" s="30">
        <v>17</v>
      </c>
    </row>
    <row r="330" spans="1:45" ht="16" x14ac:dyDescent="0.2">
      <c r="A330" s="19">
        <v>327</v>
      </c>
      <c r="B330" s="21" t="s">
        <v>347</v>
      </c>
      <c r="C330" s="20" t="s">
        <v>354</v>
      </c>
      <c r="D330" s="347"/>
      <c r="E330" s="22">
        <v>34.4</v>
      </c>
      <c r="F330" s="23">
        <f t="shared" si="25"/>
        <v>86000</v>
      </c>
      <c r="G330" s="19">
        <v>0</v>
      </c>
      <c r="H330" s="23">
        <v>0</v>
      </c>
      <c r="I330" s="24">
        <v>0</v>
      </c>
      <c r="J330" s="19">
        <v>0</v>
      </c>
      <c r="K330" s="23">
        <v>0</v>
      </c>
      <c r="L330" s="24">
        <v>0</v>
      </c>
      <c r="M330" s="25">
        <v>8.8000000000000007</v>
      </c>
      <c r="N330" s="26">
        <v>22000</v>
      </c>
      <c r="O330" s="27">
        <v>22</v>
      </c>
      <c r="P330" s="28">
        <f t="shared" si="26"/>
        <v>2.4</v>
      </c>
      <c r="Q330" s="29">
        <f t="shared" si="27"/>
        <v>6000</v>
      </c>
      <c r="R330" s="30">
        <v>6</v>
      </c>
      <c r="S330" s="19">
        <v>0</v>
      </c>
      <c r="T330" s="23">
        <v>0</v>
      </c>
      <c r="U330" s="24">
        <v>0</v>
      </c>
      <c r="V330" s="31">
        <f t="shared" si="28"/>
        <v>11.2</v>
      </c>
      <c r="W330" s="32">
        <v>28000</v>
      </c>
      <c r="X330" s="30">
        <v>28</v>
      </c>
      <c r="Y330" s="19">
        <v>0</v>
      </c>
      <c r="Z330" s="23">
        <v>0</v>
      </c>
      <c r="AA330" s="24">
        <v>0</v>
      </c>
      <c r="AB330" s="33">
        <v>0</v>
      </c>
      <c r="AC330" s="34">
        <v>0</v>
      </c>
      <c r="AD330" s="35">
        <v>0</v>
      </c>
      <c r="AE330" s="36">
        <v>0</v>
      </c>
      <c r="AF330" s="23">
        <v>0</v>
      </c>
      <c r="AG330" s="24">
        <v>0</v>
      </c>
      <c r="AH330" s="33">
        <v>0</v>
      </c>
      <c r="AI330" s="37">
        <v>0</v>
      </c>
      <c r="AJ330" s="35">
        <v>0</v>
      </c>
      <c r="AK330" s="36">
        <v>0</v>
      </c>
      <c r="AL330" s="38">
        <v>0</v>
      </c>
      <c r="AM330" s="35">
        <v>0</v>
      </c>
      <c r="AN330" s="19">
        <v>0</v>
      </c>
      <c r="AO330" s="23">
        <v>0</v>
      </c>
      <c r="AP330" s="24">
        <v>0</v>
      </c>
      <c r="AQ330" s="31">
        <f t="shared" si="29"/>
        <v>22.4</v>
      </c>
      <c r="AR330" s="32">
        <f t="shared" si="29"/>
        <v>56000</v>
      </c>
      <c r="AS330" s="30">
        <v>28</v>
      </c>
    </row>
    <row r="331" spans="1:45" ht="16" x14ac:dyDescent="0.2">
      <c r="A331" s="19">
        <v>328</v>
      </c>
      <c r="B331" s="21" t="s">
        <v>347</v>
      </c>
      <c r="C331" s="20" t="s">
        <v>355</v>
      </c>
      <c r="D331" s="347"/>
      <c r="E331" s="22">
        <v>20.000000000000007</v>
      </c>
      <c r="F331" s="23">
        <f t="shared" si="25"/>
        <v>50000.000000000015</v>
      </c>
      <c r="G331" s="19">
        <v>0</v>
      </c>
      <c r="H331" s="23">
        <v>0</v>
      </c>
      <c r="I331" s="24">
        <v>0</v>
      </c>
      <c r="J331" s="19">
        <v>0</v>
      </c>
      <c r="K331" s="23">
        <v>0</v>
      </c>
      <c r="L331" s="24">
        <v>0</v>
      </c>
      <c r="M331" s="25">
        <v>6.8</v>
      </c>
      <c r="N331" s="26">
        <v>17000</v>
      </c>
      <c r="O331" s="27">
        <v>17</v>
      </c>
      <c r="P331" s="28">
        <f t="shared" si="26"/>
        <v>1.2</v>
      </c>
      <c r="Q331" s="29">
        <f t="shared" si="27"/>
        <v>3000</v>
      </c>
      <c r="R331" s="30">
        <v>3</v>
      </c>
      <c r="S331" s="19">
        <v>0</v>
      </c>
      <c r="T331" s="23">
        <v>0</v>
      </c>
      <c r="U331" s="24">
        <v>0</v>
      </c>
      <c r="V331" s="31">
        <f t="shared" si="28"/>
        <v>8</v>
      </c>
      <c r="W331" s="32">
        <v>20000</v>
      </c>
      <c r="X331" s="30">
        <v>20</v>
      </c>
      <c r="Y331" s="19">
        <v>0</v>
      </c>
      <c r="Z331" s="23">
        <v>0</v>
      </c>
      <c r="AA331" s="24">
        <v>0</v>
      </c>
      <c r="AB331" s="33">
        <v>0</v>
      </c>
      <c r="AC331" s="34">
        <v>0</v>
      </c>
      <c r="AD331" s="35">
        <v>0</v>
      </c>
      <c r="AE331" s="36">
        <v>0</v>
      </c>
      <c r="AF331" s="23">
        <v>0</v>
      </c>
      <c r="AG331" s="24">
        <v>0</v>
      </c>
      <c r="AH331" s="33">
        <v>0</v>
      </c>
      <c r="AI331" s="37">
        <v>0</v>
      </c>
      <c r="AJ331" s="35">
        <v>0</v>
      </c>
      <c r="AK331" s="36">
        <v>0</v>
      </c>
      <c r="AL331" s="38">
        <v>0</v>
      </c>
      <c r="AM331" s="35">
        <v>0</v>
      </c>
      <c r="AN331" s="19">
        <v>0</v>
      </c>
      <c r="AO331" s="23">
        <v>0</v>
      </c>
      <c r="AP331" s="24">
        <v>0</v>
      </c>
      <c r="AQ331" s="31">
        <f t="shared" si="29"/>
        <v>16</v>
      </c>
      <c r="AR331" s="32">
        <f t="shared" si="29"/>
        <v>40000</v>
      </c>
      <c r="AS331" s="30">
        <v>20</v>
      </c>
    </row>
    <row r="332" spans="1:45" ht="16" x14ac:dyDescent="0.2">
      <c r="A332" s="19">
        <v>329</v>
      </c>
      <c r="B332" s="21" t="s">
        <v>356</v>
      </c>
      <c r="C332" s="20" t="s">
        <v>357</v>
      </c>
      <c r="D332" s="347"/>
      <c r="E332" s="22">
        <v>16.399999999999999</v>
      </c>
      <c r="F332" s="23">
        <f t="shared" si="25"/>
        <v>41000</v>
      </c>
      <c r="G332" s="19">
        <v>0</v>
      </c>
      <c r="H332" s="23">
        <v>0</v>
      </c>
      <c r="I332" s="24">
        <v>0</v>
      </c>
      <c r="J332" s="19">
        <v>0</v>
      </c>
      <c r="K332" s="23">
        <v>0</v>
      </c>
      <c r="L332" s="24">
        <v>0</v>
      </c>
      <c r="M332" s="25">
        <v>5.2</v>
      </c>
      <c r="N332" s="26">
        <v>13000</v>
      </c>
      <c r="O332" s="27">
        <v>13</v>
      </c>
      <c r="P332" s="28">
        <f t="shared" si="26"/>
        <v>3.2</v>
      </c>
      <c r="Q332" s="29">
        <f t="shared" si="27"/>
        <v>8000</v>
      </c>
      <c r="R332" s="30">
        <v>8</v>
      </c>
      <c r="S332" s="19">
        <v>0</v>
      </c>
      <c r="T332" s="23">
        <v>0</v>
      </c>
      <c r="U332" s="24">
        <v>0</v>
      </c>
      <c r="V332" s="31">
        <f t="shared" si="28"/>
        <v>8.4</v>
      </c>
      <c r="W332" s="32">
        <v>21000</v>
      </c>
      <c r="X332" s="30">
        <v>21</v>
      </c>
      <c r="Y332" s="19">
        <v>0</v>
      </c>
      <c r="Z332" s="23">
        <v>0</v>
      </c>
      <c r="AA332" s="24">
        <v>0</v>
      </c>
      <c r="AB332" s="33">
        <v>0</v>
      </c>
      <c r="AC332" s="34">
        <v>0</v>
      </c>
      <c r="AD332" s="35">
        <v>0</v>
      </c>
      <c r="AE332" s="36">
        <v>0</v>
      </c>
      <c r="AF332" s="23">
        <v>0</v>
      </c>
      <c r="AG332" s="24">
        <v>0</v>
      </c>
      <c r="AH332" s="33">
        <v>0</v>
      </c>
      <c r="AI332" s="37">
        <v>0</v>
      </c>
      <c r="AJ332" s="35">
        <v>0</v>
      </c>
      <c r="AK332" s="36">
        <v>0</v>
      </c>
      <c r="AL332" s="38">
        <v>0</v>
      </c>
      <c r="AM332" s="35">
        <v>0</v>
      </c>
      <c r="AN332" s="19">
        <v>0</v>
      </c>
      <c r="AO332" s="23">
        <v>0</v>
      </c>
      <c r="AP332" s="24">
        <v>0</v>
      </c>
      <c r="AQ332" s="31">
        <f t="shared" si="29"/>
        <v>16.8</v>
      </c>
      <c r="AR332" s="32">
        <f t="shared" si="29"/>
        <v>42000</v>
      </c>
      <c r="AS332" s="30">
        <v>21</v>
      </c>
    </row>
    <row r="333" spans="1:45" ht="16" x14ac:dyDescent="0.2">
      <c r="A333" s="19">
        <v>330</v>
      </c>
      <c r="B333" s="21" t="s">
        <v>356</v>
      </c>
      <c r="C333" s="20" t="s">
        <v>358</v>
      </c>
      <c r="D333" s="347"/>
      <c r="E333" s="22">
        <v>25</v>
      </c>
      <c r="F333" s="23">
        <f t="shared" si="25"/>
        <v>62500</v>
      </c>
      <c r="G333" s="19">
        <v>0</v>
      </c>
      <c r="H333" s="23">
        <v>0</v>
      </c>
      <c r="I333" s="24">
        <v>0</v>
      </c>
      <c r="J333" s="19">
        <v>0</v>
      </c>
      <c r="K333" s="23">
        <v>0</v>
      </c>
      <c r="L333" s="24">
        <v>0</v>
      </c>
      <c r="M333" s="25">
        <v>8</v>
      </c>
      <c r="N333" s="26">
        <v>20000</v>
      </c>
      <c r="O333" s="27">
        <v>20</v>
      </c>
      <c r="P333" s="28">
        <f t="shared" si="26"/>
        <v>4</v>
      </c>
      <c r="Q333" s="29">
        <f t="shared" si="27"/>
        <v>10000</v>
      </c>
      <c r="R333" s="30">
        <v>10</v>
      </c>
      <c r="S333" s="19">
        <v>0</v>
      </c>
      <c r="T333" s="23">
        <v>0</v>
      </c>
      <c r="U333" s="24">
        <v>0</v>
      </c>
      <c r="V333" s="31">
        <f t="shared" si="28"/>
        <v>11.2</v>
      </c>
      <c r="W333" s="32">
        <v>28000</v>
      </c>
      <c r="X333" s="30">
        <v>28</v>
      </c>
      <c r="Y333" s="19">
        <v>0</v>
      </c>
      <c r="Z333" s="23">
        <v>0</v>
      </c>
      <c r="AA333" s="24">
        <v>0</v>
      </c>
      <c r="AB333" s="33">
        <v>0</v>
      </c>
      <c r="AC333" s="34">
        <v>0</v>
      </c>
      <c r="AD333" s="35">
        <v>0</v>
      </c>
      <c r="AE333" s="36">
        <v>0</v>
      </c>
      <c r="AF333" s="23">
        <v>0</v>
      </c>
      <c r="AG333" s="24">
        <v>0</v>
      </c>
      <c r="AH333" s="33">
        <v>0</v>
      </c>
      <c r="AI333" s="37">
        <v>0</v>
      </c>
      <c r="AJ333" s="35">
        <v>0</v>
      </c>
      <c r="AK333" s="36">
        <v>0</v>
      </c>
      <c r="AL333" s="38">
        <v>0</v>
      </c>
      <c r="AM333" s="35">
        <v>0</v>
      </c>
      <c r="AN333" s="19">
        <v>0</v>
      </c>
      <c r="AO333" s="23">
        <v>0</v>
      </c>
      <c r="AP333" s="24">
        <v>0</v>
      </c>
      <c r="AQ333" s="31">
        <f t="shared" si="29"/>
        <v>23.2</v>
      </c>
      <c r="AR333" s="32">
        <f t="shared" si="29"/>
        <v>58000</v>
      </c>
      <c r="AS333" s="30">
        <v>31</v>
      </c>
    </row>
    <row r="334" spans="1:45" ht="16" x14ac:dyDescent="0.2">
      <c r="A334" s="19">
        <v>331</v>
      </c>
      <c r="B334" s="21" t="s">
        <v>356</v>
      </c>
      <c r="C334" s="20" t="s">
        <v>359</v>
      </c>
      <c r="D334" s="347"/>
      <c r="E334" s="22">
        <v>32</v>
      </c>
      <c r="F334" s="23">
        <f t="shared" si="25"/>
        <v>80000</v>
      </c>
      <c r="G334" s="19">
        <v>0</v>
      </c>
      <c r="H334" s="23">
        <v>0</v>
      </c>
      <c r="I334" s="24">
        <v>0</v>
      </c>
      <c r="J334" s="19">
        <v>0</v>
      </c>
      <c r="K334" s="23">
        <v>0</v>
      </c>
      <c r="L334" s="24">
        <v>0</v>
      </c>
      <c r="M334" s="25">
        <v>8.8000000000000007</v>
      </c>
      <c r="N334" s="26">
        <v>22000</v>
      </c>
      <c r="O334" s="27">
        <v>22</v>
      </c>
      <c r="P334" s="28">
        <f t="shared" si="26"/>
        <v>3.6</v>
      </c>
      <c r="Q334" s="29">
        <f t="shared" si="27"/>
        <v>9000</v>
      </c>
      <c r="R334" s="30">
        <v>9</v>
      </c>
      <c r="S334" s="19">
        <v>0</v>
      </c>
      <c r="T334" s="23">
        <v>0</v>
      </c>
      <c r="U334" s="24">
        <v>0</v>
      </c>
      <c r="V334" s="31">
        <f t="shared" si="28"/>
        <v>12.4</v>
      </c>
      <c r="W334" s="32">
        <v>31000</v>
      </c>
      <c r="X334" s="30">
        <v>31</v>
      </c>
      <c r="Y334" s="19">
        <v>0</v>
      </c>
      <c r="Z334" s="23">
        <v>0</v>
      </c>
      <c r="AA334" s="24">
        <v>0</v>
      </c>
      <c r="AB334" s="33">
        <v>0</v>
      </c>
      <c r="AC334" s="34">
        <v>0</v>
      </c>
      <c r="AD334" s="35">
        <v>0</v>
      </c>
      <c r="AE334" s="36">
        <v>0</v>
      </c>
      <c r="AF334" s="23">
        <v>0</v>
      </c>
      <c r="AG334" s="24">
        <v>0</v>
      </c>
      <c r="AH334" s="33">
        <v>0</v>
      </c>
      <c r="AI334" s="37">
        <v>0</v>
      </c>
      <c r="AJ334" s="35">
        <v>0</v>
      </c>
      <c r="AK334" s="36">
        <v>0</v>
      </c>
      <c r="AL334" s="38">
        <v>0</v>
      </c>
      <c r="AM334" s="35">
        <v>0</v>
      </c>
      <c r="AN334" s="19">
        <v>0</v>
      </c>
      <c r="AO334" s="23">
        <v>0</v>
      </c>
      <c r="AP334" s="24">
        <v>0</v>
      </c>
      <c r="AQ334" s="31">
        <f t="shared" si="29"/>
        <v>24.8</v>
      </c>
      <c r="AR334" s="32">
        <f t="shared" si="29"/>
        <v>62000</v>
      </c>
      <c r="AS334" s="30">
        <v>31</v>
      </c>
    </row>
    <row r="335" spans="1:45" ht="16" x14ac:dyDescent="0.2">
      <c r="A335" s="19">
        <v>332</v>
      </c>
      <c r="B335" s="21" t="s">
        <v>356</v>
      </c>
      <c r="C335" s="20" t="s">
        <v>360</v>
      </c>
      <c r="D335" s="347"/>
      <c r="E335" s="22">
        <v>29</v>
      </c>
      <c r="F335" s="23">
        <f t="shared" si="25"/>
        <v>72500</v>
      </c>
      <c r="G335" s="19">
        <v>0</v>
      </c>
      <c r="H335" s="23">
        <v>0</v>
      </c>
      <c r="I335" s="24">
        <v>0</v>
      </c>
      <c r="J335" s="19">
        <v>0</v>
      </c>
      <c r="K335" s="23">
        <v>0</v>
      </c>
      <c r="L335" s="24">
        <v>0</v>
      </c>
      <c r="M335" s="25">
        <v>9.1999999999999993</v>
      </c>
      <c r="N335" s="26">
        <v>23000</v>
      </c>
      <c r="O335" s="27">
        <v>23</v>
      </c>
      <c r="P335" s="28">
        <f t="shared" si="26"/>
        <v>3.6</v>
      </c>
      <c r="Q335" s="29">
        <f t="shared" si="27"/>
        <v>9000</v>
      </c>
      <c r="R335" s="30">
        <v>9</v>
      </c>
      <c r="S335" s="19">
        <v>0</v>
      </c>
      <c r="T335" s="23">
        <v>0</v>
      </c>
      <c r="U335" s="24">
        <v>0</v>
      </c>
      <c r="V335" s="31">
        <f t="shared" si="28"/>
        <v>12.4</v>
      </c>
      <c r="W335" s="32">
        <v>31000</v>
      </c>
      <c r="X335" s="30">
        <v>31</v>
      </c>
      <c r="Y335" s="19">
        <v>0</v>
      </c>
      <c r="Z335" s="23">
        <v>0</v>
      </c>
      <c r="AA335" s="24">
        <v>0</v>
      </c>
      <c r="AB335" s="33">
        <v>0</v>
      </c>
      <c r="AC335" s="34">
        <v>0</v>
      </c>
      <c r="AD335" s="35">
        <v>0</v>
      </c>
      <c r="AE335" s="36">
        <v>0</v>
      </c>
      <c r="AF335" s="23">
        <v>0</v>
      </c>
      <c r="AG335" s="24">
        <v>0</v>
      </c>
      <c r="AH335" s="33">
        <v>0</v>
      </c>
      <c r="AI335" s="37">
        <v>0</v>
      </c>
      <c r="AJ335" s="35">
        <v>0</v>
      </c>
      <c r="AK335" s="36">
        <v>0</v>
      </c>
      <c r="AL335" s="38">
        <v>0</v>
      </c>
      <c r="AM335" s="35">
        <v>0</v>
      </c>
      <c r="AN335" s="19">
        <v>0</v>
      </c>
      <c r="AO335" s="23">
        <v>0</v>
      </c>
      <c r="AP335" s="24">
        <v>0</v>
      </c>
      <c r="AQ335" s="31">
        <f t="shared" si="29"/>
        <v>25.2</v>
      </c>
      <c r="AR335" s="32">
        <f t="shared" si="29"/>
        <v>63000</v>
      </c>
      <c r="AS335" s="30">
        <v>32</v>
      </c>
    </row>
    <row r="336" spans="1:45" ht="16" x14ac:dyDescent="0.2">
      <c r="A336" s="19">
        <v>333</v>
      </c>
      <c r="B336" s="21" t="s">
        <v>356</v>
      </c>
      <c r="C336" s="20" t="s">
        <v>361</v>
      </c>
      <c r="D336" s="347"/>
      <c r="E336" s="22">
        <v>16</v>
      </c>
      <c r="F336" s="23">
        <f t="shared" si="25"/>
        <v>40000</v>
      </c>
      <c r="G336" s="19">
        <v>0</v>
      </c>
      <c r="H336" s="23">
        <v>0</v>
      </c>
      <c r="I336" s="24">
        <v>0</v>
      </c>
      <c r="J336" s="19">
        <v>0</v>
      </c>
      <c r="K336" s="23">
        <v>0</v>
      </c>
      <c r="L336" s="24">
        <v>0</v>
      </c>
      <c r="M336" s="25">
        <v>4.8</v>
      </c>
      <c r="N336" s="26">
        <v>12000</v>
      </c>
      <c r="O336" s="27">
        <v>12</v>
      </c>
      <c r="P336" s="28">
        <f t="shared" si="26"/>
        <v>3.6</v>
      </c>
      <c r="Q336" s="29">
        <f t="shared" si="27"/>
        <v>9000</v>
      </c>
      <c r="R336" s="30">
        <v>9</v>
      </c>
      <c r="S336" s="19">
        <v>0</v>
      </c>
      <c r="T336" s="23">
        <v>0</v>
      </c>
      <c r="U336" s="24">
        <v>0</v>
      </c>
      <c r="V336" s="31">
        <f t="shared" si="28"/>
        <v>8</v>
      </c>
      <c r="W336" s="32">
        <v>20000</v>
      </c>
      <c r="X336" s="30">
        <v>20</v>
      </c>
      <c r="Y336" s="19">
        <v>0</v>
      </c>
      <c r="Z336" s="23">
        <v>0</v>
      </c>
      <c r="AA336" s="24">
        <v>0</v>
      </c>
      <c r="AB336" s="33">
        <v>0</v>
      </c>
      <c r="AC336" s="34">
        <v>0</v>
      </c>
      <c r="AD336" s="35">
        <v>0</v>
      </c>
      <c r="AE336" s="36">
        <v>0</v>
      </c>
      <c r="AF336" s="23">
        <v>0</v>
      </c>
      <c r="AG336" s="24">
        <v>0</v>
      </c>
      <c r="AH336" s="33">
        <v>0</v>
      </c>
      <c r="AI336" s="37">
        <v>0</v>
      </c>
      <c r="AJ336" s="35">
        <v>0</v>
      </c>
      <c r="AK336" s="36">
        <v>0</v>
      </c>
      <c r="AL336" s="38">
        <v>0</v>
      </c>
      <c r="AM336" s="35">
        <v>0</v>
      </c>
      <c r="AN336" s="19">
        <v>0</v>
      </c>
      <c r="AO336" s="23">
        <v>0</v>
      </c>
      <c r="AP336" s="24">
        <v>0</v>
      </c>
      <c r="AQ336" s="31">
        <f t="shared" si="29"/>
        <v>16.399999999999999</v>
      </c>
      <c r="AR336" s="32">
        <f t="shared" si="29"/>
        <v>41000</v>
      </c>
      <c r="AS336" s="30">
        <v>22</v>
      </c>
    </row>
    <row r="337" spans="1:45" ht="16" x14ac:dyDescent="0.2">
      <c r="A337" s="19">
        <v>334</v>
      </c>
      <c r="B337" s="21" t="s">
        <v>356</v>
      </c>
      <c r="C337" s="20" t="s">
        <v>362</v>
      </c>
      <c r="D337" s="347"/>
      <c r="E337" s="22">
        <v>35.4</v>
      </c>
      <c r="F337" s="23">
        <f t="shared" si="25"/>
        <v>88500</v>
      </c>
      <c r="G337" s="19">
        <v>0</v>
      </c>
      <c r="H337" s="23">
        <v>0</v>
      </c>
      <c r="I337" s="24">
        <v>0</v>
      </c>
      <c r="J337" s="19">
        <v>0</v>
      </c>
      <c r="K337" s="23">
        <v>0</v>
      </c>
      <c r="L337" s="24">
        <v>0</v>
      </c>
      <c r="M337" s="25">
        <v>11.6</v>
      </c>
      <c r="N337" s="26">
        <v>29000</v>
      </c>
      <c r="O337" s="27">
        <v>29</v>
      </c>
      <c r="P337" s="28">
        <f t="shared" si="26"/>
        <v>2.8</v>
      </c>
      <c r="Q337" s="29">
        <f t="shared" si="27"/>
        <v>7000</v>
      </c>
      <c r="R337" s="30">
        <v>7</v>
      </c>
      <c r="S337" s="19">
        <v>0</v>
      </c>
      <c r="T337" s="23">
        <v>0</v>
      </c>
      <c r="U337" s="24">
        <v>0</v>
      </c>
      <c r="V337" s="31">
        <f t="shared" si="28"/>
        <v>14</v>
      </c>
      <c r="W337" s="32">
        <v>35000</v>
      </c>
      <c r="X337" s="30">
        <v>35</v>
      </c>
      <c r="Y337" s="19">
        <v>0</v>
      </c>
      <c r="Z337" s="23">
        <v>0</v>
      </c>
      <c r="AA337" s="24">
        <v>0</v>
      </c>
      <c r="AB337" s="33">
        <v>0</v>
      </c>
      <c r="AC337" s="34">
        <v>0</v>
      </c>
      <c r="AD337" s="35">
        <v>0</v>
      </c>
      <c r="AE337" s="36">
        <v>0</v>
      </c>
      <c r="AF337" s="23">
        <v>0</v>
      </c>
      <c r="AG337" s="24">
        <v>0</v>
      </c>
      <c r="AH337" s="33">
        <v>0</v>
      </c>
      <c r="AI337" s="37">
        <v>0</v>
      </c>
      <c r="AJ337" s="35">
        <v>0</v>
      </c>
      <c r="AK337" s="36">
        <v>0</v>
      </c>
      <c r="AL337" s="38">
        <v>0</v>
      </c>
      <c r="AM337" s="35">
        <v>0</v>
      </c>
      <c r="AN337" s="19">
        <v>0</v>
      </c>
      <c r="AO337" s="23">
        <v>0</v>
      </c>
      <c r="AP337" s="24">
        <v>0</v>
      </c>
      <c r="AQ337" s="31">
        <f t="shared" si="29"/>
        <v>28.4</v>
      </c>
      <c r="AR337" s="32">
        <f t="shared" si="29"/>
        <v>71000</v>
      </c>
      <c r="AS337" s="30">
        <v>37</v>
      </c>
    </row>
    <row r="338" spans="1:45" ht="16" x14ac:dyDescent="0.2">
      <c r="A338" s="19">
        <v>335</v>
      </c>
      <c r="B338" s="21" t="s">
        <v>356</v>
      </c>
      <c r="C338" s="20" t="s">
        <v>363</v>
      </c>
      <c r="D338" s="347"/>
      <c r="E338" s="22">
        <v>21</v>
      </c>
      <c r="F338" s="23">
        <f t="shared" si="25"/>
        <v>52500</v>
      </c>
      <c r="G338" s="19">
        <v>0</v>
      </c>
      <c r="H338" s="23">
        <v>0</v>
      </c>
      <c r="I338" s="24">
        <v>0</v>
      </c>
      <c r="J338" s="19">
        <v>0</v>
      </c>
      <c r="K338" s="23">
        <v>0</v>
      </c>
      <c r="L338" s="24">
        <v>0</v>
      </c>
      <c r="M338" s="25">
        <v>5.2</v>
      </c>
      <c r="N338" s="26">
        <v>13000</v>
      </c>
      <c r="O338" s="27">
        <v>13</v>
      </c>
      <c r="P338" s="28">
        <f t="shared" si="26"/>
        <v>0.8</v>
      </c>
      <c r="Q338" s="29">
        <f t="shared" si="27"/>
        <v>2000</v>
      </c>
      <c r="R338" s="30">
        <v>2</v>
      </c>
      <c r="S338" s="19">
        <v>0</v>
      </c>
      <c r="T338" s="23">
        <v>0</v>
      </c>
      <c r="U338" s="24">
        <v>0</v>
      </c>
      <c r="V338" s="31">
        <f t="shared" si="28"/>
        <v>6.4</v>
      </c>
      <c r="W338" s="32">
        <v>16000</v>
      </c>
      <c r="X338" s="30">
        <v>16</v>
      </c>
      <c r="Y338" s="19">
        <v>0</v>
      </c>
      <c r="Z338" s="23">
        <v>0</v>
      </c>
      <c r="AA338" s="24">
        <v>0</v>
      </c>
      <c r="AB338" s="33">
        <v>0</v>
      </c>
      <c r="AC338" s="34">
        <v>0</v>
      </c>
      <c r="AD338" s="35">
        <v>0</v>
      </c>
      <c r="AE338" s="36">
        <v>0</v>
      </c>
      <c r="AF338" s="23">
        <v>0</v>
      </c>
      <c r="AG338" s="24">
        <v>0</v>
      </c>
      <c r="AH338" s="33">
        <v>0</v>
      </c>
      <c r="AI338" s="37">
        <v>0</v>
      </c>
      <c r="AJ338" s="35">
        <v>0</v>
      </c>
      <c r="AK338" s="36">
        <v>0</v>
      </c>
      <c r="AL338" s="38">
        <v>0</v>
      </c>
      <c r="AM338" s="35">
        <v>0</v>
      </c>
      <c r="AN338" s="19">
        <v>0</v>
      </c>
      <c r="AO338" s="23">
        <v>0</v>
      </c>
      <c r="AP338" s="24">
        <v>0</v>
      </c>
      <c r="AQ338" s="31">
        <f t="shared" si="29"/>
        <v>12.4</v>
      </c>
      <c r="AR338" s="32">
        <f t="shared" si="29"/>
        <v>31000</v>
      </c>
      <c r="AS338" s="30">
        <v>16</v>
      </c>
    </row>
    <row r="339" spans="1:45" ht="16" x14ac:dyDescent="0.2">
      <c r="A339" s="19">
        <v>336</v>
      </c>
      <c r="B339" s="21" t="s">
        <v>356</v>
      </c>
      <c r="C339" s="20" t="s">
        <v>364</v>
      </c>
      <c r="D339" s="347"/>
      <c r="E339" s="22">
        <v>16</v>
      </c>
      <c r="F339" s="23">
        <f t="shared" si="25"/>
        <v>40000</v>
      </c>
      <c r="G339" s="19">
        <v>0</v>
      </c>
      <c r="H339" s="23">
        <v>0</v>
      </c>
      <c r="I339" s="24">
        <v>0</v>
      </c>
      <c r="J339" s="19">
        <v>0</v>
      </c>
      <c r="K339" s="23">
        <v>0</v>
      </c>
      <c r="L339" s="24">
        <v>0</v>
      </c>
      <c r="M339" s="25">
        <v>5.2</v>
      </c>
      <c r="N339" s="26">
        <v>13000</v>
      </c>
      <c r="O339" s="27">
        <v>13</v>
      </c>
      <c r="P339" s="28">
        <f t="shared" si="26"/>
        <v>0.8</v>
      </c>
      <c r="Q339" s="29">
        <f t="shared" si="27"/>
        <v>2000</v>
      </c>
      <c r="R339" s="30">
        <v>2</v>
      </c>
      <c r="S339" s="19">
        <v>0</v>
      </c>
      <c r="T339" s="23">
        <v>0</v>
      </c>
      <c r="U339" s="24">
        <v>0</v>
      </c>
      <c r="V339" s="31">
        <f t="shared" si="28"/>
        <v>6</v>
      </c>
      <c r="W339" s="32">
        <v>15000</v>
      </c>
      <c r="X339" s="30">
        <v>15</v>
      </c>
      <c r="Y339" s="19">
        <v>0</v>
      </c>
      <c r="Z339" s="23">
        <v>0</v>
      </c>
      <c r="AA339" s="24">
        <v>0</v>
      </c>
      <c r="AB339" s="33">
        <v>0</v>
      </c>
      <c r="AC339" s="34">
        <v>0</v>
      </c>
      <c r="AD339" s="35">
        <v>0</v>
      </c>
      <c r="AE339" s="36">
        <v>0</v>
      </c>
      <c r="AF339" s="23">
        <v>0</v>
      </c>
      <c r="AG339" s="24">
        <v>0</v>
      </c>
      <c r="AH339" s="33">
        <v>0</v>
      </c>
      <c r="AI339" s="37">
        <v>0</v>
      </c>
      <c r="AJ339" s="35">
        <v>0</v>
      </c>
      <c r="AK339" s="36">
        <v>0</v>
      </c>
      <c r="AL339" s="38">
        <v>0</v>
      </c>
      <c r="AM339" s="35">
        <v>0</v>
      </c>
      <c r="AN339" s="19">
        <v>0</v>
      </c>
      <c r="AO339" s="23">
        <v>0</v>
      </c>
      <c r="AP339" s="24">
        <v>0</v>
      </c>
      <c r="AQ339" s="31">
        <f t="shared" si="29"/>
        <v>12</v>
      </c>
      <c r="AR339" s="32">
        <f t="shared" si="29"/>
        <v>30000</v>
      </c>
      <c r="AS339" s="30">
        <v>15</v>
      </c>
    </row>
    <row r="340" spans="1:45" ht="16" x14ac:dyDescent="0.2">
      <c r="A340" s="19">
        <v>337</v>
      </c>
      <c r="B340" s="21" t="s">
        <v>356</v>
      </c>
      <c r="C340" s="20" t="s">
        <v>365</v>
      </c>
      <c r="D340" s="347"/>
      <c r="E340" s="22">
        <v>13.4</v>
      </c>
      <c r="F340" s="23">
        <f t="shared" si="25"/>
        <v>33500</v>
      </c>
      <c r="G340" s="19">
        <v>0</v>
      </c>
      <c r="H340" s="23">
        <v>0</v>
      </c>
      <c r="I340" s="24">
        <v>0</v>
      </c>
      <c r="J340" s="19">
        <v>0</v>
      </c>
      <c r="K340" s="23">
        <v>0</v>
      </c>
      <c r="L340" s="24">
        <v>0</v>
      </c>
      <c r="M340" s="25">
        <v>4</v>
      </c>
      <c r="N340" s="26">
        <v>10000</v>
      </c>
      <c r="O340" s="27">
        <v>10</v>
      </c>
      <c r="P340" s="28">
        <f t="shared" si="26"/>
        <v>2</v>
      </c>
      <c r="Q340" s="29">
        <f t="shared" si="27"/>
        <v>5000</v>
      </c>
      <c r="R340" s="30">
        <v>5</v>
      </c>
      <c r="S340" s="19">
        <v>0</v>
      </c>
      <c r="T340" s="23">
        <v>0</v>
      </c>
      <c r="U340" s="24">
        <v>0</v>
      </c>
      <c r="V340" s="31">
        <f t="shared" si="28"/>
        <v>6</v>
      </c>
      <c r="W340" s="32">
        <v>15000</v>
      </c>
      <c r="X340" s="30">
        <v>15</v>
      </c>
      <c r="Y340" s="19">
        <v>0</v>
      </c>
      <c r="Z340" s="23">
        <v>0</v>
      </c>
      <c r="AA340" s="24">
        <v>0</v>
      </c>
      <c r="AB340" s="33">
        <v>0</v>
      </c>
      <c r="AC340" s="34">
        <v>0</v>
      </c>
      <c r="AD340" s="35">
        <v>0</v>
      </c>
      <c r="AE340" s="36">
        <v>0</v>
      </c>
      <c r="AF340" s="23">
        <v>0</v>
      </c>
      <c r="AG340" s="24">
        <v>0</v>
      </c>
      <c r="AH340" s="33">
        <v>0</v>
      </c>
      <c r="AI340" s="37">
        <v>0</v>
      </c>
      <c r="AJ340" s="35">
        <v>0</v>
      </c>
      <c r="AK340" s="36">
        <v>0</v>
      </c>
      <c r="AL340" s="38">
        <v>0</v>
      </c>
      <c r="AM340" s="35">
        <v>0</v>
      </c>
      <c r="AN340" s="19">
        <v>0</v>
      </c>
      <c r="AO340" s="23">
        <v>0</v>
      </c>
      <c r="AP340" s="24">
        <v>0</v>
      </c>
      <c r="AQ340" s="31">
        <f t="shared" si="29"/>
        <v>12</v>
      </c>
      <c r="AR340" s="32">
        <f t="shared" si="29"/>
        <v>30000</v>
      </c>
      <c r="AS340" s="30">
        <v>15</v>
      </c>
    </row>
    <row r="341" spans="1:45" ht="16" x14ac:dyDescent="0.2">
      <c r="A341" s="19">
        <v>338</v>
      </c>
      <c r="B341" s="21" t="s">
        <v>356</v>
      </c>
      <c r="C341" s="20" t="s">
        <v>366</v>
      </c>
      <c r="D341" s="347"/>
      <c r="E341" s="22">
        <v>22.8</v>
      </c>
      <c r="F341" s="23">
        <f t="shared" si="25"/>
        <v>57000</v>
      </c>
      <c r="G341" s="19">
        <v>0</v>
      </c>
      <c r="H341" s="23">
        <v>0</v>
      </c>
      <c r="I341" s="24">
        <v>0</v>
      </c>
      <c r="J341" s="19">
        <v>0</v>
      </c>
      <c r="K341" s="23">
        <v>0</v>
      </c>
      <c r="L341" s="24">
        <v>0</v>
      </c>
      <c r="M341" s="25">
        <v>6.4</v>
      </c>
      <c r="N341" s="26">
        <v>16000</v>
      </c>
      <c r="O341" s="27">
        <v>16</v>
      </c>
      <c r="P341" s="28">
        <f t="shared" si="26"/>
        <v>0.8</v>
      </c>
      <c r="Q341" s="29">
        <f t="shared" si="27"/>
        <v>2000</v>
      </c>
      <c r="R341" s="30">
        <v>2</v>
      </c>
      <c r="S341" s="19">
        <v>0</v>
      </c>
      <c r="T341" s="23">
        <v>0</v>
      </c>
      <c r="U341" s="24">
        <v>0</v>
      </c>
      <c r="V341" s="31">
        <f t="shared" si="28"/>
        <v>7.2</v>
      </c>
      <c r="W341" s="32">
        <v>18000</v>
      </c>
      <c r="X341" s="30">
        <v>18</v>
      </c>
      <c r="Y341" s="19">
        <v>0</v>
      </c>
      <c r="Z341" s="23">
        <v>0</v>
      </c>
      <c r="AA341" s="24">
        <v>0</v>
      </c>
      <c r="AB341" s="33">
        <v>0</v>
      </c>
      <c r="AC341" s="34">
        <v>0</v>
      </c>
      <c r="AD341" s="35">
        <v>0</v>
      </c>
      <c r="AE341" s="36">
        <v>0</v>
      </c>
      <c r="AF341" s="23">
        <v>0</v>
      </c>
      <c r="AG341" s="24">
        <v>0</v>
      </c>
      <c r="AH341" s="33">
        <v>0</v>
      </c>
      <c r="AI341" s="37">
        <v>0</v>
      </c>
      <c r="AJ341" s="35">
        <v>0</v>
      </c>
      <c r="AK341" s="36">
        <v>0</v>
      </c>
      <c r="AL341" s="38">
        <v>0</v>
      </c>
      <c r="AM341" s="35">
        <v>0</v>
      </c>
      <c r="AN341" s="19">
        <v>0</v>
      </c>
      <c r="AO341" s="23">
        <v>0</v>
      </c>
      <c r="AP341" s="24">
        <v>0</v>
      </c>
      <c r="AQ341" s="31">
        <f t="shared" si="29"/>
        <v>14.4</v>
      </c>
      <c r="AR341" s="32">
        <f t="shared" si="29"/>
        <v>36000</v>
      </c>
      <c r="AS341" s="30">
        <v>18</v>
      </c>
    </row>
    <row r="342" spans="1:45" ht="16" x14ac:dyDescent="0.2">
      <c r="A342" s="19">
        <v>339</v>
      </c>
      <c r="B342" s="21" t="s">
        <v>356</v>
      </c>
      <c r="C342" s="20" t="s">
        <v>356</v>
      </c>
      <c r="D342" s="347"/>
      <c r="E342" s="22">
        <v>18.600000000000001</v>
      </c>
      <c r="F342" s="23">
        <f t="shared" si="25"/>
        <v>46500</v>
      </c>
      <c r="G342" s="19">
        <v>0</v>
      </c>
      <c r="H342" s="23">
        <v>0</v>
      </c>
      <c r="I342" s="24">
        <v>0</v>
      </c>
      <c r="J342" s="19">
        <v>0</v>
      </c>
      <c r="K342" s="23">
        <v>0</v>
      </c>
      <c r="L342" s="24">
        <v>0</v>
      </c>
      <c r="M342" s="25">
        <v>6.8</v>
      </c>
      <c r="N342" s="26">
        <v>17000</v>
      </c>
      <c r="O342" s="27">
        <v>17</v>
      </c>
      <c r="P342" s="28">
        <f t="shared" si="26"/>
        <v>2.8</v>
      </c>
      <c r="Q342" s="29">
        <f t="shared" si="27"/>
        <v>7000</v>
      </c>
      <c r="R342" s="30">
        <v>7</v>
      </c>
      <c r="S342" s="19">
        <v>0</v>
      </c>
      <c r="T342" s="23">
        <v>0</v>
      </c>
      <c r="U342" s="24">
        <v>0</v>
      </c>
      <c r="V342" s="31">
        <f t="shared" si="28"/>
        <v>9.6</v>
      </c>
      <c r="W342" s="32">
        <v>24000</v>
      </c>
      <c r="X342" s="30">
        <v>24</v>
      </c>
      <c r="Y342" s="19">
        <v>0</v>
      </c>
      <c r="Z342" s="23">
        <v>0</v>
      </c>
      <c r="AA342" s="24">
        <v>0</v>
      </c>
      <c r="AB342" s="33">
        <v>0</v>
      </c>
      <c r="AC342" s="34">
        <v>0</v>
      </c>
      <c r="AD342" s="35">
        <v>0</v>
      </c>
      <c r="AE342" s="36">
        <v>0</v>
      </c>
      <c r="AF342" s="23">
        <v>0</v>
      </c>
      <c r="AG342" s="24">
        <v>0</v>
      </c>
      <c r="AH342" s="33">
        <v>0</v>
      </c>
      <c r="AI342" s="37">
        <v>0</v>
      </c>
      <c r="AJ342" s="35">
        <v>0</v>
      </c>
      <c r="AK342" s="36">
        <v>0</v>
      </c>
      <c r="AL342" s="38">
        <v>0</v>
      </c>
      <c r="AM342" s="35">
        <v>0</v>
      </c>
      <c r="AN342" s="19">
        <v>0</v>
      </c>
      <c r="AO342" s="23">
        <v>0</v>
      </c>
      <c r="AP342" s="24">
        <v>0</v>
      </c>
      <c r="AQ342" s="31">
        <f t="shared" si="29"/>
        <v>19.2</v>
      </c>
      <c r="AR342" s="32">
        <f t="shared" si="29"/>
        <v>48000</v>
      </c>
      <c r="AS342" s="30">
        <v>24</v>
      </c>
    </row>
    <row r="343" spans="1:45" x14ac:dyDescent="0.2">
      <c r="M343" s="40">
        <f t="shared" ref="M343:R343" si="30">SUM(M4:M342)</f>
        <v>1599.8000000000002</v>
      </c>
      <c r="N343" s="41">
        <f t="shared" si="30"/>
        <v>4000000</v>
      </c>
      <c r="O343" s="42">
        <f t="shared" si="30"/>
        <v>4000</v>
      </c>
      <c r="P343" s="43">
        <f t="shared" si="30"/>
        <v>745.99999999999966</v>
      </c>
      <c r="Q343" s="44">
        <f t="shared" si="30"/>
        <v>1865000</v>
      </c>
      <c r="R343" s="45">
        <f t="shared" si="30"/>
        <v>1865</v>
      </c>
      <c r="V343" s="43">
        <f>SUM(V4:V342)</f>
        <v>2346.0000000000014</v>
      </c>
      <c r="W343" s="46">
        <f>SUM(W4:W342)</f>
        <v>5865000</v>
      </c>
      <c r="X343" s="45">
        <f>SUM(X4:X342)</f>
        <v>5865</v>
      </c>
      <c r="AQ343" s="43">
        <f>SUM(AQ4:AQ342)</f>
        <v>4691.800000000002</v>
      </c>
      <c r="AR343" s="46">
        <f>SUM(AR4:AR342)</f>
        <v>11730000</v>
      </c>
      <c r="AS343" s="45">
        <f>SUM(AS4:AS342)</f>
        <v>6004</v>
      </c>
    </row>
    <row r="346" spans="1:45" x14ac:dyDescent="0.2">
      <c r="S346" s="47">
        <f>M343+P343+V343</f>
        <v>4691.8000000000011</v>
      </c>
      <c r="T346">
        <f>O343+R343+X343</f>
        <v>11730</v>
      </c>
    </row>
  </sheetData>
  <mergeCells count="39">
    <mergeCell ref="D310:D326"/>
    <mergeCell ref="D327:D342"/>
    <mergeCell ref="D208:D224"/>
    <mergeCell ref="D225:D241"/>
    <mergeCell ref="D242:D258"/>
    <mergeCell ref="D259:D275"/>
    <mergeCell ref="D276:D292"/>
    <mergeCell ref="D293:D309"/>
    <mergeCell ref="D191:D207"/>
    <mergeCell ref="D4:D20"/>
    <mergeCell ref="D21:D37"/>
    <mergeCell ref="D38:D54"/>
    <mergeCell ref="D55:D71"/>
    <mergeCell ref="D72:D88"/>
    <mergeCell ref="D89:D105"/>
    <mergeCell ref="D106:D122"/>
    <mergeCell ref="D123:D139"/>
    <mergeCell ref="D140:D156"/>
    <mergeCell ref="D157:D173"/>
    <mergeCell ref="D174:D190"/>
    <mergeCell ref="AQ2:AS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1:H1"/>
    <mergeCell ref="A2:A3"/>
    <mergeCell ref="B2:B3"/>
    <mergeCell ref="C2:C3"/>
    <mergeCell ref="D2:D3"/>
    <mergeCell ref="E2:F2"/>
    <mergeCell ref="G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344"/>
  <sheetViews>
    <sheetView topLeftCell="AH327" workbookViewId="0">
      <selection activeCell="AR344" sqref="AR344"/>
    </sheetView>
  </sheetViews>
  <sheetFormatPr baseColWidth="10" defaultRowHeight="15" x14ac:dyDescent="0.2"/>
  <cols>
    <col min="1" max="1" width="4.5" bestFit="1" customWidth="1"/>
    <col min="2" max="2" width="17.1640625" bestFit="1" customWidth="1"/>
    <col min="3" max="3" width="31.33203125" customWidth="1"/>
    <col min="4" max="4" width="11" customWidth="1"/>
    <col min="5" max="5" width="12" hidden="1" customWidth="1"/>
    <col min="6" max="6" width="14.1640625" style="39" hidden="1" customWidth="1"/>
    <col min="7" max="7" width="10.5" hidden="1" customWidth="1"/>
    <col min="8" max="8" width="16.1640625" style="39" hidden="1" customWidth="1"/>
    <col min="9" max="9" width="13.5" hidden="1" customWidth="1"/>
    <col min="10" max="12" width="11.5" hidden="1" customWidth="1"/>
    <col min="13" max="13" width="16" customWidth="1"/>
    <col min="14" max="14" width="17.5" customWidth="1"/>
    <col min="15" max="15" width="17.33203125" customWidth="1"/>
    <col min="16" max="16" width="15.33203125" customWidth="1"/>
    <col min="17" max="17" width="20.33203125" customWidth="1"/>
    <col min="18" max="18" width="14.5" customWidth="1"/>
    <col min="19" max="19" width="11.5" customWidth="1"/>
    <col min="20" max="20" width="15.5" customWidth="1"/>
    <col min="21" max="21" width="13.5" customWidth="1"/>
    <col min="22" max="22" width="11.5" customWidth="1"/>
    <col min="23" max="23" width="19.33203125" customWidth="1"/>
    <col min="24" max="24" width="16.5" customWidth="1"/>
    <col min="25" max="25" width="11.5" customWidth="1"/>
    <col min="26" max="26" width="17.1640625" customWidth="1"/>
    <col min="27" max="27" width="15.33203125" customWidth="1"/>
    <col min="28" max="28" width="11.5" customWidth="1"/>
    <col min="29" max="29" width="13.1640625" customWidth="1"/>
    <col min="30" max="30" width="16" customWidth="1"/>
    <col min="31" max="31" width="11.5" customWidth="1"/>
    <col min="32" max="32" width="12" customWidth="1"/>
    <col min="33" max="33" width="16.6640625" customWidth="1"/>
    <col min="34" max="34" width="11.5" customWidth="1"/>
    <col min="35" max="35" width="18.33203125" customWidth="1"/>
    <col min="36" max="37" width="11.5" customWidth="1"/>
    <col min="38" max="38" width="12" customWidth="1"/>
    <col min="39" max="39" width="18.5" customWidth="1"/>
    <col min="40" max="41" width="11.5" customWidth="1"/>
    <col min="42" max="42" width="18.83203125" customWidth="1"/>
    <col min="43" max="43" width="11.5" bestFit="1" customWidth="1"/>
    <col min="44" max="44" width="21" customWidth="1"/>
    <col min="45" max="45" width="19.1640625" customWidth="1"/>
  </cols>
  <sheetData>
    <row r="1" spans="1:45" ht="19" thickBot="1" x14ac:dyDescent="0.25">
      <c r="A1" s="324" t="s">
        <v>367</v>
      </c>
      <c r="B1" s="324"/>
      <c r="C1" s="324"/>
      <c r="D1" s="324"/>
      <c r="E1" s="324"/>
      <c r="F1" s="324"/>
      <c r="G1" s="324"/>
      <c r="H1" s="324"/>
    </row>
    <row r="2" spans="1:45" ht="16" x14ac:dyDescent="0.2">
      <c r="A2" s="325" t="s">
        <v>1</v>
      </c>
      <c r="B2" s="327" t="s">
        <v>2</v>
      </c>
      <c r="C2" s="327" t="s">
        <v>3</v>
      </c>
      <c r="D2" s="329" t="s">
        <v>4</v>
      </c>
      <c r="E2" s="327" t="s">
        <v>5</v>
      </c>
      <c r="F2" s="327"/>
      <c r="G2" s="331" t="s">
        <v>6</v>
      </c>
      <c r="H2" s="332"/>
      <c r="I2" s="333"/>
      <c r="J2" s="331" t="s">
        <v>7</v>
      </c>
      <c r="K2" s="332"/>
      <c r="L2" s="333"/>
      <c r="M2" s="331" t="s">
        <v>8</v>
      </c>
      <c r="N2" s="332"/>
      <c r="O2" s="344"/>
      <c r="P2" s="331" t="s">
        <v>9</v>
      </c>
      <c r="Q2" s="332"/>
      <c r="R2" s="332"/>
      <c r="S2" s="325" t="s">
        <v>10</v>
      </c>
      <c r="T2" s="327"/>
      <c r="U2" s="341"/>
      <c r="V2" s="331" t="s">
        <v>11</v>
      </c>
      <c r="W2" s="332"/>
      <c r="X2" s="344"/>
      <c r="Y2" s="343" t="s">
        <v>12</v>
      </c>
      <c r="Z2" s="332"/>
      <c r="AA2" s="344"/>
      <c r="AB2" s="343" t="s">
        <v>13</v>
      </c>
      <c r="AC2" s="332"/>
      <c r="AD2" s="344"/>
      <c r="AE2" s="343" t="s">
        <v>14</v>
      </c>
      <c r="AF2" s="332"/>
      <c r="AG2" s="344"/>
      <c r="AH2" s="343" t="s">
        <v>15</v>
      </c>
      <c r="AI2" s="332"/>
      <c r="AJ2" s="344"/>
      <c r="AK2" s="343" t="s">
        <v>16</v>
      </c>
      <c r="AL2" s="332"/>
      <c r="AM2" s="344"/>
      <c r="AN2" s="343" t="s">
        <v>17</v>
      </c>
      <c r="AO2" s="332"/>
      <c r="AP2" s="344"/>
      <c r="AQ2" s="348" t="s">
        <v>18</v>
      </c>
      <c r="AR2" s="349"/>
      <c r="AS2" s="349"/>
    </row>
    <row r="3" spans="1:45" ht="16" x14ac:dyDescent="0.2">
      <c r="A3" s="326"/>
      <c r="B3" s="328"/>
      <c r="C3" s="328"/>
      <c r="D3" s="330"/>
      <c r="E3" s="3" t="s">
        <v>19</v>
      </c>
      <c r="F3" s="4" t="s">
        <v>20</v>
      </c>
      <c r="G3" s="5" t="s">
        <v>19</v>
      </c>
      <c r="H3" s="4" t="s">
        <v>20</v>
      </c>
      <c r="I3" s="6" t="s">
        <v>21</v>
      </c>
      <c r="J3" s="5" t="s">
        <v>19</v>
      </c>
      <c r="K3" s="4" t="s">
        <v>20</v>
      </c>
      <c r="L3" s="6" t="s">
        <v>21</v>
      </c>
      <c r="M3" s="3" t="s">
        <v>19</v>
      </c>
      <c r="N3" s="13" t="s">
        <v>20</v>
      </c>
      <c r="O3" s="48" t="s">
        <v>21</v>
      </c>
      <c r="P3" s="3" t="s">
        <v>19</v>
      </c>
      <c r="Q3" s="13" t="s">
        <v>20</v>
      </c>
      <c r="R3" s="49" t="s">
        <v>22</v>
      </c>
      <c r="S3" s="5" t="s">
        <v>19</v>
      </c>
      <c r="T3" s="4" t="s">
        <v>20</v>
      </c>
      <c r="U3" s="50" t="s">
        <v>22</v>
      </c>
      <c r="V3" s="16" t="s">
        <v>19</v>
      </c>
      <c r="W3" s="13" t="s">
        <v>20</v>
      </c>
      <c r="X3" s="51" t="s">
        <v>22</v>
      </c>
      <c r="Y3" s="16" t="s">
        <v>19</v>
      </c>
      <c r="Z3" s="13" t="s">
        <v>20</v>
      </c>
      <c r="AA3" s="51" t="s">
        <v>22</v>
      </c>
      <c r="AB3" s="3" t="s">
        <v>19</v>
      </c>
      <c r="AC3" s="13" t="s">
        <v>20</v>
      </c>
      <c r="AD3" s="51" t="s">
        <v>22</v>
      </c>
      <c r="AE3" s="3" t="s">
        <v>19</v>
      </c>
      <c r="AF3" s="13" t="s">
        <v>20</v>
      </c>
      <c r="AG3" s="51" t="s">
        <v>22</v>
      </c>
      <c r="AH3" s="3" t="s">
        <v>19</v>
      </c>
      <c r="AI3" s="13" t="s">
        <v>20</v>
      </c>
      <c r="AJ3" s="51" t="s">
        <v>22</v>
      </c>
      <c r="AK3" s="3" t="s">
        <v>19</v>
      </c>
      <c r="AL3" s="13" t="s">
        <v>20</v>
      </c>
      <c r="AM3" s="51" t="s">
        <v>22</v>
      </c>
      <c r="AN3" s="3" t="s">
        <v>19</v>
      </c>
      <c r="AO3" s="13" t="s">
        <v>20</v>
      </c>
      <c r="AP3" s="52" t="s">
        <v>22</v>
      </c>
      <c r="AQ3" s="3" t="s">
        <v>19</v>
      </c>
      <c r="AR3" s="13" t="s">
        <v>20</v>
      </c>
      <c r="AS3" s="52" t="s">
        <v>22</v>
      </c>
    </row>
    <row r="4" spans="1:45" ht="16" x14ac:dyDescent="0.2">
      <c r="A4" s="53">
        <v>1</v>
      </c>
      <c r="B4" s="54" t="s">
        <v>23</v>
      </c>
      <c r="C4" s="55" t="s">
        <v>24</v>
      </c>
      <c r="D4" s="350" t="s">
        <v>25</v>
      </c>
      <c r="E4" s="53"/>
      <c r="F4" s="56"/>
      <c r="G4" s="53"/>
      <c r="H4" s="56"/>
      <c r="I4" s="57"/>
      <c r="J4" s="53"/>
      <c r="K4" s="56"/>
      <c r="L4" s="57"/>
      <c r="M4" s="58"/>
      <c r="N4" s="56"/>
      <c r="O4" s="57"/>
      <c r="P4" s="58">
        <f>Q4/2500</f>
        <v>8.64</v>
      </c>
      <c r="Q4" s="59">
        <f>R4*1800</f>
        <v>21600</v>
      </c>
      <c r="R4" s="35">
        <v>12</v>
      </c>
      <c r="S4" s="19">
        <v>0</v>
      </c>
      <c r="T4" s="23">
        <v>0</v>
      </c>
      <c r="U4" s="24">
        <v>0</v>
      </c>
      <c r="V4" s="33">
        <v>0</v>
      </c>
      <c r="W4" s="34">
        <v>0</v>
      </c>
      <c r="X4" s="35">
        <v>0</v>
      </c>
      <c r="Y4" s="19">
        <v>0</v>
      </c>
      <c r="Z4" s="23">
        <v>0</v>
      </c>
      <c r="AA4" s="24">
        <v>0</v>
      </c>
      <c r="AB4" s="33">
        <v>0</v>
      </c>
      <c r="AC4" s="34">
        <v>0</v>
      </c>
      <c r="AD4" s="35">
        <v>0</v>
      </c>
      <c r="AE4" s="36">
        <v>0</v>
      </c>
      <c r="AF4" s="23">
        <v>0</v>
      </c>
      <c r="AG4" s="24">
        <v>0</v>
      </c>
      <c r="AH4" s="33">
        <v>0</v>
      </c>
      <c r="AI4" s="37">
        <v>0</v>
      </c>
      <c r="AJ4" s="35">
        <v>0</v>
      </c>
      <c r="AK4" s="36">
        <v>0</v>
      </c>
      <c r="AL4" s="38">
        <v>0</v>
      </c>
      <c r="AM4" s="35">
        <v>0</v>
      </c>
      <c r="AN4" s="19">
        <v>0</v>
      </c>
      <c r="AO4" s="23">
        <v>0</v>
      </c>
      <c r="AP4" s="24">
        <v>0</v>
      </c>
      <c r="AQ4" s="58">
        <f>AR4/2500</f>
        <v>8.64</v>
      </c>
      <c r="AR4" s="59">
        <f>AS4*1800</f>
        <v>21600</v>
      </c>
      <c r="AS4" s="35">
        <v>12</v>
      </c>
    </row>
    <row r="5" spans="1:45" ht="16" x14ac:dyDescent="0.2">
      <c r="A5" s="53">
        <v>2</v>
      </c>
      <c r="B5" s="54" t="s">
        <v>23</v>
      </c>
      <c r="C5" s="55" t="s">
        <v>26</v>
      </c>
      <c r="D5" s="350"/>
      <c r="E5" s="53"/>
      <c r="F5" s="56"/>
      <c r="G5" s="53"/>
      <c r="H5" s="56"/>
      <c r="I5" s="57"/>
      <c r="J5" s="53"/>
      <c r="K5" s="56"/>
      <c r="L5" s="57"/>
      <c r="M5" s="58"/>
      <c r="N5" s="56"/>
      <c r="O5" s="57"/>
      <c r="P5" s="58">
        <f t="shared" ref="P5:P68" si="0">Q5/2500</f>
        <v>0</v>
      </c>
      <c r="Q5" s="59">
        <f t="shared" ref="Q5:Q68" si="1">R5*1800</f>
        <v>0</v>
      </c>
      <c r="R5" s="35">
        <v>0</v>
      </c>
      <c r="S5" s="19">
        <v>0</v>
      </c>
      <c r="T5" s="23">
        <v>0</v>
      </c>
      <c r="U5" s="24">
        <v>0</v>
      </c>
      <c r="V5" s="33">
        <v>0</v>
      </c>
      <c r="W5" s="34">
        <v>0</v>
      </c>
      <c r="X5" s="35">
        <v>0</v>
      </c>
      <c r="Y5" s="19">
        <v>0</v>
      </c>
      <c r="Z5" s="23">
        <v>0</v>
      </c>
      <c r="AA5" s="24">
        <v>0</v>
      </c>
      <c r="AB5" s="33">
        <v>0</v>
      </c>
      <c r="AC5" s="34">
        <v>0</v>
      </c>
      <c r="AD5" s="35">
        <v>0</v>
      </c>
      <c r="AE5" s="36">
        <v>0</v>
      </c>
      <c r="AF5" s="23">
        <v>0</v>
      </c>
      <c r="AG5" s="24">
        <v>0</v>
      </c>
      <c r="AH5" s="33">
        <v>0</v>
      </c>
      <c r="AI5" s="37">
        <v>0</v>
      </c>
      <c r="AJ5" s="35">
        <v>0</v>
      </c>
      <c r="AK5" s="36">
        <v>0</v>
      </c>
      <c r="AL5" s="38">
        <v>0</v>
      </c>
      <c r="AM5" s="35">
        <v>0</v>
      </c>
      <c r="AN5" s="19">
        <v>0</v>
      </c>
      <c r="AO5" s="23">
        <v>0</v>
      </c>
      <c r="AP5" s="24">
        <v>0</v>
      </c>
      <c r="AQ5" s="58">
        <f t="shared" ref="AQ5:AQ68" si="2">AR5/2500</f>
        <v>0</v>
      </c>
      <c r="AR5" s="59">
        <f t="shared" ref="AR5:AR68" si="3">AS5*1800</f>
        <v>0</v>
      </c>
      <c r="AS5" s="35">
        <v>0</v>
      </c>
    </row>
    <row r="6" spans="1:45" ht="16" x14ac:dyDescent="0.2">
      <c r="A6" s="53">
        <v>3</v>
      </c>
      <c r="B6" s="54" t="s">
        <v>23</v>
      </c>
      <c r="C6" s="55" t="s">
        <v>27</v>
      </c>
      <c r="D6" s="350"/>
      <c r="E6" s="53"/>
      <c r="F6" s="56"/>
      <c r="G6" s="53"/>
      <c r="H6" s="56"/>
      <c r="I6" s="57"/>
      <c r="J6" s="53"/>
      <c r="K6" s="56"/>
      <c r="L6" s="57"/>
      <c r="M6" s="58"/>
      <c r="N6" s="56"/>
      <c r="O6" s="57"/>
      <c r="P6" s="58">
        <f t="shared" si="0"/>
        <v>0</v>
      </c>
      <c r="Q6" s="59">
        <f t="shared" si="1"/>
        <v>0</v>
      </c>
      <c r="R6" s="35">
        <v>0</v>
      </c>
      <c r="S6" s="19">
        <v>0</v>
      </c>
      <c r="T6" s="23">
        <v>0</v>
      </c>
      <c r="U6" s="24">
        <v>0</v>
      </c>
      <c r="V6" s="33">
        <v>0</v>
      </c>
      <c r="W6" s="34">
        <v>0</v>
      </c>
      <c r="X6" s="35">
        <v>0</v>
      </c>
      <c r="Y6" s="19">
        <v>0</v>
      </c>
      <c r="Z6" s="23">
        <v>0</v>
      </c>
      <c r="AA6" s="24">
        <v>0</v>
      </c>
      <c r="AB6" s="33">
        <v>0</v>
      </c>
      <c r="AC6" s="34">
        <v>0</v>
      </c>
      <c r="AD6" s="35">
        <v>0</v>
      </c>
      <c r="AE6" s="36">
        <v>0</v>
      </c>
      <c r="AF6" s="23">
        <v>0</v>
      </c>
      <c r="AG6" s="24">
        <v>0</v>
      </c>
      <c r="AH6" s="33">
        <v>0</v>
      </c>
      <c r="AI6" s="37">
        <v>0</v>
      </c>
      <c r="AJ6" s="35">
        <v>0</v>
      </c>
      <c r="AK6" s="36">
        <v>0</v>
      </c>
      <c r="AL6" s="38">
        <v>0</v>
      </c>
      <c r="AM6" s="35">
        <v>0</v>
      </c>
      <c r="AN6" s="19">
        <v>0</v>
      </c>
      <c r="AO6" s="23">
        <v>0</v>
      </c>
      <c r="AP6" s="24">
        <v>0</v>
      </c>
      <c r="AQ6" s="58">
        <f t="shared" si="2"/>
        <v>0</v>
      </c>
      <c r="AR6" s="59">
        <f t="shared" si="3"/>
        <v>0</v>
      </c>
      <c r="AS6" s="35">
        <v>0</v>
      </c>
    </row>
    <row r="7" spans="1:45" ht="16" x14ac:dyDescent="0.2">
      <c r="A7" s="53">
        <v>4</v>
      </c>
      <c r="B7" s="54" t="s">
        <v>23</v>
      </c>
      <c r="C7" s="55" t="s">
        <v>28</v>
      </c>
      <c r="D7" s="350"/>
      <c r="E7" s="53"/>
      <c r="F7" s="56"/>
      <c r="G7" s="53"/>
      <c r="H7" s="56"/>
      <c r="I7" s="57"/>
      <c r="J7" s="53"/>
      <c r="K7" s="56"/>
      <c r="L7" s="57"/>
      <c r="M7" s="58"/>
      <c r="N7" s="56"/>
      <c r="O7" s="57"/>
      <c r="P7" s="58">
        <f t="shared" si="0"/>
        <v>10.08</v>
      </c>
      <c r="Q7" s="59">
        <f t="shared" si="1"/>
        <v>25200</v>
      </c>
      <c r="R7" s="35">
        <v>14</v>
      </c>
      <c r="S7" s="19">
        <v>0</v>
      </c>
      <c r="T7" s="23">
        <v>0</v>
      </c>
      <c r="U7" s="24">
        <v>0</v>
      </c>
      <c r="V7" s="33">
        <v>0</v>
      </c>
      <c r="W7" s="34">
        <v>0</v>
      </c>
      <c r="X7" s="35">
        <v>0</v>
      </c>
      <c r="Y7" s="19">
        <v>0</v>
      </c>
      <c r="Z7" s="23">
        <v>0</v>
      </c>
      <c r="AA7" s="24">
        <v>0</v>
      </c>
      <c r="AB7" s="33">
        <v>0</v>
      </c>
      <c r="AC7" s="34">
        <v>0</v>
      </c>
      <c r="AD7" s="35">
        <v>0</v>
      </c>
      <c r="AE7" s="36">
        <v>0</v>
      </c>
      <c r="AF7" s="23">
        <v>0</v>
      </c>
      <c r="AG7" s="24">
        <v>0</v>
      </c>
      <c r="AH7" s="33">
        <v>0</v>
      </c>
      <c r="AI7" s="37">
        <v>0</v>
      </c>
      <c r="AJ7" s="35">
        <v>0</v>
      </c>
      <c r="AK7" s="36">
        <v>0</v>
      </c>
      <c r="AL7" s="38">
        <v>0</v>
      </c>
      <c r="AM7" s="35">
        <v>0</v>
      </c>
      <c r="AN7" s="19">
        <v>0</v>
      </c>
      <c r="AO7" s="23">
        <v>0</v>
      </c>
      <c r="AP7" s="24">
        <v>0</v>
      </c>
      <c r="AQ7" s="58">
        <f t="shared" si="2"/>
        <v>10.08</v>
      </c>
      <c r="AR7" s="59">
        <f t="shared" si="3"/>
        <v>25200</v>
      </c>
      <c r="AS7" s="35">
        <v>14</v>
      </c>
    </row>
    <row r="8" spans="1:45" ht="16" x14ac:dyDescent="0.2">
      <c r="A8" s="53">
        <v>5</v>
      </c>
      <c r="B8" s="54" t="s">
        <v>23</v>
      </c>
      <c r="C8" s="55" t="s">
        <v>29</v>
      </c>
      <c r="D8" s="350"/>
      <c r="E8" s="53"/>
      <c r="F8" s="56"/>
      <c r="G8" s="53"/>
      <c r="H8" s="56"/>
      <c r="I8" s="57"/>
      <c r="J8" s="53"/>
      <c r="K8" s="56"/>
      <c r="L8" s="57"/>
      <c r="M8" s="58"/>
      <c r="N8" s="56"/>
      <c r="O8" s="57"/>
      <c r="P8" s="58">
        <f t="shared" si="0"/>
        <v>0</v>
      </c>
      <c r="Q8" s="59">
        <f t="shared" si="1"/>
        <v>0</v>
      </c>
      <c r="R8" s="35">
        <v>0</v>
      </c>
      <c r="S8" s="19">
        <v>0</v>
      </c>
      <c r="T8" s="23">
        <v>0</v>
      </c>
      <c r="U8" s="24">
        <v>0</v>
      </c>
      <c r="V8" s="33">
        <v>0</v>
      </c>
      <c r="W8" s="34">
        <v>0</v>
      </c>
      <c r="X8" s="35">
        <v>0</v>
      </c>
      <c r="Y8" s="19">
        <v>0</v>
      </c>
      <c r="Z8" s="23">
        <v>0</v>
      </c>
      <c r="AA8" s="24">
        <v>0</v>
      </c>
      <c r="AB8" s="33">
        <v>0</v>
      </c>
      <c r="AC8" s="34">
        <v>0</v>
      </c>
      <c r="AD8" s="35">
        <v>0</v>
      </c>
      <c r="AE8" s="36">
        <v>0</v>
      </c>
      <c r="AF8" s="23">
        <v>0</v>
      </c>
      <c r="AG8" s="24">
        <v>0</v>
      </c>
      <c r="AH8" s="33">
        <v>0</v>
      </c>
      <c r="AI8" s="37">
        <v>0</v>
      </c>
      <c r="AJ8" s="35">
        <v>0</v>
      </c>
      <c r="AK8" s="36">
        <v>0</v>
      </c>
      <c r="AL8" s="38">
        <v>0</v>
      </c>
      <c r="AM8" s="35">
        <v>0</v>
      </c>
      <c r="AN8" s="19">
        <v>0</v>
      </c>
      <c r="AO8" s="23">
        <v>0</v>
      </c>
      <c r="AP8" s="24">
        <v>0</v>
      </c>
      <c r="AQ8" s="58">
        <f t="shared" si="2"/>
        <v>0</v>
      </c>
      <c r="AR8" s="59">
        <f t="shared" si="3"/>
        <v>0</v>
      </c>
      <c r="AS8" s="35">
        <v>0</v>
      </c>
    </row>
    <row r="9" spans="1:45" ht="16" x14ac:dyDescent="0.2">
      <c r="A9" s="53">
        <v>6</v>
      </c>
      <c r="B9" s="54" t="s">
        <v>23</v>
      </c>
      <c r="C9" s="55" t="s">
        <v>30</v>
      </c>
      <c r="D9" s="350"/>
      <c r="E9" s="53"/>
      <c r="F9" s="56"/>
      <c r="G9" s="53"/>
      <c r="H9" s="56"/>
      <c r="I9" s="57"/>
      <c r="J9" s="53"/>
      <c r="K9" s="56"/>
      <c r="L9" s="57"/>
      <c r="M9" s="58"/>
      <c r="N9" s="56"/>
      <c r="O9" s="57"/>
      <c r="P9" s="58">
        <f t="shared" si="0"/>
        <v>5.04</v>
      </c>
      <c r="Q9" s="59">
        <f t="shared" si="1"/>
        <v>12600</v>
      </c>
      <c r="R9" s="35">
        <v>7</v>
      </c>
      <c r="S9" s="19">
        <v>0</v>
      </c>
      <c r="T9" s="23">
        <v>0</v>
      </c>
      <c r="U9" s="24">
        <v>0</v>
      </c>
      <c r="V9" s="33">
        <v>0</v>
      </c>
      <c r="W9" s="34">
        <v>0</v>
      </c>
      <c r="X9" s="35">
        <v>0</v>
      </c>
      <c r="Y9" s="19">
        <v>0</v>
      </c>
      <c r="Z9" s="23">
        <v>0</v>
      </c>
      <c r="AA9" s="24">
        <v>0</v>
      </c>
      <c r="AB9" s="33">
        <v>0</v>
      </c>
      <c r="AC9" s="34">
        <v>0</v>
      </c>
      <c r="AD9" s="35">
        <v>0</v>
      </c>
      <c r="AE9" s="36">
        <v>0</v>
      </c>
      <c r="AF9" s="23">
        <v>0</v>
      </c>
      <c r="AG9" s="24">
        <v>0</v>
      </c>
      <c r="AH9" s="33">
        <v>0</v>
      </c>
      <c r="AI9" s="37">
        <v>0</v>
      </c>
      <c r="AJ9" s="35">
        <v>0</v>
      </c>
      <c r="AK9" s="36">
        <v>0</v>
      </c>
      <c r="AL9" s="38">
        <v>0</v>
      </c>
      <c r="AM9" s="35">
        <v>0</v>
      </c>
      <c r="AN9" s="19">
        <v>0</v>
      </c>
      <c r="AO9" s="23">
        <v>0</v>
      </c>
      <c r="AP9" s="24">
        <v>0</v>
      </c>
      <c r="AQ9" s="58">
        <f t="shared" si="2"/>
        <v>5.04</v>
      </c>
      <c r="AR9" s="59">
        <f t="shared" si="3"/>
        <v>12600</v>
      </c>
      <c r="AS9" s="35">
        <v>7</v>
      </c>
    </row>
    <row r="10" spans="1:45" ht="16" x14ac:dyDescent="0.2">
      <c r="A10" s="53">
        <v>7</v>
      </c>
      <c r="B10" s="54" t="s">
        <v>23</v>
      </c>
      <c r="C10" s="55" t="s">
        <v>31</v>
      </c>
      <c r="D10" s="350"/>
      <c r="E10" s="53"/>
      <c r="F10" s="56"/>
      <c r="G10" s="53"/>
      <c r="H10" s="56"/>
      <c r="I10" s="57"/>
      <c r="J10" s="53"/>
      <c r="K10" s="56"/>
      <c r="L10" s="57"/>
      <c r="M10" s="58"/>
      <c r="N10" s="56"/>
      <c r="O10" s="57"/>
      <c r="P10" s="58">
        <f t="shared" si="0"/>
        <v>0</v>
      </c>
      <c r="Q10" s="59">
        <f t="shared" si="1"/>
        <v>0</v>
      </c>
      <c r="R10" s="35">
        <v>0</v>
      </c>
      <c r="S10" s="19">
        <v>0</v>
      </c>
      <c r="T10" s="23">
        <v>0</v>
      </c>
      <c r="U10" s="24">
        <v>0</v>
      </c>
      <c r="V10" s="33">
        <v>0</v>
      </c>
      <c r="W10" s="34">
        <v>0</v>
      </c>
      <c r="X10" s="35">
        <v>0</v>
      </c>
      <c r="Y10" s="19">
        <v>0</v>
      </c>
      <c r="Z10" s="23">
        <v>0</v>
      </c>
      <c r="AA10" s="24">
        <v>0</v>
      </c>
      <c r="AB10" s="33">
        <v>0</v>
      </c>
      <c r="AC10" s="34">
        <v>0</v>
      </c>
      <c r="AD10" s="35">
        <v>0</v>
      </c>
      <c r="AE10" s="36">
        <v>0</v>
      </c>
      <c r="AF10" s="23">
        <v>0</v>
      </c>
      <c r="AG10" s="24">
        <v>0</v>
      </c>
      <c r="AH10" s="33">
        <v>0</v>
      </c>
      <c r="AI10" s="37">
        <v>0</v>
      </c>
      <c r="AJ10" s="35">
        <v>0</v>
      </c>
      <c r="AK10" s="36">
        <v>0</v>
      </c>
      <c r="AL10" s="38">
        <v>0</v>
      </c>
      <c r="AM10" s="35">
        <v>0</v>
      </c>
      <c r="AN10" s="19">
        <v>0</v>
      </c>
      <c r="AO10" s="23">
        <v>0</v>
      </c>
      <c r="AP10" s="24">
        <v>0</v>
      </c>
      <c r="AQ10" s="58">
        <f t="shared" si="2"/>
        <v>0</v>
      </c>
      <c r="AR10" s="59">
        <f t="shared" si="3"/>
        <v>0</v>
      </c>
      <c r="AS10" s="35">
        <v>0</v>
      </c>
    </row>
    <row r="11" spans="1:45" ht="16" x14ac:dyDescent="0.2">
      <c r="A11" s="53">
        <v>8</v>
      </c>
      <c r="B11" s="54" t="s">
        <v>23</v>
      </c>
      <c r="C11" s="55" t="s">
        <v>32</v>
      </c>
      <c r="D11" s="350"/>
      <c r="E11" s="53"/>
      <c r="F11" s="56"/>
      <c r="G11" s="53"/>
      <c r="H11" s="56"/>
      <c r="I11" s="57"/>
      <c r="J11" s="53"/>
      <c r="K11" s="56"/>
      <c r="L11" s="57"/>
      <c r="M11" s="58"/>
      <c r="N11" s="56"/>
      <c r="O11" s="57"/>
      <c r="P11" s="58">
        <f t="shared" si="0"/>
        <v>0</v>
      </c>
      <c r="Q11" s="59">
        <f t="shared" si="1"/>
        <v>0</v>
      </c>
      <c r="R11" s="35">
        <v>0</v>
      </c>
      <c r="S11" s="19">
        <v>0</v>
      </c>
      <c r="T11" s="23">
        <v>0</v>
      </c>
      <c r="U11" s="24">
        <v>0</v>
      </c>
      <c r="V11" s="33">
        <v>0</v>
      </c>
      <c r="W11" s="34">
        <v>0</v>
      </c>
      <c r="X11" s="35">
        <v>0</v>
      </c>
      <c r="Y11" s="19">
        <v>0</v>
      </c>
      <c r="Z11" s="23">
        <v>0</v>
      </c>
      <c r="AA11" s="24">
        <v>0</v>
      </c>
      <c r="AB11" s="33">
        <v>0</v>
      </c>
      <c r="AC11" s="34">
        <v>0</v>
      </c>
      <c r="AD11" s="35">
        <v>0</v>
      </c>
      <c r="AE11" s="36">
        <v>0</v>
      </c>
      <c r="AF11" s="23">
        <v>0</v>
      </c>
      <c r="AG11" s="24">
        <v>0</v>
      </c>
      <c r="AH11" s="33">
        <v>0</v>
      </c>
      <c r="AI11" s="37">
        <v>0</v>
      </c>
      <c r="AJ11" s="35">
        <v>0</v>
      </c>
      <c r="AK11" s="36">
        <v>0</v>
      </c>
      <c r="AL11" s="38">
        <v>0</v>
      </c>
      <c r="AM11" s="35">
        <v>0</v>
      </c>
      <c r="AN11" s="19">
        <v>0</v>
      </c>
      <c r="AO11" s="23">
        <v>0</v>
      </c>
      <c r="AP11" s="24">
        <v>0</v>
      </c>
      <c r="AQ11" s="58">
        <f t="shared" si="2"/>
        <v>0</v>
      </c>
      <c r="AR11" s="59">
        <f t="shared" si="3"/>
        <v>0</v>
      </c>
      <c r="AS11" s="35">
        <v>0</v>
      </c>
    </row>
    <row r="12" spans="1:45" ht="16" x14ac:dyDescent="0.2">
      <c r="A12" s="53">
        <v>9</v>
      </c>
      <c r="B12" s="54" t="s">
        <v>23</v>
      </c>
      <c r="C12" s="55" t="s">
        <v>33</v>
      </c>
      <c r="D12" s="350"/>
      <c r="E12" s="53"/>
      <c r="F12" s="56"/>
      <c r="G12" s="53"/>
      <c r="H12" s="56"/>
      <c r="I12" s="57"/>
      <c r="J12" s="53"/>
      <c r="K12" s="56"/>
      <c r="L12" s="57"/>
      <c r="M12" s="58"/>
      <c r="N12" s="56"/>
      <c r="O12" s="57"/>
      <c r="P12" s="58">
        <f t="shared" si="0"/>
        <v>2.16</v>
      </c>
      <c r="Q12" s="59">
        <f t="shared" si="1"/>
        <v>5400</v>
      </c>
      <c r="R12" s="35">
        <v>3</v>
      </c>
      <c r="S12" s="19">
        <v>0</v>
      </c>
      <c r="T12" s="23">
        <v>0</v>
      </c>
      <c r="U12" s="24">
        <v>0</v>
      </c>
      <c r="V12" s="33">
        <v>0</v>
      </c>
      <c r="W12" s="34">
        <v>0</v>
      </c>
      <c r="X12" s="35">
        <v>0</v>
      </c>
      <c r="Y12" s="19">
        <v>0</v>
      </c>
      <c r="Z12" s="23">
        <v>0</v>
      </c>
      <c r="AA12" s="24">
        <v>0</v>
      </c>
      <c r="AB12" s="33">
        <v>0</v>
      </c>
      <c r="AC12" s="34">
        <v>0</v>
      </c>
      <c r="AD12" s="35">
        <v>0</v>
      </c>
      <c r="AE12" s="36">
        <v>0</v>
      </c>
      <c r="AF12" s="23">
        <v>0</v>
      </c>
      <c r="AG12" s="24">
        <v>0</v>
      </c>
      <c r="AH12" s="33">
        <v>0</v>
      </c>
      <c r="AI12" s="37">
        <v>0</v>
      </c>
      <c r="AJ12" s="35">
        <v>0</v>
      </c>
      <c r="AK12" s="36">
        <v>0</v>
      </c>
      <c r="AL12" s="38">
        <v>0</v>
      </c>
      <c r="AM12" s="35">
        <v>0</v>
      </c>
      <c r="AN12" s="19">
        <v>0</v>
      </c>
      <c r="AO12" s="23">
        <v>0</v>
      </c>
      <c r="AP12" s="24">
        <v>0</v>
      </c>
      <c r="AQ12" s="58">
        <f t="shared" si="2"/>
        <v>2.16</v>
      </c>
      <c r="AR12" s="59">
        <f t="shared" si="3"/>
        <v>5400</v>
      </c>
      <c r="AS12" s="35">
        <v>3</v>
      </c>
    </row>
    <row r="13" spans="1:45" ht="16" x14ac:dyDescent="0.2">
      <c r="A13" s="53">
        <v>10</v>
      </c>
      <c r="B13" s="54" t="s">
        <v>23</v>
      </c>
      <c r="C13" s="55" t="s">
        <v>34</v>
      </c>
      <c r="D13" s="350"/>
      <c r="E13" s="53"/>
      <c r="F13" s="56"/>
      <c r="G13" s="53"/>
      <c r="H13" s="56"/>
      <c r="I13" s="57"/>
      <c r="J13" s="53"/>
      <c r="K13" s="56"/>
      <c r="L13" s="57"/>
      <c r="M13" s="58"/>
      <c r="N13" s="56"/>
      <c r="O13" s="57"/>
      <c r="P13" s="58">
        <f t="shared" si="0"/>
        <v>0</v>
      </c>
      <c r="Q13" s="59">
        <f t="shared" si="1"/>
        <v>0</v>
      </c>
      <c r="R13" s="35">
        <v>0</v>
      </c>
      <c r="S13" s="19">
        <v>0</v>
      </c>
      <c r="T13" s="23">
        <v>0</v>
      </c>
      <c r="U13" s="24">
        <v>0</v>
      </c>
      <c r="V13" s="33">
        <v>0</v>
      </c>
      <c r="W13" s="34">
        <v>0</v>
      </c>
      <c r="X13" s="35">
        <v>0</v>
      </c>
      <c r="Y13" s="19">
        <v>0</v>
      </c>
      <c r="Z13" s="23">
        <v>0</v>
      </c>
      <c r="AA13" s="24">
        <v>0</v>
      </c>
      <c r="AB13" s="33">
        <v>0</v>
      </c>
      <c r="AC13" s="34">
        <v>0</v>
      </c>
      <c r="AD13" s="35">
        <v>0</v>
      </c>
      <c r="AE13" s="36">
        <v>0</v>
      </c>
      <c r="AF13" s="23">
        <v>0</v>
      </c>
      <c r="AG13" s="24">
        <v>0</v>
      </c>
      <c r="AH13" s="33">
        <v>0</v>
      </c>
      <c r="AI13" s="37">
        <v>0</v>
      </c>
      <c r="AJ13" s="35">
        <v>0</v>
      </c>
      <c r="AK13" s="36">
        <v>0</v>
      </c>
      <c r="AL13" s="38">
        <v>0</v>
      </c>
      <c r="AM13" s="35">
        <v>0</v>
      </c>
      <c r="AN13" s="19">
        <v>0</v>
      </c>
      <c r="AO13" s="23">
        <v>0</v>
      </c>
      <c r="AP13" s="24">
        <v>0</v>
      </c>
      <c r="AQ13" s="58">
        <f t="shared" si="2"/>
        <v>0</v>
      </c>
      <c r="AR13" s="59">
        <f t="shared" si="3"/>
        <v>0</v>
      </c>
      <c r="AS13" s="35">
        <v>0</v>
      </c>
    </row>
    <row r="14" spans="1:45" ht="16" x14ac:dyDescent="0.2">
      <c r="A14" s="53">
        <v>11</v>
      </c>
      <c r="B14" s="54" t="s">
        <v>23</v>
      </c>
      <c r="C14" s="55" t="s">
        <v>35</v>
      </c>
      <c r="D14" s="350"/>
      <c r="E14" s="53"/>
      <c r="F14" s="56"/>
      <c r="G14" s="53"/>
      <c r="H14" s="56"/>
      <c r="I14" s="57"/>
      <c r="J14" s="53"/>
      <c r="K14" s="56"/>
      <c r="L14" s="57"/>
      <c r="M14" s="58"/>
      <c r="N14" s="56"/>
      <c r="O14" s="57"/>
      <c r="P14" s="58">
        <f t="shared" si="0"/>
        <v>0.72</v>
      </c>
      <c r="Q14" s="59">
        <f t="shared" si="1"/>
        <v>1800</v>
      </c>
      <c r="R14" s="35">
        <v>1</v>
      </c>
      <c r="S14" s="19">
        <v>0</v>
      </c>
      <c r="T14" s="23">
        <v>0</v>
      </c>
      <c r="U14" s="24">
        <v>0</v>
      </c>
      <c r="V14" s="33">
        <v>0</v>
      </c>
      <c r="W14" s="34">
        <v>0</v>
      </c>
      <c r="X14" s="35">
        <v>0</v>
      </c>
      <c r="Y14" s="19">
        <v>0</v>
      </c>
      <c r="Z14" s="23">
        <v>0</v>
      </c>
      <c r="AA14" s="24">
        <v>0</v>
      </c>
      <c r="AB14" s="33">
        <v>0</v>
      </c>
      <c r="AC14" s="34">
        <v>0</v>
      </c>
      <c r="AD14" s="35">
        <v>0</v>
      </c>
      <c r="AE14" s="36">
        <v>0</v>
      </c>
      <c r="AF14" s="23">
        <v>0</v>
      </c>
      <c r="AG14" s="24">
        <v>0</v>
      </c>
      <c r="AH14" s="33">
        <v>0</v>
      </c>
      <c r="AI14" s="37">
        <v>0</v>
      </c>
      <c r="AJ14" s="35">
        <v>0</v>
      </c>
      <c r="AK14" s="36">
        <v>0</v>
      </c>
      <c r="AL14" s="38">
        <v>0</v>
      </c>
      <c r="AM14" s="35">
        <v>0</v>
      </c>
      <c r="AN14" s="19">
        <v>0</v>
      </c>
      <c r="AO14" s="23">
        <v>0</v>
      </c>
      <c r="AP14" s="24">
        <v>0</v>
      </c>
      <c r="AQ14" s="58">
        <f t="shared" si="2"/>
        <v>0.72</v>
      </c>
      <c r="AR14" s="59">
        <f t="shared" si="3"/>
        <v>1800</v>
      </c>
      <c r="AS14" s="35">
        <v>1</v>
      </c>
    </row>
    <row r="15" spans="1:45" ht="16" x14ac:dyDescent="0.2">
      <c r="A15" s="53">
        <v>12</v>
      </c>
      <c r="B15" s="54" t="s">
        <v>23</v>
      </c>
      <c r="C15" s="55" t="s">
        <v>36</v>
      </c>
      <c r="D15" s="350"/>
      <c r="E15" s="53"/>
      <c r="F15" s="56"/>
      <c r="G15" s="53"/>
      <c r="H15" s="56"/>
      <c r="I15" s="57"/>
      <c r="J15" s="53"/>
      <c r="K15" s="56"/>
      <c r="L15" s="57"/>
      <c r="M15" s="58"/>
      <c r="N15" s="56"/>
      <c r="O15" s="57"/>
      <c r="P15" s="58">
        <f t="shared" si="0"/>
        <v>0</v>
      </c>
      <c r="Q15" s="59">
        <f t="shared" si="1"/>
        <v>0</v>
      </c>
      <c r="R15" s="35">
        <v>0</v>
      </c>
      <c r="S15" s="19">
        <v>0</v>
      </c>
      <c r="T15" s="23">
        <v>0</v>
      </c>
      <c r="U15" s="24">
        <v>0</v>
      </c>
      <c r="V15" s="33">
        <v>0</v>
      </c>
      <c r="W15" s="34">
        <v>0</v>
      </c>
      <c r="X15" s="35">
        <v>0</v>
      </c>
      <c r="Y15" s="19">
        <v>0</v>
      </c>
      <c r="Z15" s="23">
        <v>0</v>
      </c>
      <c r="AA15" s="24">
        <v>0</v>
      </c>
      <c r="AB15" s="33">
        <v>0</v>
      </c>
      <c r="AC15" s="34">
        <v>0</v>
      </c>
      <c r="AD15" s="35">
        <v>0</v>
      </c>
      <c r="AE15" s="36">
        <v>0</v>
      </c>
      <c r="AF15" s="23">
        <v>0</v>
      </c>
      <c r="AG15" s="24">
        <v>0</v>
      </c>
      <c r="AH15" s="33">
        <v>0</v>
      </c>
      <c r="AI15" s="37">
        <v>0</v>
      </c>
      <c r="AJ15" s="35">
        <v>0</v>
      </c>
      <c r="AK15" s="36">
        <v>0</v>
      </c>
      <c r="AL15" s="38">
        <v>0</v>
      </c>
      <c r="AM15" s="35">
        <v>0</v>
      </c>
      <c r="AN15" s="19">
        <v>0</v>
      </c>
      <c r="AO15" s="23">
        <v>0</v>
      </c>
      <c r="AP15" s="24">
        <v>0</v>
      </c>
      <c r="AQ15" s="58">
        <f t="shared" si="2"/>
        <v>0</v>
      </c>
      <c r="AR15" s="59">
        <f t="shared" si="3"/>
        <v>0</v>
      </c>
      <c r="AS15" s="35">
        <v>0</v>
      </c>
    </row>
    <row r="16" spans="1:45" ht="16" x14ac:dyDescent="0.2">
      <c r="A16" s="53">
        <v>13</v>
      </c>
      <c r="B16" s="54" t="s">
        <v>23</v>
      </c>
      <c r="C16" s="55" t="s">
        <v>37</v>
      </c>
      <c r="D16" s="350"/>
      <c r="E16" s="53"/>
      <c r="F16" s="56"/>
      <c r="G16" s="53"/>
      <c r="H16" s="56"/>
      <c r="I16" s="57"/>
      <c r="J16" s="53"/>
      <c r="K16" s="56"/>
      <c r="L16" s="57"/>
      <c r="M16" s="58"/>
      <c r="N16" s="56"/>
      <c r="O16" s="57"/>
      <c r="P16" s="58">
        <f t="shared" si="0"/>
        <v>2.16</v>
      </c>
      <c r="Q16" s="59">
        <f t="shared" si="1"/>
        <v>5400</v>
      </c>
      <c r="R16" s="35">
        <v>3</v>
      </c>
      <c r="S16" s="19">
        <v>0</v>
      </c>
      <c r="T16" s="23">
        <v>0</v>
      </c>
      <c r="U16" s="24">
        <v>0</v>
      </c>
      <c r="V16" s="33">
        <v>0</v>
      </c>
      <c r="W16" s="34">
        <v>0</v>
      </c>
      <c r="X16" s="35">
        <v>0</v>
      </c>
      <c r="Y16" s="19">
        <v>0</v>
      </c>
      <c r="Z16" s="23">
        <v>0</v>
      </c>
      <c r="AA16" s="24">
        <v>0</v>
      </c>
      <c r="AB16" s="33">
        <v>0</v>
      </c>
      <c r="AC16" s="34">
        <v>0</v>
      </c>
      <c r="AD16" s="35">
        <v>0</v>
      </c>
      <c r="AE16" s="36">
        <v>0</v>
      </c>
      <c r="AF16" s="23">
        <v>0</v>
      </c>
      <c r="AG16" s="24">
        <v>0</v>
      </c>
      <c r="AH16" s="33">
        <v>0</v>
      </c>
      <c r="AI16" s="37">
        <v>0</v>
      </c>
      <c r="AJ16" s="35">
        <v>0</v>
      </c>
      <c r="AK16" s="36">
        <v>0</v>
      </c>
      <c r="AL16" s="38">
        <v>0</v>
      </c>
      <c r="AM16" s="35">
        <v>0</v>
      </c>
      <c r="AN16" s="19">
        <v>0</v>
      </c>
      <c r="AO16" s="23">
        <v>0</v>
      </c>
      <c r="AP16" s="24">
        <v>0</v>
      </c>
      <c r="AQ16" s="58">
        <f t="shared" si="2"/>
        <v>2.16</v>
      </c>
      <c r="AR16" s="59">
        <f t="shared" si="3"/>
        <v>5400</v>
      </c>
      <c r="AS16" s="35">
        <v>3</v>
      </c>
    </row>
    <row r="17" spans="1:45" ht="16" x14ac:dyDescent="0.2">
      <c r="A17" s="53">
        <v>14</v>
      </c>
      <c r="B17" s="54" t="s">
        <v>23</v>
      </c>
      <c r="C17" s="55" t="s">
        <v>38</v>
      </c>
      <c r="D17" s="350"/>
      <c r="E17" s="53"/>
      <c r="F17" s="56"/>
      <c r="G17" s="53"/>
      <c r="H17" s="56"/>
      <c r="I17" s="57"/>
      <c r="J17" s="53"/>
      <c r="K17" s="56"/>
      <c r="L17" s="57"/>
      <c r="M17" s="58"/>
      <c r="N17" s="56"/>
      <c r="O17" s="57"/>
      <c r="P17" s="58">
        <f t="shared" si="0"/>
        <v>2.16</v>
      </c>
      <c r="Q17" s="59">
        <f t="shared" si="1"/>
        <v>5400</v>
      </c>
      <c r="R17" s="35">
        <v>3</v>
      </c>
      <c r="S17" s="19">
        <v>0</v>
      </c>
      <c r="T17" s="23">
        <v>0</v>
      </c>
      <c r="U17" s="24">
        <v>0</v>
      </c>
      <c r="V17" s="33">
        <v>0</v>
      </c>
      <c r="W17" s="34">
        <v>0</v>
      </c>
      <c r="X17" s="35">
        <v>0</v>
      </c>
      <c r="Y17" s="19">
        <v>0</v>
      </c>
      <c r="Z17" s="23">
        <v>0</v>
      </c>
      <c r="AA17" s="24">
        <v>0</v>
      </c>
      <c r="AB17" s="33">
        <v>0</v>
      </c>
      <c r="AC17" s="34">
        <v>0</v>
      </c>
      <c r="AD17" s="35">
        <v>0</v>
      </c>
      <c r="AE17" s="36">
        <v>0</v>
      </c>
      <c r="AF17" s="23">
        <v>0</v>
      </c>
      <c r="AG17" s="24">
        <v>0</v>
      </c>
      <c r="AH17" s="33">
        <v>0</v>
      </c>
      <c r="AI17" s="37">
        <v>0</v>
      </c>
      <c r="AJ17" s="35">
        <v>0</v>
      </c>
      <c r="AK17" s="36">
        <v>0</v>
      </c>
      <c r="AL17" s="38">
        <v>0</v>
      </c>
      <c r="AM17" s="35">
        <v>0</v>
      </c>
      <c r="AN17" s="19">
        <v>0</v>
      </c>
      <c r="AO17" s="23">
        <v>0</v>
      </c>
      <c r="AP17" s="24">
        <v>0</v>
      </c>
      <c r="AQ17" s="58">
        <f t="shared" si="2"/>
        <v>2.16</v>
      </c>
      <c r="AR17" s="59">
        <f t="shared" si="3"/>
        <v>5400</v>
      </c>
      <c r="AS17" s="35">
        <v>3</v>
      </c>
    </row>
    <row r="18" spans="1:45" ht="16" x14ac:dyDescent="0.2">
      <c r="A18" s="53">
        <v>15</v>
      </c>
      <c r="B18" s="54" t="s">
        <v>23</v>
      </c>
      <c r="C18" s="55" t="s">
        <v>39</v>
      </c>
      <c r="D18" s="350"/>
      <c r="E18" s="53"/>
      <c r="F18" s="56"/>
      <c r="G18" s="53"/>
      <c r="H18" s="56"/>
      <c r="I18" s="57"/>
      <c r="J18" s="53"/>
      <c r="K18" s="56"/>
      <c r="L18" s="57"/>
      <c r="M18" s="58"/>
      <c r="N18" s="56"/>
      <c r="O18" s="57"/>
      <c r="P18" s="58">
        <f t="shared" si="0"/>
        <v>0</v>
      </c>
      <c r="Q18" s="59">
        <f t="shared" si="1"/>
        <v>0</v>
      </c>
      <c r="R18" s="35">
        <v>0</v>
      </c>
      <c r="S18" s="19">
        <v>0</v>
      </c>
      <c r="T18" s="23">
        <v>0</v>
      </c>
      <c r="U18" s="24">
        <v>0</v>
      </c>
      <c r="V18" s="33">
        <v>0</v>
      </c>
      <c r="W18" s="34">
        <v>0</v>
      </c>
      <c r="X18" s="35">
        <v>0</v>
      </c>
      <c r="Y18" s="19">
        <v>0</v>
      </c>
      <c r="Z18" s="23">
        <v>0</v>
      </c>
      <c r="AA18" s="24">
        <v>0</v>
      </c>
      <c r="AB18" s="33">
        <v>0</v>
      </c>
      <c r="AC18" s="34">
        <v>0</v>
      </c>
      <c r="AD18" s="35">
        <v>0</v>
      </c>
      <c r="AE18" s="36">
        <v>0</v>
      </c>
      <c r="AF18" s="23">
        <v>0</v>
      </c>
      <c r="AG18" s="24">
        <v>0</v>
      </c>
      <c r="AH18" s="33">
        <v>0</v>
      </c>
      <c r="AI18" s="37">
        <v>0</v>
      </c>
      <c r="AJ18" s="35">
        <v>0</v>
      </c>
      <c r="AK18" s="36">
        <v>0</v>
      </c>
      <c r="AL18" s="38">
        <v>0</v>
      </c>
      <c r="AM18" s="35">
        <v>0</v>
      </c>
      <c r="AN18" s="19">
        <v>0</v>
      </c>
      <c r="AO18" s="23">
        <v>0</v>
      </c>
      <c r="AP18" s="24">
        <v>0</v>
      </c>
      <c r="AQ18" s="58">
        <f t="shared" si="2"/>
        <v>0</v>
      </c>
      <c r="AR18" s="59">
        <f t="shared" si="3"/>
        <v>0</v>
      </c>
      <c r="AS18" s="35">
        <v>0</v>
      </c>
    </row>
    <row r="19" spans="1:45" ht="16" x14ac:dyDescent="0.2">
      <c r="A19" s="53">
        <v>16</v>
      </c>
      <c r="B19" s="54" t="s">
        <v>23</v>
      </c>
      <c r="C19" s="55" t="s">
        <v>40</v>
      </c>
      <c r="D19" s="350"/>
      <c r="E19" s="53"/>
      <c r="F19" s="56"/>
      <c r="G19" s="53"/>
      <c r="H19" s="56"/>
      <c r="I19" s="57"/>
      <c r="J19" s="53"/>
      <c r="K19" s="56"/>
      <c r="L19" s="57"/>
      <c r="M19" s="58"/>
      <c r="N19" s="56"/>
      <c r="O19" s="57"/>
      <c r="P19" s="58">
        <f t="shared" si="0"/>
        <v>0</v>
      </c>
      <c r="Q19" s="59">
        <f t="shared" si="1"/>
        <v>0</v>
      </c>
      <c r="R19" s="35">
        <v>0</v>
      </c>
      <c r="S19" s="19">
        <v>0</v>
      </c>
      <c r="T19" s="23">
        <v>0</v>
      </c>
      <c r="U19" s="24">
        <v>0</v>
      </c>
      <c r="V19" s="33">
        <v>0</v>
      </c>
      <c r="W19" s="34">
        <v>0</v>
      </c>
      <c r="X19" s="35">
        <v>0</v>
      </c>
      <c r="Y19" s="19">
        <v>0</v>
      </c>
      <c r="Z19" s="23">
        <v>0</v>
      </c>
      <c r="AA19" s="24">
        <v>0</v>
      </c>
      <c r="AB19" s="33">
        <v>0</v>
      </c>
      <c r="AC19" s="34">
        <v>0</v>
      </c>
      <c r="AD19" s="35">
        <v>0</v>
      </c>
      <c r="AE19" s="36">
        <v>0</v>
      </c>
      <c r="AF19" s="23">
        <v>0</v>
      </c>
      <c r="AG19" s="24">
        <v>0</v>
      </c>
      <c r="AH19" s="33">
        <v>0</v>
      </c>
      <c r="AI19" s="37">
        <v>0</v>
      </c>
      <c r="AJ19" s="35">
        <v>0</v>
      </c>
      <c r="AK19" s="36">
        <v>0</v>
      </c>
      <c r="AL19" s="38">
        <v>0</v>
      </c>
      <c r="AM19" s="35">
        <v>0</v>
      </c>
      <c r="AN19" s="19">
        <v>0</v>
      </c>
      <c r="AO19" s="23">
        <v>0</v>
      </c>
      <c r="AP19" s="24">
        <v>0</v>
      </c>
      <c r="AQ19" s="58">
        <f t="shared" si="2"/>
        <v>0</v>
      </c>
      <c r="AR19" s="59">
        <f t="shared" si="3"/>
        <v>0</v>
      </c>
      <c r="AS19" s="35">
        <v>0</v>
      </c>
    </row>
    <row r="20" spans="1:45" ht="16" x14ac:dyDescent="0.2">
      <c r="A20" s="53">
        <v>17</v>
      </c>
      <c r="B20" s="55" t="s">
        <v>23</v>
      </c>
      <c r="C20" s="54" t="s">
        <v>41</v>
      </c>
      <c r="D20" s="350"/>
      <c r="E20" s="53"/>
      <c r="F20" s="56"/>
      <c r="G20" s="53"/>
      <c r="H20" s="56"/>
      <c r="I20" s="57"/>
      <c r="J20" s="53"/>
      <c r="K20" s="56"/>
      <c r="L20" s="57"/>
      <c r="M20" s="58"/>
      <c r="N20" s="56"/>
      <c r="O20" s="57"/>
      <c r="P20" s="58">
        <f t="shared" si="0"/>
        <v>0</v>
      </c>
      <c r="Q20" s="59">
        <f t="shared" si="1"/>
        <v>0</v>
      </c>
      <c r="R20" s="35">
        <v>0</v>
      </c>
      <c r="S20" s="19">
        <v>0</v>
      </c>
      <c r="T20" s="23">
        <v>0</v>
      </c>
      <c r="U20" s="24">
        <v>0</v>
      </c>
      <c r="V20" s="33">
        <v>0</v>
      </c>
      <c r="W20" s="34">
        <v>0</v>
      </c>
      <c r="X20" s="35">
        <v>0</v>
      </c>
      <c r="Y20" s="19">
        <v>0</v>
      </c>
      <c r="Z20" s="23">
        <v>0</v>
      </c>
      <c r="AA20" s="24">
        <v>0</v>
      </c>
      <c r="AB20" s="33">
        <v>0</v>
      </c>
      <c r="AC20" s="34">
        <v>0</v>
      </c>
      <c r="AD20" s="35">
        <v>0</v>
      </c>
      <c r="AE20" s="36">
        <v>0</v>
      </c>
      <c r="AF20" s="23">
        <v>0</v>
      </c>
      <c r="AG20" s="24">
        <v>0</v>
      </c>
      <c r="AH20" s="33">
        <v>0</v>
      </c>
      <c r="AI20" s="37">
        <v>0</v>
      </c>
      <c r="AJ20" s="35">
        <v>0</v>
      </c>
      <c r="AK20" s="36">
        <v>0</v>
      </c>
      <c r="AL20" s="38">
        <v>0</v>
      </c>
      <c r="AM20" s="35">
        <v>0</v>
      </c>
      <c r="AN20" s="19">
        <v>0</v>
      </c>
      <c r="AO20" s="23">
        <v>0</v>
      </c>
      <c r="AP20" s="24">
        <v>0</v>
      </c>
      <c r="AQ20" s="58">
        <f t="shared" si="2"/>
        <v>0</v>
      </c>
      <c r="AR20" s="59">
        <f t="shared" si="3"/>
        <v>0</v>
      </c>
      <c r="AS20" s="35">
        <v>0</v>
      </c>
    </row>
    <row r="21" spans="1:45" ht="16" x14ac:dyDescent="0.2">
      <c r="A21" s="53">
        <v>18</v>
      </c>
      <c r="B21" s="55" t="s">
        <v>42</v>
      </c>
      <c r="C21" s="54" t="s">
        <v>43</v>
      </c>
      <c r="D21" s="350" t="s">
        <v>25</v>
      </c>
      <c r="E21" s="53"/>
      <c r="F21" s="56"/>
      <c r="G21" s="53"/>
      <c r="H21" s="56"/>
      <c r="I21" s="57"/>
      <c r="J21" s="53"/>
      <c r="K21" s="56"/>
      <c r="L21" s="57"/>
      <c r="M21" s="58"/>
      <c r="N21" s="56"/>
      <c r="O21" s="57"/>
      <c r="P21" s="58">
        <f t="shared" si="0"/>
        <v>5.04</v>
      </c>
      <c r="Q21" s="59">
        <f t="shared" si="1"/>
        <v>12600</v>
      </c>
      <c r="R21" s="35">
        <v>7</v>
      </c>
      <c r="S21" s="19">
        <v>0</v>
      </c>
      <c r="T21" s="23">
        <v>0</v>
      </c>
      <c r="U21" s="24">
        <v>0</v>
      </c>
      <c r="V21" s="33">
        <v>0</v>
      </c>
      <c r="W21" s="34">
        <v>0</v>
      </c>
      <c r="X21" s="35">
        <v>0</v>
      </c>
      <c r="Y21" s="19">
        <v>0</v>
      </c>
      <c r="Z21" s="23">
        <v>0</v>
      </c>
      <c r="AA21" s="24">
        <v>0</v>
      </c>
      <c r="AB21" s="33">
        <v>0</v>
      </c>
      <c r="AC21" s="34">
        <v>0</v>
      </c>
      <c r="AD21" s="35">
        <v>0</v>
      </c>
      <c r="AE21" s="36">
        <v>0</v>
      </c>
      <c r="AF21" s="23">
        <v>0</v>
      </c>
      <c r="AG21" s="24">
        <v>0</v>
      </c>
      <c r="AH21" s="33">
        <v>0</v>
      </c>
      <c r="AI21" s="37">
        <v>0</v>
      </c>
      <c r="AJ21" s="35">
        <v>0</v>
      </c>
      <c r="AK21" s="36">
        <v>0</v>
      </c>
      <c r="AL21" s="38">
        <v>0</v>
      </c>
      <c r="AM21" s="35">
        <v>0</v>
      </c>
      <c r="AN21" s="19">
        <v>0</v>
      </c>
      <c r="AO21" s="23">
        <v>0</v>
      </c>
      <c r="AP21" s="24">
        <v>0</v>
      </c>
      <c r="AQ21" s="58">
        <f t="shared" si="2"/>
        <v>5.04</v>
      </c>
      <c r="AR21" s="59">
        <f t="shared" si="3"/>
        <v>12600</v>
      </c>
      <c r="AS21" s="35">
        <v>7</v>
      </c>
    </row>
    <row r="22" spans="1:45" ht="16" x14ac:dyDescent="0.2">
      <c r="A22" s="53">
        <v>19</v>
      </c>
      <c r="B22" s="55" t="s">
        <v>42</v>
      </c>
      <c r="C22" s="54" t="s">
        <v>44</v>
      </c>
      <c r="D22" s="350"/>
      <c r="E22" s="53"/>
      <c r="F22" s="56"/>
      <c r="G22" s="53"/>
      <c r="H22" s="56"/>
      <c r="I22" s="57"/>
      <c r="J22" s="53"/>
      <c r="K22" s="56"/>
      <c r="L22" s="57"/>
      <c r="M22" s="58"/>
      <c r="N22" s="56"/>
      <c r="O22" s="57"/>
      <c r="P22" s="58">
        <f t="shared" si="0"/>
        <v>5.76</v>
      </c>
      <c r="Q22" s="59">
        <f t="shared" si="1"/>
        <v>14400</v>
      </c>
      <c r="R22" s="35">
        <v>8</v>
      </c>
      <c r="S22" s="19">
        <v>0</v>
      </c>
      <c r="T22" s="23">
        <v>0</v>
      </c>
      <c r="U22" s="24">
        <v>0</v>
      </c>
      <c r="V22" s="33">
        <v>0</v>
      </c>
      <c r="W22" s="34">
        <v>0</v>
      </c>
      <c r="X22" s="35">
        <v>0</v>
      </c>
      <c r="Y22" s="19">
        <v>0</v>
      </c>
      <c r="Z22" s="23">
        <v>0</v>
      </c>
      <c r="AA22" s="24">
        <v>0</v>
      </c>
      <c r="AB22" s="33">
        <v>0</v>
      </c>
      <c r="AC22" s="34">
        <v>0</v>
      </c>
      <c r="AD22" s="35">
        <v>0</v>
      </c>
      <c r="AE22" s="36">
        <v>0</v>
      </c>
      <c r="AF22" s="23">
        <v>0</v>
      </c>
      <c r="AG22" s="24">
        <v>0</v>
      </c>
      <c r="AH22" s="33">
        <v>0</v>
      </c>
      <c r="AI22" s="37">
        <v>0</v>
      </c>
      <c r="AJ22" s="35">
        <v>0</v>
      </c>
      <c r="AK22" s="36">
        <v>0</v>
      </c>
      <c r="AL22" s="38">
        <v>0</v>
      </c>
      <c r="AM22" s="35">
        <v>0</v>
      </c>
      <c r="AN22" s="19">
        <v>0</v>
      </c>
      <c r="AO22" s="23">
        <v>0</v>
      </c>
      <c r="AP22" s="24">
        <v>0</v>
      </c>
      <c r="AQ22" s="58">
        <f t="shared" si="2"/>
        <v>5.76</v>
      </c>
      <c r="AR22" s="59">
        <f t="shared" si="3"/>
        <v>14400</v>
      </c>
      <c r="AS22" s="35">
        <v>8</v>
      </c>
    </row>
    <row r="23" spans="1:45" ht="16" x14ac:dyDescent="0.2">
      <c r="A23" s="53">
        <v>20</v>
      </c>
      <c r="B23" s="55" t="s">
        <v>42</v>
      </c>
      <c r="C23" s="54" t="s">
        <v>45</v>
      </c>
      <c r="D23" s="350"/>
      <c r="E23" s="53"/>
      <c r="F23" s="56"/>
      <c r="G23" s="53"/>
      <c r="H23" s="56"/>
      <c r="I23" s="57"/>
      <c r="J23" s="53"/>
      <c r="K23" s="56"/>
      <c r="L23" s="57"/>
      <c r="M23" s="58"/>
      <c r="N23" s="56"/>
      <c r="O23" s="57"/>
      <c r="P23" s="58">
        <f t="shared" si="0"/>
        <v>8.64</v>
      </c>
      <c r="Q23" s="59">
        <f t="shared" si="1"/>
        <v>21600</v>
      </c>
      <c r="R23" s="35">
        <v>12</v>
      </c>
      <c r="S23" s="19">
        <v>0</v>
      </c>
      <c r="T23" s="23">
        <v>0</v>
      </c>
      <c r="U23" s="24">
        <v>0</v>
      </c>
      <c r="V23" s="33">
        <v>0</v>
      </c>
      <c r="W23" s="34">
        <v>0</v>
      </c>
      <c r="X23" s="35">
        <v>0</v>
      </c>
      <c r="Y23" s="19">
        <v>0</v>
      </c>
      <c r="Z23" s="23">
        <v>0</v>
      </c>
      <c r="AA23" s="24">
        <v>0</v>
      </c>
      <c r="AB23" s="33">
        <v>0</v>
      </c>
      <c r="AC23" s="34">
        <v>0</v>
      </c>
      <c r="AD23" s="35">
        <v>0</v>
      </c>
      <c r="AE23" s="36">
        <v>0</v>
      </c>
      <c r="AF23" s="23">
        <v>0</v>
      </c>
      <c r="AG23" s="24">
        <v>0</v>
      </c>
      <c r="AH23" s="33">
        <v>0</v>
      </c>
      <c r="AI23" s="37">
        <v>0</v>
      </c>
      <c r="AJ23" s="35">
        <v>0</v>
      </c>
      <c r="AK23" s="36">
        <v>0</v>
      </c>
      <c r="AL23" s="38">
        <v>0</v>
      </c>
      <c r="AM23" s="35">
        <v>0</v>
      </c>
      <c r="AN23" s="19">
        <v>0</v>
      </c>
      <c r="AO23" s="23">
        <v>0</v>
      </c>
      <c r="AP23" s="24">
        <v>0</v>
      </c>
      <c r="AQ23" s="58">
        <f t="shared" si="2"/>
        <v>8.64</v>
      </c>
      <c r="AR23" s="59">
        <f t="shared" si="3"/>
        <v>21600</v>
      </c>
      <c r="AS23" s="35">
        <v>12</v>
      </c>
    </row>
    <row r="24" spans="1:45" ht="16" x14ac:dyDescent="0.2">
      <c r="A24" s="53">
        <v>21</v>
      </c>
      <c r="B24" s="55" t="s">
        <v>42</v>
      </c>
      <c r="C24" s="54" t="s">
        <v>46</v>
      </c>
      <c r="D24" s="350"/>
      <c r="E24" s="53"/>
      <c r="F24" s="56"/>
      <c r="G24" s="53"/>
      <c r="H24" s="56"/>
      <c r="I24" s="57"/>
      <c r="J24" s="53"/>
      <c r="K24" s="56"/>
      <c r="L24" s="57"/>
      <c r="M24" s="58"/>
      <c r="N24" s="56"/>
      <c r="O24" s="57"/>
      <c r="P24" s="58">
        <f t="shared" si="0"/>
        <v>7.92</v>
      </c>
      <c r="Q24" s="59">
        <f t="shared" si="1"/>
        <v>19800</v>
      </c>
      <c r="R24" s="35">
        <v>11</v>
      </c>
      <c r="S24" s="19">
        <v>0</v>
      </c>
      <c r="T24" s="23">
        <v>0</v>
      </c>
      <c r="U24" s="24">
        <v>0</v>
      </c>
      <c r="V24" s="33">
        <v>0</v>
      </c>
      <c r="W24" s="34">
        <v>0</v>
      </c>
      <c r="X24" s="35">
        <v>0</v>
      </c>
      <c r="Y24" s="19">
        <v>0</v>
      </c>
      <c r="Z24" s="23">
        <v>0</v>
      </c>
      <c r="AA24" s="24">
        <v>0</v>
      </c>
      <c r="AB24" s="33">
        <v>0</v>
      </c>
      <c r="AC24" s="34">
        <v>0</v>
      </c>
      <c r="AD24" s="35">
        <v>0</v>
      </c>
      <c r="AE24" s="36">
        <v>0</v>
      </c>
      <c r="AF24" s="23">
        <v>0</v>
      </c>
      <c r="AG24" s="24">
        <v>0</v>
      </c>
      <c r="AH24" s="33">
        <v>0</v>
      </c>
      <c r="AI24" s="37">
        <v>0</v>
      </c>
      <c r="AJ24" s="35">
        <v>0</v>
      </c>
      <c r="AK24" s="36">
        <v>0</v>
      </c>
      <c r="AL24" s="38">
        <v>0</v>
      </c>
      <c r="AM24" s="35">
        <v>0</v>
      </c>
      <c r="AN24" s="19">
        <v>0</v>
      </c>
      <c r="AO24" s="23">
        <v>0</v>
      </c>
      <c r="AP24" s="24">
        <v>0</v>
      </c>
      <c r="AQ24" s="58">
        <f t="shared" si="2"/>
        <v>7.92</v>
      </c>
      <c r="AR24" s="59">
        <f t="shared" si="3"/>
        <v>19800</v>
      </c>
      <c r="AS24" s="35">
        <v>11</v>
      </c>
    </row>
    <row r="25" spans="1:45" ht="16" x14ac:dyDescent="0.2">
      <c r="A25" s="53">
        <v>22</v>
      </c>
      <c r="B25" s="55" t="s">
        <v>42</v>
      </c>
      <c r="C25" s="54" t="s">
        <v>47</v>
      </c>
      <c r="D25" s="350"/>
      <c r="E25" s="53"/>
      <c r="F25" s="56"/>
      <c r="G25" s="53"/>
      <c r="H25" s="56"/>
      <c r="I25" s="57"/>
      <c r="J25" s="53"/>
      <c r="K25" s="56"/>
      <c r="L25" s="57"/>
      <c r="M25" s="58"/>
      <c r="N25" s="56"/>
      <c r="O25" s="57"/>
      <c r="P25" s="58">
        <f t="shared" si="0"/>
        <v>1.44</v>
      </c>
      <c r="Q25" s="59">
        <f t="shared" si="1"/>
        <v>3600</v>
      </c>
      <c r="R25" s="35">
        <v>2</v>
      </c>
      <c r="S25" s="19">
        <v>0</v>
      </c>
      <c r="T25" s="23">
        <v>0</v>
      </c>
      <c r="U25" s="24">
        <v>0</v>
      </c>
      <c r="V25" s="33">
        <v>0</v>
      </c>
      <c r="W25" s="34">
        <v>0</v>
      </c>
      <c r="X25" s="35">
        <v>0</v>
      </c>
      <c r="Y25" s="19">
        <v>0</v>
      </c>
      <c r="Z25" s="23">
        <v>0</v>
      </c>
      <c r="AA25" s="24">
        <v>0</v>
      </c>
      <c r="AB25" s="33">
        <v>0</v>
      </c>
      <c r="AC25" s="34">
        <v>0</v>
      </c>
      <c r="AD25" s="35">
        <v>0</v>
      </c>
      <c r="AE25" s="36">
        <v>0</v>
      </c>
      <c r="AF25" s="23">
        <v>0</v>
      </c>
      <c r="AG25" s="24">
        <v>0</v>
      </c>
      <c r="AH25" s="33">
        <v>0</v>
      </c>
      <c r="AI25" s="37">
        <v>0</v>
      </c>
      <c r="AJ25" s="35">
        <v>0</v>
      </c>
      <c r="AK25" s="36">
        <v>0</v>
      </c>
      <c r="AL25" s="38">
        <v>0</v>
      </c>
      <c r="AM25" s="35">
        <v>0</v>
      </c>
      <c r="AN25" s="19">
        <v>0</v>
      </c>
      <c r="AO25" s="23">
        <v>0</v>
      </c>
      <c r="AP25" s="24">
        <v>0</v>
      </c>
      <c r="AQ25" s="58">
        <f t="shared" si="2"/>
        <v>1.44</v>
      </c>
      <c r="AR25" s="59">
        <f t="shared" si="3"/>
        <v>3600</v>
      </c>
      <c r="AS25" s="35">
        <v>2</v>
      </c>
    </row>
    <row r="26" spans="1:45" ht="16" x14ac:dyDescent="0.2">
      <c r="A26" s="53">
        <v>23</v>
      </c>
      <c r="B26" s="55" t="s">
        <v>42</v>
      </c>
      <c r="C26" s="54" t="s">
        <v>48</v>
      </c>
      <c r="D26" s="350"/>
      <c r="E26" s="53"/>
      <c r="F26" s="56"/>
      <c r="G26" s="53"/>
      <c r="H26" s="56"/>
      <c r="I26" s="57"/>
      <c r="J26" s="53"/>
      <c r="K26" s="56"/>
      <c r="L26" s="57"/>
      <c r="M26" s="58"/>
      <c r="N26" s="56"/>
      <c r="O26" s="57"/>
      <c r="P26" s="58">
        <f t="shared" si="0"/>
        <v>6.48</v>
      </c>
      <c r="Q26" s="59">
        <f t="shared" si="1"/>
        <v>16200</v>
      </c>
      <c r="R26" s="35">
        <v>9</v>
      </c>
      <c r="S26" s="19">
        <v>0</v>
      </c>
      <c r="T26" s="23">
        <v>0</v>
      </c>
      <c r="U26" s="24">
        <v>0</v>
      </c>
      <c r="V26" s="33">
        <v>0</v>
      </c>
      <c r="W26" s="34">
        <v>0</v>
      </c>
      <c r="X26" s="35">
        <v>0</v>
      </c>
      <c r="Y26" s="19">
        <v>0</v>
      </c>
      <c r="Z26" s="23">
        <v>0</v>
      </c>
      <c r="AA26" s="24">
        <v>0</v>
      </c>
      <c r="AB26" s="33">
        <v>0</v>
      </c>
      <c r="AC26" s="34">
        <v>0</v>
      </c>
      <c r="AD26" s="35">
        <v>0</v>
      </c>
      <c r="AE26" s="36">
        <v>0</v>
      </c>
      <c r="AF26" s="23">
        <v>0</v>
      </c>
      <c r="AG26" s="24">
        <v>0</v>
      </c>
      <c r="AH26" s="33">
        <v>0</v>
      </c>
      <c r="AI26" s="37">
        <v>0</v>
      </c>
      <c r="AJ26" s="35">
        <v>0</v>
      </c>
      <c r="AK26" s="36">
        <v>0</v>
      </c>
      <c r="AL26" s="38">
        <v>0</v>
      </c>
      <c r="AM26" s="35">
        <v>0</v>
      </c>
      <c r="AN26" s="19">
        <v>0</v>
      </c>
      <c r="AO26" s="23">
        <v>0</v>
      </c>
      <c r="AP26" s="24">
        <v>0</v>
      </c>
      <c r="AQ26" s="58">
        <f t="shared" si="2"/>
        <v>6.48</v>
      </c>
      <c r="AR26" s="59">
        <f t="shared" si="3"/>
        <v>16200</v>
      </c>
      <c r="AS26" s="35">
        <v>9</v>
      </c>
    </row>
    <row r="27" spans="1:45" ht="16" x14ac:dyDescent="0.2">
      <c r="A27" s="53">
        <v>24</v>
      </c>
      <c r="B27" s="55" t="s">
        <v>42</v>
      </c>
      <c r="C27" s="54" t="s">
        <v>49</v>
      </c>
      <c r="D27" s="350"/>
      <c r="E27" s="53"/>
      <c r="F27" s="56"/>
      <c r="G27" s="53"/>
      <c r="H27" s="56"/>
      <c r="I27" s="57"/>
      <c r="J27" s="53"/>
      <c r="K27" s="56"/>
      <c r="L27" s="57"/>
      <c r="M27" s="58"/>
      <c r="N27" s="56"/>
      <c r="O27" s="57"/>
      <c r="P27" s="58">
        <f t="shared" si="0"/>
        <v>4.32</v>
      </c>
      <c r="Q27" s="59">
        <f t="shared" si="1"/>
        <v>10800</v>
      </c>
      <c r="R27" s="35">
        <v>6</v>
      </c>
      <c r="S27" s="19">
        <v>0</v>
      </c>
      <c r="T27" s="23">
        <v>0</v>
      </c>
      <c r="U27" s="24">
        <v>0</v>
      </c>
      <c r="V27" s="33">
        <v>0</v>
      </c>
      <c r="W27" s="34">
        <v>0</v>
      </c>
      <c r="X27" s="35">
        <v>0</v>
      </c>
      <c r="Y27" s="19">
        <v>0</v>
      </c>
      <c r="Z27" s="23">
        <v>0</v>
      </c>
      <c r="AA27" s="24">
        <v>0</v>
      </c>
      <c r="AB27" s="33">
        <v>0</v>
      </c>
      <c r="AC27" s="34">
        <v>0</v>
      </c>
      <c r="AD27" s="35">
        <v>0</v>
      </c>
      <c r="AE27" s="36">
        <v>0</v>
      </c>
      <c r="AF27" s="23">
        <v>0</v>
      </c>
      <c r="AG27" s="24">
        <v>0</v>
      </c>
      <c r="AH27" s="33">
        <v>0</v>
      </c>
      <c r="AI27" s="37">
        <v>0</v>
      </c>
      <c r="AJ27" s="35">
        <v>0</v>
      </c>
      <c r="AK27" s="36">
        <v>0</v>
      </c>
      <c r="AL27" s="38">
        <v>0</v>
      </c>
      <c r="AM27" s="35">
        <v>0</v>
      </c>
      <c r="AN27" s="19">
        <v>0</v>
      </c>
      <c r="AO27" s="23">
        <v>0</v>
      </c>
      <c r="AP27" s="24">
        <v>0</v>
      </c>
      <c r="AQ27" s="58">
        <f t="shared" si="2"/>
        <v>4.32</v>
      </c>
      <c r="AR27" s="59">
        <f t="shared" si="3"/>
        <v>10800</v>
      </c>
      <c r="AS27" s="35">
        <v>6</v>
      </c>
    </row>
    <row r="28" spans="1:45" ht="16" x14ac:dyDescent="0.2">
      <c r="A28" s="53">
        <v>25</v>
      </c>
      <c r="B28" s="55" t="s">
        <v>42</v>
      </c>
      <c r="C28" s="54" t="s">
        <v>50</v>
      </c>
      <c r="D28" s="350"/>
      <c r="E28" s="53"/>
      <c r="F28" s="56"/>
      <c r="G28" s="53"/>
      <c r="H28" s="56"/>
      <c r="I28" s="57"/>
      <c r="J28" s="53"/>
      <c r="K28" s="56"/>
      <c r="L28" s="57"/>
      <c r="M28" s="58"/>
      <c r="N28" s="56"/>
      <c r="O28" s="57"/>
      <c r="P28" s="58">
        <f t="shared" si="0"/>
        <v>3.6</v>
      </c>
      <c r="Q28" s="59">
        <f t="shared" si="1"/>
        <v>9000</v>
      </c>
      <c r="R28" s="35">
        <v>5</v>
      </c>
      <c r="S28" s="19">
        <v>0</v>
      </c>
      <c r="T28" s="23">
        <v>0</v>
      </c>
      <c r="U28" s="24">
        <v>0</v>
      </c>
      <c r="V28" s="33">
        <v>0</v>
      </c>
      <c r="W28" s="34">
        <v>0</v>
      </c>
      <c r="X28" s="35">
        <v>0</v>
      </c>
      <c r="Y28" s="19">
        <v>0</v>
      </c>
      <c r="Z28" s="23">
        <v>0</v>
      </c>
      <c r="AA28" s="24">
        <v>0</v>
      </c>
      <c r="AB28" s="33">
        <v>0</v>
      </c>
      <c r="AC28" s="34">
        <v>0</v>
      </c>
      <c r="AD28" s="35">
        <v>0</v>
      </c>
      <c r="AE28" s="36">
        <v>0</v>
      </c>
      <c r="AF28" s="23">
        <v>0</v>
      </c>
      <c r="AG28" s="24">
        <v>0</v>
      </c>
      <c r="AH28" s="33">
        <v>0</v>
      </c>
      <c r="AI28" s="37">
        <v>0</v>
      </c>
      <c r="AJ28" s="35">
        <v>0</v>
      </c>
      <c r="AK28" s="36">
        <v>0</v>
      </c>
      <c r="AL28" s="38">
        <v>0</v>
      </c>
      <c r="AM28" s="35">
        <v>0</v>
      </c>
      <c r="AN28" s="19">
        <v>0</v>
      </c>
      <c r="AO28" s="23">
        <v>0</v>
      </c>
      <c r="AP28" s="24">
        <v>0</v>
      </c>
      <c r="AQ28" s="58">
        <f t="shared" si="2"/>
        <v>3.6</v>
      </c>
      <c r="AR28" s="59">
        <f t="shared" si="3"/>
        <v>9000</v>
      </c>
      <c r="AS28" s="35">
        <v>5</v>
      </c>
    </row>
    <row r="29" spans="1:45" ht="16" x14ac:dyDescent="0.2">
      <c r="A29" s="53">
        <v>26</v>
      </c>
      <c r="B29" s="55" t="s">
        <v>51</v>
      </c>
      <c r="C29" s="54" t="s">
        <v>52</v>
      </c>
      <c r="D29" s="350"/>
      <c r="E29" s="53"/>
      <c r="F29" s="56"/>
      <c r="G29" s="53"/>
      <c r="H29" s="56"/>
      <c r="I29" s="57"/>
      <c r="J29" s="53"/>
      <c r="K29" s="56"/>
      <c r="L29" s="57"/>
      <c r="M29" s="58"/>
      <c r="N29" s="56"/>
      <c r="O29" s="57"/>
      <c r="P29" s="58">
        <f t="shared" si="0"/>
        <v>1.44</v>
      </c>
      <c r="Q29" s="59">
        <f t="shared" si="1"/>
        <v>3600</v>
      </c>
      <c r="R29" s="35">
        <v>2</v>
      </c>
      <c r="S29" s="19">
        <v>0</v>
      </c>
      <c r="T29" s="23">
        <v>0</v>
      </c>
      <c r="U29" s="24">
        <v>0</v>
      </c>
      <c r="V29" s="33">
        <v>0</v>
      </c>
      <c r="W29" s="34">
        <v>0</v>
      </c>
      <c r="X29" s="35">
        <v>0</v>
      </c>
      <c r="Y29" s="19">
        <v>0</v>
      </c>
      <c r="Z29" s="23">
        <v>0</v>
      </c>
      <c r="AA29" s="24">
        <v>0</v>
      </c>
      <c r="AB29" s="33">
        <v>0</v>
      </c>
      <c r="AC29" s="34">
        <v>0</v>
      </c>
      <c r="AD29" s="35">
        <v>0</v>
      </c>
      <c r="AE29" s="36">
        <v>0</v>
      </c>
      <c r="AF29" s="23">
        <v>0</v>
      </c>
      <c r="AG29" s="24">
        <v>0</v>
      </c>
      <c r="AH29" s="33">
        <v>0</v>
      </c>
      <c r="AI29" s="37">
        <v>0</v>
      </c>
      <c r="AJ29" s="35">
        <v>0</v>
      </c>
      <c r="AK29" s="36">
        <v>0</v>
      </c>
      <c r="AL29" s="38">
        <v>0</v>
      </c>
      <c r="AM29" s="35">
        <v>0</v>
      </c>
      <c r="AN29" s="19">
        <v>0</v>
      </c>
      <c r="AO29" s="23">
        <v>0</v>
      </c>
      <c r="AP29" s="24">
        <v>0</v>
      </c>
      <c r="AQ29" s="58">
        <f t="shared" si="2"/>
        <v>1.44</v>
      </c>
      <c r="AR29" s="59">
        <f t="shared" si="3"/>
        <v>3600</v>
      </c>
      <c r="AS29" s="35">
        <v>2</v>
      </c>
    </row>
    <row r="30" spans="1:45" ht="16" x14ac:dyDescent="0.2">
      <c r="A30" s="53">
        <v>27</v>
      </c>
      <c r="B30" s="55" t="s">
        <v>51</v>
      </c>
      <c r="C30" s="54" t="s">
        <v>51</v>
      </c>
      <c r="D30" s="350"/>
      <c r="E30" s="53"/>
      <c r="F30" s="56"/>
      <c r="G30" s="53"/>
      <c r="H30" s="56"/>
      <c r="I30" s="57"/>
      <c r="J30" s="53"/>
      <c r="K30" s="56"/>
      <c r="L30" s="57"/>
      <c r="M30" s="58"/>
      <c r="N30" s="56"/>
      <c r="O30" s="57"/>
      <c r="P30" s="58">
        <f t="shared" si="0"/>
        <v>4.32</v>
      </c>
      <c r="Q30" s="59">
        <f t="shared" si="1"/>
        <v>10800</v>
      </c>
      <c r="R30" s="35">
        <v>6</v>
      </c>
      <c r="S30" s="19">
        <v>0</v>
      </c>
      <c r="T30" s="23">
        <v>0</v>
      </c>
      <c r="U30" s="24">
        <v>0</v>
      </c>
      <c r="V30" s="33">
        <v>0</v>
      </c>
      <c r="W30" s="34">
        <v>0</v>
      </c>
      <c r="X30" s="35">
        <v>0</v>
      </c>
      <c r="Y30" s="19">
        <v>0</v>
      </c>
      <c r="Z30" s="23">
        <v>0</v>
      </c>
      <c r="AA30" s="24">
        <v>0</v>
      </c>
      <c r="AB30" s="33">
        <v>0</v>
      </c>
      <c r="AC30" s="34">
        <v>0</v>
      </c>
      <c r="AD30" s="35">
        <v>0</v>
      </c>
      <c r="AE30" s="36">
        <v>0</v>
      </c>
      <c r="AF30" s="23">
        <v>0</v>
      </c>
      <c r="AG30" s="24">
        <v>0</v>
      </c>
      <c r="AH30" s="33">
        <v>0</v>
      </c>
      <c r="AI30" s="37">
        <v>0</v>
      </c>
      <c r="AJ30" s="35">
        <v>0</v>
      </c>
      <c r="AK30" s="36">
        <v>0</v>
      </c>
      <c r="AL30" s="38">
        <v>0</v>
      </c>
      <c r="AM30" s="35">
        <v>0</v>
      </c>
      <c r="AN30" s="19">
        <v>0</v>
      </c>
      <c r="AO30" s="23">
        <v>0</v>
      </c>
      <c r="AP30" s="24">
        <v>0</v>
      </c>
      <c r="AQ30" s="58">
        <f t="shared" si="2"/>
        <v>4.32</v>
      </c>
      <c r="AR30" s="59">
        <f t="shared" si="3"/>
        <v>10800</v>
      </c>
      <c r="AS30" s="35">
        <v>6</v>
      </c>
    </row>
    <row r="31" spans="1:45" ht="16" x14ac:dyDescent="0.2">
      <c r="A31" s="53">
        <v>28</v>
      </c>
      <c r="B31" s="55" t="s">
        <v>51</v>
      </c>
      <c r="C31" s="54" t="s">
        <v>53</v>
      </c>
      <c r="D31" s="350"/>
      <c r="E31" s="53"/>
      <c r="F31" s="56"/>
      <c r="G31" s="53"/>
      <c r="H31" s="56"/>
      <c r="I31" s="57"/>
      <c r="J31" s="53"/>
      <c r="K31" s="56"/>
      <c r="L31" s="57"/>
      <c r="M31" s="58"/>
      <c r="N31" s="56"/>
      <c r="O31" s="57"/>
      <c r="P31" s="58">
        <f t="shared" si="0"/>
        <v>6.48</v>
      </c>
      <c r="Q31" s="59">
        <f t="shared" si="1"/>
        <v>16200</v>
      </c>
      <c r="R31" s="35">
        <v>9</v>
      </c>
      <c r="S31" s="19">
        <v>0</v>
      </c>
      <c r="T31" s="23">
        <v>0</v>
      </c>
      <c r="U31" s="24">
        <v>0</v>
      </c>
      <c r="V31" s="33">
        <v>0</v>
      </c>
      <c r="W31" s="34">
        <v>0</v>
      </c>
      <c r="X31" s="35">
        <v>0</v>
      </c>
      <c r="Y31" s="19">
        <v>0</v>
      </c>
      <c r="Z31" s="23">
        <v>0</v>
      </c>
      <c r="AA31" s="24">
        <v>0</v>
      </c>
      <c r="AB31" s="33">
        <v>0</v>
      </c>
      <c r="AC31" s="34">
        <v>0</v>
      </c>
      <c r="AD31" s="35">
        <v>0</v>
      </c>
      <c r="AE31" s="36">
        <v>0</v>
      </c>
      <c r="AF31" s="23">
        <v>0</v>
      </c>
      <c r="AG31" s="24">
        <v>0</v>
      </c>
      <c r="AH31" s="33">
        <v>0</v>
      </c>
      <c r="AI31" s="37">
        <v>0</v>
      </c>
      <c r="AJ31" s="35">
        <v>0</v>
      </c>
      <c r="AK31" s="36">
        <v>0</v>
      </c>
      <c r="AL31" s="38">
        <v>0</v>
      </c>
      <c r="AM31" s="35">
        <v>0</v>
      </c>
      <c r="AN31" s="19">
        <v>0</v>
      </c>
      <c r="AO31" s="23">
        <v>0</v>
      </c>
      <c r="AP31" s="24">
        <v>0</v>
      </c>
      <c r="AQ31" s="58">
        <f t="shared" si="2"/>
        <v>6.48</v>
      </c>
      <c r="AR31" s="59">
        <f t="shared" si="3"/>
        <v>16200</v>
      </c>
      <c r="AS31" s="35">
        <v>9</v>
      </c>
    </row>
    <row r="32" spans="1:45" ht="16" x14ac:dyDescent="0.2">
      <c r="A32" s="53">
        <v>29</v>
      </c>
      <c r="B32" s="55" t="s">
        <v>51</v>
      </c>
      <c r="C32" s="54" t="s">
        <v>54</v>
      </c>
      <c r="D32" s="350"/>
      <c r="E32" s="53"/>
      <c r="F32" s="56"/>
      <c r="G32" s="53"/>
      <c r="H32" s="56"/>
      <c r="I32" s="57"/>
      <c r="J32" s="53"/>
      <c r="K32" s="56"/>
      <c r="L32" s="57"/>
      <c r="M32" s="58"/>
      <c r="N32" s="56"/>
      <c r="O32" s="57"/>
      <c r="P32" s="58">
        <f t="shared" si="0"/>
        <v>2.16</v>
      </c>
      <c r="Q32" s="59">
        <f t="shared" si="1"/>
        <v>5400</v>
      </c>
      <c r="R32" s="35">
        <v>3</v>
      </c>
      <c r="S32" s="19">
        <v>0</v>
      </c>
      <c r="T32" s="23">
        <v>0</v>
      </c>
      <c r="U32" s="24">
        <v>0</v>
      </c>
      <c r="V32" s="33">
        <v>0</v>
      </c>
      <c r="W32" s="34">
        <v>0</v>
      </c>
      <c r="X32" s="35">
        <v>0</v>
      </c>
      <c r="Y32" s="19">
        <v>0</v>
      </c>
      <c r="Z32" s="23">
        <v>0</v>
      </c>
      <c r="AA32" s="24">
        <v>0</v>
      </c>
      <c r="AB32" s="33">
        <v>0</v>
      </c>
      <c r="AC32" s="34">
        <v>0</v>
      </c>
      <c r="AD32" s="35">
        <v>0</v>
      </c>
      <c r="AE32" s="36">
        <v>0</v>
      </c>
      <c r="AF32" s="23">
        <v>0</v>
      </c>
      <c r="AG32" s="24">
        <v>0</v>
      </c>
      <c r="AH32" s="33">
        <v>0</v>
      </c>
      <c r="AI32" s="37">
        <v>0</v>
      </c>
      <c r="AJ32" s="35">
        <v>0</v>
      </c>
      <c r="AK32" s="36">
        <v>0</v>
      </c>
      <c r="AL32" s="38">
        <v>0</v>
      </c>
      <c r="AM32" s="35">
        <v>0</v>
      </c>
      <c r="AN32" s="19">
        <v>0</v>
      </c>
      <c r="AO32" s="23">
        <v>0</v>
      </c>
      <c r="AP32" s="24">
        <v>0</v>
      </c>
      <c r="AQ32" s="58">
        <f t="shared" si="2"/>
        <v>2.16</v>
      </c>
      <c r="AR32" s="59">
        <f t="shared" si="3"/>
        <v>5400</v>
      </c>
      <c r="AS32" s="35">
        <v>3</v>
      </c>
    </row>
    <row r="33" spans="1:45" ht="16" x14ac:dyDescent="0.2">
      <c r="A33" s="53">
        <v>30</v>
      </c>
      <c r="B33" s="55" t="s">
        <v>51</v>
      </c>
      <c r="C33" s="54" t="s">
        <v>55</v>
      </c>
      <c r="D33" s="350"/>
      <c r="E33" s="53"/>
      <c r="F33" s="56"/>
      <c r="G33" s="53"/>
      <c r="H33" s="56"/>
      <c r="I33" s="57"/>
      <c r="J33" s="53"/>
      <c r="K33" s="56"/>
      <c r="L33" s="57"/>
      <c r="M33" s="58"/>
      <c r="N33" s="56"/>
      <c r="O33" s="57"/>
      <c r="P33" s="58">
        <f t="shared" si="0"/>
        <v>2.16</v>
      </c>
      <c r="Q33" s="59">
        <f t="shared" si="1"/>
        <v>5400</v>
      </c>
      <c r="R33" s="35">
        <v>3</v>
      </c>
      <c r="S33" s="19">
        <v>0</v>
      </c>
      <c r="T33" s="23">
        <v>0</v>
      </c>
      <c r="U33" s="24">
        <v>0</v>
      </c>
      <c r="V33" s="33">
        <v>0</v>
      </c>
      <c r="W33" s="34">
        <v>0</v>
      </c>
      <c r="X33" s="35">
        <v>0</v>
      </c>
      <c r="Y33" s="19">
        <v>0</v>
      </c>
      <c r="Z33" s="23">
        <v>0</v>
      </c>
      <c r="AA33" s="24">
        <v>0</v>
      </c>
      <c r="AB33" s="33">
        <v>0</v>
      </c>
      <c r="AC33" s="34">
        <v>0</v>
      </c>
      <c r="AD33" s="35">
        <v>0</v>
      </c>
      <c r="AE33" s="36">
        <v>0</v>
      </c>
      <c r="AF33" s="23">
        <v>0</v>
      </c>
      <c r="AG33" s="24">
        <v>0</v>
      </c>
      <c r="AH33" s="33">
        <v>0</v>
      </c>
      <c r="AI33" s="37">
        <v>0</v>
      </c>
      <c r="AJ33" s="35">
        <v>0</v>
      </c>
      <c r="AK33" s="36">
        <v>0</v>
      </c>
      <c r="AL33" s="38">
        <v>0</v>
      </c>
      <c r="AM33" s="35">
        <v>0</v>
      </c>
      <c r="AN33" s="19">
        <v>0</v>
      </c>
      <c r="AO33" s="23">
        <v>0</v>
      </c>
      <c r="AP33" s="24">
        <v>0</v>
      </c>
      <c r="AQ33" s="58">
        <f t="shared" si="2"/>
        <v>2.16</v>
      </c>
      <c r="AR33" s="59">
        <f t="shared" si="3"/>
        <v>5400</v>
      </c>
      <c r="AS33" s="35">
        <v>3</v>
      </c>
    </row>
    <row r="34" spans="1:45" ht="16" x14ac:dyDescent="0.2">
      <c r="A34" s="53">
        <v>31</v>
      </c>
      <c r="B34" s="55" t="s">
        <v>51</v>
      </c>
      <c r="C34" s="54" t="s">
        <v>56</v>
      </c>
      <c r="D34" s="350"/>
      <c r="E34" s="53"/>
      <c r="F34" s="56"/>
      <c r="G34" s="53"/>
      <c r="H34" s="56"/>
      <c r="I34" s="57"/>
      <c r="J34" s="53"/>
      <c r="K34" s="56"/>
      <c r="L34" s="57"/>
      <c r="M34" s="58"/>
      <c r="N34" s="56"/>
      <c r="O34" s="57"/>
      <c r="P34" s="58">
        <f t="shared" si="0"/>
        <v>3.6</v>
      </c>
      <c r="Q34" s="59">
        <f t="shared" si="1"/>
        <v>9000</v>
      </c>
      <c r="R34" s="35">
        <v>5</v>
      </c>
      <c r="S34" s="19">
        <v>0</v>
      </c>
      <c r="T34" s="23">
        <v>0</v>
      </c>
      <c r="U34" s="24">
        <v>0</v>
      </c>
      <c r="V34" s="33">
        <v>0</v>
      </c>
      <c r="W34" s="34">
        <v>0</v>
      </c>
      <c r="X34" s="35">
        <v>0</v>
      </c>
      <c r="Y34" s="19">
        <v>0</v>
      </c>
      <c r="Z34" s="23">
        <v>0</v>
      </c>
      <c r="AA34" s="24">
        <v>0</v>
      </c>
      <c r="AB34" s="33">
        <v>0</v>
      </c>
      <c r="AC34" s="34">
        <v>0</v>
      </c>
      <c r="AD34" s="35">
        <v>0</v>
      </c>
      <c r="AE34" s="36">
        <v>0</v>
      </c>
      <c r="AF34" s="23">
        <v>0</v>
      </c>
      <c r="AG34" s="24">
        <v>0</v>
      </c>
      <c r="AH34" s="33">
        <v>0</v>
      </c>
      <c r="AI34" s="37">
        <v>0</v>
      </c>
      <c r="AJ34" s="35">
        <v>0</v>
      </c>
      <c r="AK34" s="36">
        <v>0</v>
      </c>
      <c r="AL34" s="38">
        <v>0</v>
      </c>
      <c r="AM34" s="35">
        <v>0</v>
      </c>
      <c r="AN34" s="19">
        <v>0</v>
      </c>
      <c r="AO34" s="23">
        <v>0</v>
      </c>
      <c r="AP34" s="24">
        <v>0</v>
      </c>
      <c r="AQ34" s="58">
        <f t="shared" si="2"/>
        <v>3.6</v>
      </c>
      <c r="AR34" s="59">
        <f t="shared" si="3"/>
        <v>9000</v>
      </c>
      <c r="AS34" s="35">
        <v>5</v>
      </c>
    </row>
    <row r="35" spans="1:45" ht="16" x14ac:dyDescent="0.2">
      <c r="A35" s="53">
        <v>32</v>
      </c>
      <c r="B35" s="55" t="s">
        <v>51</v>
      </c>
      <c r="C35" s="54" t="s">
        <v>57</v>
      </c>
      <c r="D35" s="350"/>
      <c r="E35" s="53"/>
      <c r="F35" s="56"/>
      <c r="G35" s="53"/>
      <c r="H35" s="56"/>
      <c r="I35" s="57"/>
      <c r="J35" s="53"/>
      <c r="K35" s="56"/>
      <c r="L35" s="57"/>
      <c r="M35" s="58"/>
      <c r="N35" s="56"/>
      <c r="O35" s="57"/>
      <c r="P35" s="58">
        <f t="shared" si="0"/>
        <v>1.44</v>
      </c>
      <c r="Q35" s="59">
        <f t="shared" si="1"/>
        <v>3600</v>
      </c>
      <c r="R35" s="35">
        <v>2</v>
      </c>
      <c r="S35" s="19">
        <v>0</v>
      </c>
      <c r="T35" s="23">
        <v>0</v>
      </c>
      <c r="U35" s="24">
        <v>0</v>
      </c>
      <c r="V35" s="33">
        <v>0</v>
      </c>
      <c r="W35" s="34">
        <v>0</v>
      </c>
      <c r="X35" s="35">
        <v>0</v>
      </c>
      <c r="Y35" s="19">
        <v>0</v>
      </c>
      <c r="Z35" s="23">
        <v>0</v>
      </c>
      <c r="AA35" s="24">
        <v>0</v>
      </c>
      <c r="AB35" s="33">
        <v>0</v>
      </c>
      <c r="AC35" s="34">
        <v>0</v>
      </c>
      <c r="AD35" s="35">
        <v>0</v>
      </c>
      <c r="AE35" s="36">
        <v>0</v>
      </c>
      <c r="AF35" s="23">
        <v>0</v>
      </c>
      <c r="AG35" s="24">
        <v>0</v>
      </c>
      <c r="AH35" s="33">
        <v>0</v>
      </c>
      <c r="AI35" s="37">
        <v>0</v>
      </c>
      <c r="AJ35" s="35">
        <v>0</v>
      </c>
      <c r="AK35" s="36">
        <v>0</v>
      </c>
      <c r="AL35" s="38">
        <v>0</v>
      </c>
      <c r="AM35" s="35">
        <v>0</v>
      </c>
      <c r="AN35" s="19">
        <v>0</v>
      </c>
      <c r="AO35" s="23">
        <v>0</v>
      </c>
      <c r="AP35" s="24">
        <v>0</v>
      </c>
      <c r="AQ35" s="58">
        <f t="shared" si="2"/>
        <v>1.44</v>
      </c>
      <c r="AR35" s="59">
        <f t="shared" si="3"/>
        <v>3600</v>
      </c>
      <c r="AS35" s="35">
        <v>2</v>
      </c>
    </row>
    <row r="36" spans="1:45" ht="16" x14ac:dyDescent="0.2">
      <c r="A36" s="53">
        <v>33</v>
      </c>
      <c r="B36" s="55" t="s">
        <v>51</v>
      </c>
      <c r="C36" s="54" t="s">
        <v>58</v>
      </c>
      <c r="D36" s="350"/>
      <c r="E36" s="53"/>
      <c r="F36" s="56"/>
      <c r="G36" s="53"/>
      <c r="H36" s="56"/>
      <c r="I36" s="57"/>
      <c r="J36" s="53"/>
      <c r="K36" s="56"/>
      <c r="L36" s="57"/>
      <c r="M36" s="58"/>
      <c r="N36" s="56"/>
      <c r="O36" s="57"/>
      <c r="P36" s="58">
        <f t="shared" si="0"/>
        <v>4.32</v>
      </c>
      <c r="Q36" s="59">
        <f t="shared" si="1"/>
        <v>10800</v>
      </c>
      <c r="R36" s="35">
        <v>6</v>
      </c>
      <c r="S36" s="19">
        <v>0</v>
      </c>
      <c r="T36" s="23">
        <v>0</v>
      </c>
      <c r="U36" s="24">
        <v>0</v>
      </c>
      <c r="V36" s="33">
        <v>0</v>
      </c>
      <c r="W36" s="34">
        <v>0</v>
      </c>
      <c r="X36" s="35">
        <v>0</v>
      </c>
      <c r="Y36" s="19">
        <v>0</v>
      </c>
      <c r="Z36" s="23">
        <v>0</v>
      </c>
      <c r="AA36" s="24">
        <v>0</v>
      </c>
      <c r="AB36" s="33">
        <v>0</v>
      </c>
      <c r="AC36" s="34">
        <v>0</v>
      </c>
      <c r="AD36" s="35">
        <v>0</v>
      </c>
      <c r="AE36" s="36">
        <v>0</v>
      </c>
      <c r="AF36" s="23">
        <v>0</v>
      </c>
      <c r="AG36" s="24">
        <v>0</v>
      </c>
      <c r="AH36" s="33">
        <v>0</v>
      </c>
      <c r="AI36" s="37">
        <v>0</v>
      </c>
      <c r="AJ36" s="35">
        <v>0</v>
      </c>
      <c r="AK36" s="36">
        <v>0</v>
      </c>
      <c r="AL36" s="38">
        <v>0</v>
      </c>
      <c r="AM36" s="35">
        <v>0</v>
      </c>
      <c r="AN36" s="19">
        <v>0</v>
      </c>
      <c r="AO36" s="23">
        <v>0</v>
      </c>
      <c r="AP36" s="24">
        <v>0</v>
      </c>
      <c r="AQ36" s="58">
        <f t="shared" si="2"/>
        <v>4.32</v>
      </c>
      <c r="AR36" s="59">
        <f t="shared" si="3"/>
        <v>10800</v>
      </c>
      <c r="AS36" s="35">
        <v>6</v>
      </c>
    </row>
    <row r="37" spans="1:45" ht="16" x14ac:dyDescent="0.2">
      <c r="A37" s="53">
        <v>34</v>
      </c>
      <c r="B37" s="55" t="s">
        <v>51</v>
      </c>
      <c r="C37" s="54" t="s">
        <v>59</v>
      </c>
      <c r="D37" s="350"/>
      <c r="E37" s="53"/>
      <c r="F37" s="56"/>
      <c r="G37" s="53"/>
      <c r="H37" s="56"/>
      <c r="I37" s="57"/>
      <c r="J37" s="53"/>
      <c r="K37" s="56"/>
      <c r="L37" s="57"/>
      <c r="M37" s="58"/>
      <c r="N37" s="56"/>
      <c r="O37" s="57"/>
      <c r="P37" s="58">
        <f t="shared" si="0"/>
        <v>1.44</v>
      </c>
      <c r="Q37" s="59">
        <f t="shared" si="1"/>
        <v>3600</v>
      </c>
      <c r="R37" s="35">
        <v>2</v>
      </c>
      <c r="S37" s="19">
        <v>0</v>
      </c>
      <c r="T37" s="23">
        <v>0</v>
      </c>
      <c r="U37" s="24">
        <v>0</v>
      </c>
      <c r="V37" s="33">
        <v>0</v>
      </c>
      <c r="W37" s="34">
        <v>0</v>
      </c>
      <c r="X37" s="35">
        <v>0</v>
      </c>
      <c r="Y37" s="19">
        <v>0</v>
      </c>
      <c r="Z37" s="23">
        <v>0</v>
      </c>
      <c r="AA37" s="24">
        <v>0</v>
      </c>
      <c r="AB37" s="33">
        <v>0</v>
      </c>
      <c r="AC37" s="34">
        <v>0</v>
      </c>
      <c r="AD37" s="35">
        <v>0</v>
      </c>
      <c r="AE37" s="36">
        <v>0</v>
      </c>
      <c r="AF37" s="23">
        <v>0</v>
      </c>
      <c r="AG37" s="24">
        <v>0</v>
      </c>
      <c r="AH37" s="33">
        <v>0</v>
      </c>
      <c r="AI37" s="37">
        <v>0</v>
      </c>
      <c r="AJ37" s="35">
        <v>0</v>
      </c>
      <c r="AK37" s="36">
        <v>0</v>
      </c>
      <c r="AL37" s="38">
        <v>0</v>
      </c>
      <c r="AM37" s="35">
        <v>0</v>
      </c>
      <c r="AN37" s="19">
        <v>0</v>
      </c>
      <c r="AO37" s="23">
        <v>0</v>
      </c>
      <c r="AP37" s="24">
        <v>0</v>
      </c>
      <c r="AQ37" s="58">
        <f t="shared" si="2"/>
        <v>1.44</v>
      </c>
      <c r="AR37" s="59">
        <f t="shared" si="3"/>
        <v>3600</v>
      </c>
      <c r="AS37" s="35">
        <v>2</v>
      </c>
    </row>
    <row r="38" spans="1:45" ht="16" x14ac:dyDescent="0.2">
      <c r="A38" s="53">
        <v>35</v>
      </c>
      <c r="B38" s="55" t="s">
        <v>51</v>
      </c>
      <c r="C38" s="54" t="s">
        <v>60</v>
      </c>
      <c r="D38" s="350" t="s">
        <v>25</v>
      </c>
      <c r="E38" s="53"/>
      <c r="F38" s="56"/>
      <c r="G38" s="53"/>
      <c r="H38" s="56"/>
      <c r="I38" s="57"/>
      <c r="J38" s="53"/>
      <c r="K38" s="56"/>
      <c r="L38" s="57"/>
      <c r="M38" s="58"/>
      <c r="N38" s="56"/>
      <c r="O38" s="57"/>
      <c r="P38" s="58">
        <f t="shared" si="0"/>
        <v>0.72</v>
      </c>
      <c r="Q38" s="59">
        <f t="shared" si="1"/>
        <v>1800</v>
      </c>
      <c r="R38" s="35">
        <v>1</v>
      </c>
      <c r="S38" s="19">
        <v>0</v>
      </c>
      <c r="T38" s="23">
        <v>0</v>
      </c>
      <c r="U38" s="24">
        <v>0</v>
      </c>
      <c r="V38" s="33">
        <v>0</v>
      </c>
      <c r="W38" s="34">
        <v>0</v>
      </c>
      <c r="X38" s="35">
        <v>0</v>
      </c>
      <c r="Y38" s="19">
        <v>0</v>
      </c>
      <c r="Z38" s="23">
        <v>0</v>
      </c>
      <c r="AA38" s="24">
        <v>0</v>
      </c>
      <c r="AB38" s="33">
        <v>0</v>
      </c>
      <c r="AC38" s="34">
        <v>0</v>
      </c>
      <c r="AD38" s="35">
        <v>0</v>
      </c>
      <c r="AE38" s="36">
        <v>0</v>
      </c>
      <c r="AF38" s="23">
        <v>0</v>
      </c>
      <c r="AG38" s="24">
        <v>0</v>
      </c>
      <c r="AH38" s="33">
        <v>0</v>
      </c>
      <c r="AI38" s="37">
        <v>0</v>
      </c>
      <c r="AJ38" s="35">
        <v>0</v>
      </c>
      <c r="AK38" s="36">
        <v>0</v>
      </c>
      <c r="AL38" s="38">
        <v>0</v>
      </c>
      <c r="AM38" s="35">
        <v>0</v>
      </c>
      <c r="AN38" s="19">
        <v>0</v>
      </c>
      <c r="AO38" s="23">
        <v>0</v>
      </c>
      <c r="AP38" s="24">
        <v>0</v>
      </c>
      <c r="AQ38" s="58">
        <f t="shared" si="2"/>
        <v>0.72</v>
      </c>
      <c r="AR38" s="59">
        <f t="shared" si="3"/>
        <v>1800</v>
      </c>
      <c r="AS38" s="35">
        <v>1</v>
      </c>
    </row>
    <row r="39" spans="1:45" ht="16" x14ac:dyDescent="0.2">
      <c r="A39" s="53">
        <v>36</v>
      </c>
      <c r="B39" s="55" t="s">
        <v>51</v>
      </c>
      <c r="C39" s="54" t="s">
        <v>61</v>
      </c>
      <c r="D39" s="350"/>
      <c r="E39" s="53"/>
      <c r="F39" s="56"/>
      <c r="G39" s="53"/>
      <c r="H39" s="56"/>
      <c r="I39" s="57"/>
      <c r="J39" s="53"/>
      <c r="K39" s="56"/>
      <c r="L39" s="57"/>
      <c r="M39" s="58"/>
      <c r="N39" s="56"/>
      <c r="O39" s="57"/>
      <c r="P39" s="58">
        <f t="shared" si="0"/>
        <v>0</v>
      </c>
      <c r="Q39" s="59">
        <f t="shared" si="1"/>
        <v>0</v>
      </c>
      <c r="R39" s="35"/>
      <c r="S39" s="19">
        <v>0</v>
      </c>
      <c r="T39" s="23">
        <v>0</v>
      </c>
      <c r="U39" s="24">
        <v>0</v>
      </c>
      <c r="V39" s="33">
        <v>0</v>
      </c>
      <c r="W39" s="34">
        <v>0</v>
      </c>
      <c r="X39" s="35">
        <v>0</v>
      </c>
      <c r="Y39" s="19">
        <v>0</v>
      </c>
      <c r="Z39" s="23">
        <v>0</v>
      </c>
      <c r="AA39" s="24">
        <v>0</v>
      </c>
      <c r="AB39" s="33">
        <v>0</v>
      </c>
      <c r="AC39" s="34">
        <v>0</v>
      </c>
      <c r="AD39" s="35">
        <v>0</v>
      </c>
      <c r="AE39" s="36">
        <v>0</v>
      </c>
      <c r="AF39" s="23">
        <v>0</v>
      </c>
      <c r="AG39" s="24">
        <v>0</v>
      </c>
      <c r="AH39" s="33">
        <v>0</v>
      </c>
      <c r="AI39" s="37">
        <v>0</v>
      </c>
      <c r="AJ39" s="35">
        <v>0</v>
      </c>
      <c r="AK39" s="36">
        <v>0</v>
      </c>
      <c r="AL39" s="38">
        <v>0</v>
      </c>
      <c r="AM39" s="35">
        <v>0</v>
      </c>
      <c r="AN39" s="19">
        <v>0</v>
      </c>
      <c r="AO39" s="23">
        <v>0</v>
      </c>
      <c r="AP39" s="24">
        <v>0</v>
      </c>
      <c r="AQ39" s="58">
        <f t="shared" si="2"/>
        <v>0</v>
      </c>
      <c r="AR39" s="59">
        <f t="shared" si="3"/>
        <v>0</v>
      </c>
      <c r="AS39" s="35"/>
    </row>
    <row r="40" spans="1:45" ht="16" x14ac:dyDescent="0.2">
      <c r="A40" s="53">
        <v>37</v>
      </c>
      <c r="B40" s="55" t="s">
        <v>51</v>
      </c>
      <c r="C40" s="54" t="s">
        <v>62</v>
      </c>
      <c r="D40" s="350"/>
      <c r="E40" s="53"/>
      <c r="F40" s="56"/>
      <c r="G40" s="53"/>
      <c r="H40" s="56"/>
      <c r="I40" s="57"/>
      <c r="J40" s="53"/>
      <c r="K40" s="56"/>
      <c r="L40" s="57"/>
      <c r="M40" s="58"/>
      <c r="N40" s="56"/>
      <c r="O40" s="57"/>
      <c r="P40" s="58">
        <f t="shared" si="0"/>
        <v>0.72</v>
      </c>
      <c r="Q40" s="59">
        <f t="shared" si="1"/>
        <v>1800</v>
      </c>
      <c r="R40" s="35">
        <v>1</v>
      </c>
      <c r="S40" s="19">
        <v>0</v>
      </c>
      <c r="T40" s="23">
        <v>0</v>
      </c>
      <c r="U40" s="24">
        <v>0</v>
      </c>
      <c r="V40" s="33">
        <v>0</v>
      </c>
      <c r="W40" s="34">
        <v>0</v>
      </c>
      <c r="X40" s="35">
        <v>0</v>
      </c>
      <c r="Y40" s="19">
        <v>0</v>
      </c>
      <c r="Z40" s="23">
        <v>0</v>
      </c>
      <c r="AA40" s="24">
        <v>0</v>
      </c>
      <c r="AB40" s="33">
        <v>0</v>
      </c>
      <c r="AC40" s="34">
        <v>0</v>
      </c>
      <c r="AD40" s="35">
        <v>0</v>
      </c>
      <c r="AE40" s="36">
        <v>0</v>
      </c>
      <c r="AF40" s="23">
        <v>0</v>
      </c>
      <c r="AG40" s="24">
        <v>0</v>
      </c>
      <c r="AH40" s="33">
        <v>0</v>
      </c>
      <c r="AI40" s="37">
        <v>0</v>
      </c>
      <c r="AJ40" s="35">
        <v>0</v>
      </c>
      <c r="AK40" s="36">
        <v>0</v>
      </c>
      <c r="AL40" s="38">
        <v>0</v>
      </c>
      <c r="AM40" s="35">
        <v>0</v>
      </c>
      <c r="AN40" s="19">
        <v>0</v>
      </c>
      <c r="AO40" s="23">
        <v>0</v>
      </c>
      <c r="AP40" s="24">
        <v>0</v>
      </c>
      <c r="AQ40" s="58">
        <f t="shared" si="2"/>
        <v>0.72</v>
      </c>
      <c r="AR40" s="59">
        <f t="shared" si="3"/>
        <v>1800</v>
      </c>
      <c r="AS40" s="35">
        <v>1</v>
      </c>
    </row>
    <row r="41" spans="1:45" ht="16" x14ac:dyDescent="0.2">
      <c r="A41" s="53">
        <v>38</v>
      </c>
      <c r="B41" s="55" t="s">
        <v>51</v>
      </c>
      <c r="C41" s="54" t="s">
        <v>63</v>
      </c>
      <c r="D41" s="350"/>
      <c r="E41" s="53"/>
      <c r="F41" s="56"/>
      <c r="G41" s="53"/>
      <c r="H41" s="56"/>
      <c r="I41" s="57"/>
      <c r="J41" s="53"/>
      <c r="K41" s="56"/>
      <c r="L41" s="57"/>
      <c r="M41" s="58"/>
      <c r="N41" s="56"/>
      <c r="O41" s="57"/>
      <c r="P41" s="58">
        <f t="shared" si="0"/>
        <v>1.44</v>
      </c>
      <c r="Q41" s="59">
        <f t="shared" si="1"/>
        <v>3600</v>
      </c>
      <c r="R41" s="35">
        <v>2</v>
      </c>
      <c r="S41" s="19">
        <v>0</v>
      </c>
      <c r="T41" s="23">
        <v>0</v>
      </c>
      <c r="U41" s="24">
        <v>0</v>
      </c>
      <c r="V41" s="33">
        <v>0</v>
      </c>
      <c r="W41" s="34">
        <v>0</v>
      </c>
      <c r="X41" s="35">
        <v>0</v>
      </c>
      <c r="Y41" s="19">
        <v>0</v>
      </c>
      <c r="Z41" s="23">
        <v>0</v>
      </c>
      <c r="AA41" s="24">
        <v>0</v>
      </c>
      <c r="AB41" s="33">
        <v>0</v>
      </c>
      <c r="AC41" s="34">
        <v>0</v>
      </c>
      <c r="AD41" s="35">
        <v>0</v>
      </c>
      <c r="AE41" s="36">
        <v>0</v>
      </c>
      <c r="AF41" s="23">
        <v>0</v>
      </c>
      <c r="AG41" s="24">
        <v>0</v>
      </c>
      <c r="AH41" s="33">
        <v>0</v>
      </c>
      <c r="AI41" s="37">
        <v>0</v>
      </c>
      <c r="AJ41" s="35">
        <v>0</v>
      </c>
      <c r="AK41" s="36">
        <v>0</v>
      </c>
      <c r="AL41" s="38">
        <v>0</v>
      </c>
      <c r="AM41" s="35">
        <v>0</v>
      </c>
      <c r="AN41" s="19">
        <v>0</v>
      </c>
      <c r="AO41" s="23">
        <v>0</v>
      </c>
      <c r="AP41" s="24">
        <v>0</v>
      </c>
      <c r="AQ41" s="58">
        <f t="shared" si="2"/>
        <v>1.44</v>
      </c>
      <c r="AR41" s="59">
        <f t="shared" si="3"/>
        <v>3600</v>
      </c>
      <c r="AS41" s="35">
        <v>2</v>
      </c>
    </row>
    <row r="42" spans="1:45" ht="16" x14ac:dyDescent="0.2">
      <c r="A42" s="53">
        <v>39</v>
      </c>
      <c r="B42" s="55" t="s">
        <v>51</v>
      </c>
      <c r="C42" s="54" t="s">
        <v>64</v>
      </c>
      <c r="D42" s="350"/>
      <c r="E42" s="53"/>
      <c r="F42" s="56"/>
      <c r="G42" s="53"/>
      <c r="H42" s="56"/>
      <c r="I42" s="57"/>
      <c r="J42" s="53"/>
      <c r="K42" s="56"/>
      <c r="L42" s="57"/>
      <c r="M42" s="58"/>
      <c r="N42" s="56"/>
      <c r="O42" s="57"/>
      <c r="P42" s="58">
        <f t="shared" si="0"/>
        <v>2.16</v>
      </c>
      <c r="Q42" s="59">
        <f t="shared" si="1"/>
        <v>5400</v>
      </c>
      <c r="R42" s="35">
        <v>3</v>
      </c>
      <c r="S42" s="19">
        <v>0</v>
      </c>
      <c r="T42" s="23">
        <v>0</v>
      </c>
      <c r="U42" s="24">
        <v>0</v>
      </c>
      <c r="V42" s="33">
        <v>0</v>
      </c>
      <c r="W42" s="34">
        <v>0</v>
      </c>
      <c r="X42" s="35">
        <v>0</v>
      </c>
      <c r="Y42" s="19">
        <v>0</v>
      </c>
      <c r="Z42" s="23">
        <v>0</v>
      </c>
      <c r="AA42" s="24">
        <v>0</v>
      </c>
      <c r="AB42" s="33">
        <v>0</v>
      </c>
      <c r="AC42" s="34">
        <v>0</v>
      </c>
      <c r="AD42" s="35">
        <v>0</v>
      </c>
      <c r="AE42" s="36">
        <v>0</v>
      </c>
      <c r="AF42" s="23">
        <v>0</v>
      </c>
      <c r="AG42" s="24">
        <v>0</v>
      </c>
      <c r="AH42" s="33">
        <v>0</v>
      </c>
      <c r="AI42" s="37">
        <v>0</v>
      </c>
      <c r="AJ42" s="35">
        <v>0</v>
      </c>
      <c r="AK42" s="36">
        <v>0</v>
      </c>
      <c r="AL42" s="38">
        <v>0</v>
      </c>
      <c r="AM42" s="35">
        <v>0</v>
      </c>
      <c r="AN42" s="19">
        <v>0</v>
      </c>
      <c r="AO42" s="23">
        <v>0</v>
      </c>
      <c r="AP42" s="24">
        <v>0</v>
      </c>
      <c r="AQ42" s="58">
        <f t="shared" si="2"/>
        <v>2.16</v>
      </c>
      <c r="AR42" s="59">
        <f t="shared" si="3"/>
        <v>5400</v>
      </c>
      <c r="AS42" s="35">
        <v>3</v>
      </c>
    </row>
    <row r="43" spans="1:45" ht="16" x14ac:dyDescent="0.2">
      <c r="A43" s="53">
        <v>40</v>
      </c>
      <c r="B43" s="55" t="s">
        <v>51</v>
      </c>
      <c r="C43" s="54" t="s">
        <v>65</v>
      </c>
      <c r="D43" s="350"/>
      <c r="E43" s="53"/>
      <c r="F43" s="56"/>
      <c r="G43" s="53"/>
      <c r="H43" s="56"/>
      <c r="I43" s="57"/>
      <c r="J43" s="53"/>
      <c r="K43" s="56"/>
      <c r="L43" s="57"/>
      <c r="M43" s="58"/>
      <c r="N43" s="56"/>
      <c r="O43" s="57"/>
      <c r="P43" s="58">
        <f t="shared" si="0"/>
        <v>0</v>
      </c>
      <c r="Q43" s="59">
        <f t="shared" si="1"/>
        <v>0</v>
      </c>
      <c r="R43" s="35">
        <v>0</v>
      </c>
      <c r="S43" s="19">
        <v>0</v>
      </c>
      <c r="T43" s="23">
        <v>0</v>
      </c>
      <c r="U43" s="24">
        <v>0</v>
      </c>
      <c r="V43" s="33">
        <v>0</v>
      </c>
      <c r="W43" s="34">
        <v>0</v>
      </c>
      <c r="X43" s="35">
        <v>0</v>
      </c>
      <c r="Y43" s="19">
        <v>0</v>
      </c>
      <c r="Z43" s="23">
        <v>0</v>
      </c>
      <c r="AA43" s="24">
        <v>0</v>
      </c>
      <c r="AB43" s="33">
        <v>0</v>
      </c>
      <c r="AC43" s="34">
        <v>0</v>
      </c>
      <c r="AD43" s="35">
        <v>0</v>
      </c>
      <c r="AE43" s="36">
        <v>0</v>
      </c>
      <c r="AF43" s="23">
        <v>0</v>
      </c>
      <c r="AG43" s="24">
        <v>0</v>
      </c>
      <c r="AH43" s="33">
        <v>0</v>
      </c>
      <c r="AI43" s="37">
        <v>0</v>
      </c>
      <c r="AJ43" s="35">
        <v>0</v>
      </c>
      <c r="AK43" s="36">
        <v>0</v>
      </c>
      <c r="AL43" s="38">
        <v>0</v>
      </c>
      <c r="AM43" s="35">
        <v>0</v>
      </c>
      <c r="AN43" s="19">
        <v>0</v>
      </c>
      <c r="AO43" s="23">
        <v>0</v>
      </c>
      <c r="AP43" s="24">
        <v>0</v>
      </c>
      <c r="AQ43" s="58">
        <f t="shared" si="2"/>
        <v>0</v>
      </c>
      <c r="AR43" s="59">
        <f t="shared" si="3"/>
        <v>0</v>
      </c>
      <c r="AS43" s="35">
        <v>0</v>
      </c>
    </row>
    <row r="44" spans="1:45" ht="16" x14ac:dyDescent="0.2">
      <c r="A44" s="53">
        <v>41</v>
      </c>
      <c r="B44" s="55" t="s">
        <v>51</v>
      </c>
      <c r="C44" s="54" t="s">
        <v>66</v>
      </c>
      <c r="D44" s="350"/>
      <c r="E44" s="53"/>
      <c r="F44" s="56"/>
      <c r="G44" s="53"/>
      <c r="H44" s="56"/>
      <c r="I44" s="57"/>
      <c r="J44" s="53"/>
      <c r="K44" s="56"/>
      <c r="L44" s="57"/>
      <c r="M44" s="58"/>
      <c r="N44" s="56"/>
      <c r="O44" s="57"/>
      <c r="P44" s="58">
        <f t="shared" si="0"/>
        <v>3.6</v>
      </c>
      <c r="Q44" s="59">
        <f t="shared" si="1"/>
        <v>9000</v>
      </c>
      <c r="R44" s="35">
        <v>5</v>
      </c>
      <c r="S44" s="19">
        <v>0</v>
      </c>
      <c r="T44" s="23">
        <v>0</v>
      </c>
      <c r="U44" s="24">
        <v>0</v>
      </c>
      <c r="V44" s="33">
        <v>0</v>
      </c>
      <c r="W44" s="34">
        <v>0</v>
      </c>
      <c r="X44" s="35">
        <v>0</v>
      </c>
      <c r="Y44" s="19">
        <v>0</v>
      </c>
      <c r="Z44" s="23">
        <v>0</v>
      </c>
      <c r="AA44" s="24">
        <v>0</v>
      </c>
      <c r="AB44" s="33">
        <v>0</v>
      </c>
      <c r="AC44" s="34">
        <v>0</v>
      </c>
      <c r="AD44" s="35">
        <v>0</v>
      </c>
      <c r="AE44" s="36">
        <v>0</v>
      </c>
      <c r="AF44" s="23">
        <v>0</v>
      </c>
      <c r="AG44" s="24">
        <v>0</v>
      </c>
      <c r="AH44" s="33">
        <v>0</v>
      </c>
      <c r="AI44" s="37">
        <v>0</v>
      </c>
      <c r="AJ44" s="35">
        <v>0</v>
      </c>
      <c r="AK44" s="36">
        <v>0</v>
      </c>
      <c r="AL44" s="38">
        <v>0</v>
      </c>
      <c r="AM44" s="35">
        <v>0</v>
      </c>
      <c r="AN44" s="19">
        <v>0</v>
      </c>
      <c r="AO44" s="23">
        <v>0</v>
      </c>
      <c r="AP44" s="24">
        <v>0</v>
      </c>
      <c r="AQ44" s="58">
        <f t="shared" si="2"/>
        <v>3.6</v>
      </c>
      <c r="AR44" s="59">
        <f t="shared" si="3"/>
        <v>9000</v>
      </c>
      <c r="AS44" s="35">
        <v>5</v>
      </c>
    </row>
    <row r="45" spans="1:45" ht="16" x14ac:dyDescent="0.2">
      <c r="A45" s="53">
        <v>42</v>
      </c>
      <c r="B45" s="55" t="s">
        <v>67</v>
      </c>
      <c r="C45" s="54" t="s">
        <v>68</v>
      </c>
      <c r="D45" s="350"/>
      <c r="E45" s="53"/>
      <c r="F45" s="56"/>
      <c r="G45" s="53"/>
      <c r="H45" s="56"/>
      <c r="I45" s="57"/>
      <c r="J45" s="53"/>
      <c r="K45" s="56"/>
      <c r="L45" s="57"/>
      <c r="M45" s="58"/>
      <c r="N45" s="56"/>
      <c r="O45" s="57"/>
      <c r="P45" s="58">
        <f t="shared" si="0"/>
        <v>0.72</v>
      </c>
      <c r="Q45" s="59">
        <f t="shared" si="1"/>
        <v>1800</v>
      </c>
      <c r="R45" s="19">
        <v>1</v>
      </c>
      <c r="S45" s="19">
        <v>0</v>
      </c>
      <c r="T45" s="23">
        <v>0</v>
      </c>
      <c r="U45" s="24">
        <v>0</v>
      </c>
      <c r="V45" s="33">
        <v>0</v>
      </c>
      <c r="W45" s="34">
        <v>0</v>
      </c>
      <c r="X45" s="35">
        <v>0</v>
      </c>
      <c r="Y45" s="19">
        <v>0</v>
      </c>
      <c r="Z45" s="23">
        <v>0</v>
      </c>
      <c r="AA45" s="24">
        <v>0</v>
      </c>
      <c r="AB45" s="33">
        <v>0</v>
      </c>
      <c r="AC45" s="34">
        <v>0</v>
      </c>
      <c r="AD45" s="35">
        <v>0</v>
      </c>
      <c r="AE45" s="36">
        <v>0</v>
      </c>
      <c r="AF45" s="23">
        <v>0</v>
      </c>
      <c r="AG45" s="24">
        <v>0</v>
      </c>
      <c r="AH45" s="33">
        <v>0</v>
      </c>
      <c r="AI45" s="37">
        <v>0</v>
      </c>
      <c r="AJ45" s="35">
        <v>0</v>
      </c>
      <c r="AK45" s="36">
        <v>0</v>
      </c>
      <c r="AL45" s="38">
        <v>0</v>
      </c>
      <c r="AM45" s="35">
        <v>0</v>
      </c>
      <c r="AN45" s="19">
        <v>0</v>
      </c>
      <c r="AO45" s="23">
        <v>0</v>
      </c>
      <c r="AP45" s="24">
        <v>0</v>
      </c>
      <c r="AQ45" s="58">
        <f t="shared" si="2"/>
        <v>0.72</v>
      </c>
      <c r="AR45" s="59">
        <f t="shared" si="3"/>
        <v>1800</v>
      </c>
      <c r="AS45" s="19">
        <v>1</v>
      </c>
    </row>
    <row r="46" spans="1:45" ht="16" x14ac:dyDescent="0.2">
      <c r="A46" s="53">
        <v>43</v>
      </c>
      <c r="B46" s="55" t="s">
        <v>67</v>
      </c>
      <c r="C46" s="54" t="s">
        <v>67</v>
      </c>
      <c r="D46" s="350"/>
      <c r="E46" s="53"/>
      <c r="F46" s="56"/>
      <c r="G46" s="53"/>
      <c r="H46" s="56"/>
      <c r="I46" s="57"/>
      <c r="J46" s="53"/>
      <c r="K46" s="56"/>
      <c r="L46" s="57"/>
      <c r="M46" s="58"/>
      <c r="N46" s="56"/>
      <c r="O46" s="57"/>
      <c r="P46" s="58">
        <f t="shared" si="0"/>
        <v>8.64</v>
      </c>
      <c r="Q46" s="59">
        <f t="shared" si="1"/>
        <v>21600</v>
      </c>
      <c r="R46" s="19">
        <v>12</v>
      </c>
      <c r="S46" s="19">
        <v>0</v>
      </c>
      <c r="T46" s="23">
        <v>0</v>
      </c>
      <c r="U46" s="24">
        <v>0</v>
      </c>
      <c r="V46" s="33">
        <v>0</v>
      </c>
      <c r="W46" s="34">
        <v>0</v>
      </c>
      <c r="X46" s="35">
        <v>0</v>
      </c>
      <c r="Y46" s="19">
        <v>0</v>
      </c>
      <c r="Z46" s="23">
        <v>0</v>
      </c>
      <c r="AA46" s="24">
        <v>0</v>
      </c>
      <c r="AB46" s="33">
        <v>0</v>
      </c>
      <c r="AC46" s="34">
        <v>0</v>
      </c>
      <c r="AD46" s="35">
        <v>0</v>
      </c>
      <c r="AE46" s="36">
        <v>0</v>
      </c>
      <c r="AF46" s="23">
        <v>0</v>
      </c>
      <c r="AG46" s="24">
        <v>0</v>
      </c>
      <c r="AH46" s="33">
        <v>0</v>
      </c>
      <c r="AI46" s="37">
        <v>0</v>
      </c>
      <c r="AJ46" s="35">
        <v>0</v>
      </c>
      <c r="AK46" s="36">
        <v>0</v>
      </c>
      <c r="AL46" s="38">
        <v>0</v>
      </c>
      <c r="AM46" s="35">
        <v>0</v>
      </c>
      <c r="AN46" s="19">
        <v>0</v>
      </c>
      <c r="AO46" s="23">
        <v>0</v>
      </c>
      <c r="AP46" s="24">
        <v>0</v>
      </c>
      <c r="AQ46" s="58">
        <f t="shared" si="2"/>
        <v>8.64</v>
      </c>
      <c r="AR46" s="59">
        <f t="shared" si="3"/>
        <v>21600</v>
      </c>
      <c r="AS46" s="19">
        <v>12</v>
      </c>
    </row>
    <row r="47" spans="1:45" ht="16" x14ac:dyDescent="0.2">
      <c r="A47" s="53">
        <v>44</v>
      </c>
      <c r="B47" s="55" t="s">
        <v>67</v>
      </c>
      <c r="C47" s="54" t="s">
        <v>69</v>
      </c>
      <c r="D47" s="350"/>
      <c r="E47" s="53"/>
      <c r="F47" s="56"/>
      <c r="G47" s="53"/>
      <c r="H47" s="56"/>
      <c r="I47" s="57"/>
      <c r="J47" s="53"/>
      <c r="K47" s="56"/>
      <c r="L47" s="57"/>
      <c r="M47" s="58"/>
      <c r="N47" s="56"/>
      <c r="O47" s="57"/>
      <c r="P47" s="58">
        <f t="shared" si="0"/>
        <v>0</v>
      </c>
      <c r="Q47" s="59">
        <f t="shared" si="1"/>
        <v>0</v>
      </c>
      <c r="R47" s="35"/>
      <c r="S47" s="19">
        <v>0</v>
      </c>
      <c r="T47" s="23">
        <v>0</v>
      </c>
      <c r="U47" s="24">
        <v>0</v>
      </c>
      <c r="V47" s="33">
        <v>0</v>
      </c>
      <c r="W47" s="34">
        <v>0</v>
      </c>
      <c r="X47" s="35">
        <v>0</v>
      </c>
      <c r="Y47" s="19">
        <v>0</v>
      </c>
      <c r="Z47" s="23">
        <v>0</v>
      </c>
      <c r="AA47" s="24">
        <v>0</v>
      </c>
      <c r="AB47" s="33">
        <v>0</v>
      </c>
      <c r="AC47" s="34">
        <v>0</v>
      </c>
      <c r="AD47" s="35">
        <v>0</v>
      </c>
      <c r="AE47" s="36">
        <v>0</v>
      </c>
      <c r="AF47" s="23">
        <v>0</v>
      </c>
      <c r="AG47" s="24">
        <v>0</v>
      </c>
      <c r="AH47" s="33">
        <v>0</v>
      </c>
      <c r="AI47" s="37">
        <v>0</v>
      </c>
      <c r="AJ47" s="35">
        <v>0</v>
      </c>
      <c r="AK47" s="36">
        <v>0</v>
      </c>
      <c r="AL47" s="38">
        <v>0</v>
      </c>
      <c r="AM47" s="35">
        <v>0</v>
      </c>
      <c r="AN47" s="19">
        <v>0</v>
      </c>
      <c r="AO47" s="23">
        <v>0</v>
      </c>
      <c r="AP47" s="24">
        <v>0</v>
      </c>
      <c r="AQ47" s="58">
        <f t="shared" si="2"/>
        <v>0</v>
      </c>
      <c r="AR47" s="59">
        <f t="shared" si="3"/>
        <v>0</v>
      </c>
      <c r="AS47" s="35"/>
    </row>
    <row r="48" spans="1:45" ht="16" x14ac:dyDescent="0.2">
      <c r="A48" s="53">
        <v>45</v>
      </c>
      <c r="B48" s="55" t="s">
        <v>67</v>
      </c>
      <c r="C48" s="54" t="s">
        <v>70</v>
      </c>
      <c r="D48" s="350"/>
      <c r="E48" s="53"/>
      <c r="F48" s="56"/>
      <c r="G48" s="53"/>
      <c r="H48" s="56"/>
      <c r="I48" s="57"/>
      <c r="J48" s="53"/>
      <c r="K48" s="56"/>
      <c r="L48" s="57"/>
      <c r="M48" s="58"/>
      <c r="N48" s="56"/>
      <c r="O48" s="57"/>
      <c r="P48" s="58">
        <f t="shared" si="0"/>
        <v>0</v>
      </c>
      <c r="Q48" s="59">
        <f t="shared" si="1"/>
        <v>0</v>
      </c>
      <c r="R48" s="35"/>
      <c r="S48" s="19">
        <v>0</v>
      </c>
      <c r="T48" s="23">
        <v>0</v>
      </c>
      <c r="U48" s="24">
        <v>0</v>
      </c>
      <c r="V48" s="33">
        <v>0</v>
      </c>
      <c r="W48" s="34">
        <v>0</v>
      </c>
      <c r="X48" s="35">
        <v>0</v>
      </c>
      <c r="Y48" s="19">
        <v>0</v>
      </c>
      <c r="Z48" s="23">
        <v>0</v>
      </c>
      <c r="AA48" s="24">
        <v>0</v>
      </c>
      <c r="AB48" s="33">
        <v>0</v>
      </c>
      <c r="AC48" s="34">
        <v>0</v>
      </c>
      <c r="AD48" s="35">
        <v>0</v>
      </c>
      <c r="AE48" s="36">
        <v>0</v>
      </c>
      <c r="AF48" s="23">
        <v>0</v>
      </c>
      <c r="AG48" s="24">
        <v>0</v>
      </c>
      <c r="AH48" s="33">
        <v>0</v>
      </c>
      <c r="AI48" s="37">
        <v>0</v>
      </c>
      <c r="AJ48" s="35">
        <v>0</v>
      </c>
      <c r="AK48" s="36">
        <v>0</v>
      </c>
      <c r="AL48" s="38">
        <v>0</v>
      </c>
      <c r="AM48" s="35">
        <v>0</v>
      </c>
      <c r="AN48" s="19">
        <v>0</v>
      </c>
      <c r="AO48" s="23">
        <v>0</v>
      </c>
      <c r="AP48" s="24">
        <v>0</v>
      </c>
      <c r="AQ48" s="58">
        <f t="shared" si="2"/>
        <v>0</v>
      </c>
      <c r="AR48" s="59">
        <f t="shared" si="3"/>
        <v>0</v>
      </c>
      <c r="AS48" s="35"/>
    </row>
    <row r="49" spans="1:45" ht="16" x14ac:dyDescent="0.2">
      <c r="A49" s="53">
        <v>46</v>
      </c>
      <c r="B49" s="55" t="s">
        <v>67</v>
      </c>
      <c r="C49" s="54" t="s">
        <v>71</v>
      </c>
      <c r="D49" s="350"/>
      <c r="E49" s="53"/>
      <c r="F49" s="56"/>
      <c r="G49" s="53"/>
      <c r="H49" s="56"/>
      <c r="I49" s="57"/>
      <c r="J49" s="53"/>
      <c r="K49" s="56"/>
      <c r="L49" s="57"/>
      <c r="M49" s="58"/>
      <c r="N49" s="56"/>
      <c r="O49" s="57"/>
      <c r="P49" s="58">
        <f t="shared" si="0"/>
        <v>0.72</v>
      </c>
      <c r="Q49" s="59">
        <f t="shared" si="1"/>
        <v>1800</v>
      </c>
      <c r="R49" s="19">
        <v>1</v>
      </c>
      <c r="S49" s="19">
        <v>0</v>
      </c>
      <c r="T49" s="23">
        <v>0</v>
      </c>
      <c r="U49" s="24">
        <v>0</v>
      </c>
      <c r="V49" s="33">
        <v>0</v>
      </c>
      <c r="W49" s="34">
        <v>0</v>
      </c>
      <c r="X49" s="35">
        <v>0</v>
      </c>
      <c r="Y49" s="19">
        <v>0</v>
      </c>
      <c r="Z49" s="23">
        <v>0</v>
      </c>
      <c r="AA49" s="24">
        <v>0</v>
      </c>
      <c r="AB49" s="33">
        <v>0</v>
      </c>
      <c r="AC49" s="34">
        <v>0</v>
      </c>
      <c r="AD49" s="35">
        <v>0</v>
      </c>
      <c r="AE49" s="36">
        <v>0</v>
      </c>
      <c r="AF49" s="23">
        <v>0</v>
      </c>
      <c r="AG49" s="24">
        <v>0</v>
      </c>
      <c r="AH49" s="33">
        <v>0</v>
      </c>
      <c r="AI49" s="37">
        <v>0</v>
      </c>
      <c r="AJ49" s="35">
        <v>0</v>
      </c>
      <c r="AK49" s="36">
        <v>0</v>
      </c>
      <c r="AL49" s="38">
        <v>0</v>
      </c>
      <c r="AM49" s="35">
        <v>0</v>
      </c>
      <c r="AN49" s="19">
        <v>0</v>
      </c>
      <c r="AO49" s="23">
        <v>0</v>
      </c>
      <c r="AP49" s="24">
        <v>0</v>
      </c>
      <c r="AQ49" s="58">
        <f t="shared" si="2"/>
        <v>0.72</v>
      </c>
      <c r="AR49" s="59">
        <f t="shared" si="3"/>
        <v>1800</v>
      </c>
      <c r="AS49" s="19">
        <v>1</v>
      </c>
    </row>
    <row r="50" spans="1:45" ht="16" x14ac:dyDescent="0.2">
      <c r="A50" s="53">
        <v>47</v>
      </c>
      <c r="B50" s="55" t="s">
        <v>67</v>
      </c>
      <c r="C50" s="54" t="s">
        <v>72</v>
      </c>
      <c r="D50" s="350"/>
      <c r="E50" s="53"/>
      <c r="F50" s="56"/>
      <c r="G50" s="53"/>
      <c r="H50" s="56"/>
      <c r="I50" s="57"/>
      <c r="J50" s="53"/>
      <c r="K50" s="56"/>
      <c r="L50" s="57"/>
      <c r="M50" s="58"/>
      <c r="N50" s="56"/>
      <c r="O50" s="57"/>
      <c r="P50" s="58">
        <f t="shared" si="0"/>
        <v>5.04</v>
      </c>
      <c r="Q50" s="59">
        <f t="shared" si="1"/>
        <v>12600</v>
      </c>
      <c r="R50" s="19">
        <v>7</v>
      </c>
      <c r="S50" s="19">
        <v>0</v>
      </c>
      <c r="T50" s="23">
        <v>0</v>
      </c>
      <c r="U50" s="24">
        <v>0</v>
      </c>
      <c r="V50" s="33">
        <v>0</v>
      </c>
      <c r="W50" s="34">
        <v>0</v>
      </c>
      <c r="X50" s="35">
        <v>0</v>
      </c>
      <c r="Y50" s="19">
        <v>0</v>
      </c>
      <c r="Z50" s="23">
        <v>0</v>
      </c>
      <c r="AA50" s="24">
        <v>0</v>
      </c>
      <c r="AB50" s="33">
        <v>0</v>
      </c>
      <c r="AC50" s="34">
        <v>0</v>
      </c>
      <c r="AD50" s="35">
        <v>0</v>
      </c>
      <c r="AE50" s="36">
        <v>0</v>
      </c>
      <c r="AF50" s="23">
        <v>0</v>
      </c>
      <c r="AG50" s="24">
        <v>0</v>
      </c>
      <c r="AH50" s="33">
        <v>0</v>
      </c>
      <c r="AI50" s="37">
        <v>0</v>
      </c>
      <c r="AJ50" s="35">
        <v>0</v>
      </c>
      <c r="AK50" s="36">
        <v>0</v>
      </c>
      <c r="AL50" s="38">
        <v>0</v>
      </c>
      <c r="AM50" s="35">
        <v>0</v>
      </c>
      <c r="AN50" s="19">
        <v>0</v>
      </c>
      <c r="AO50" s="23">
        <v>0</v>
      </c>
      <c r="AP50" s="24">
        <v>0</v>
      </c>
      <c r="AQ50" s="58">
        <f t="shared" si="2"/>
        <v>5.04</v>
      </c>
      <c r="AR50" s="59">
        <f t="shared" si="3"/>
        <v>12600</v>
      </c>
      <c r="AS50" s="19">
        <v>7</v>
      </c>
    </row>
    <row r="51" spans="1:45" ht="16" x14ac:dyDescent="0.2">
      <c r="A51" s="53">
        <v>48</v>
      </c>
      <c r="B51" s="55" t="s">
        <v>67</v>
      </c>
      <c r="C51" s="54" t="s">
        <v>73</v>
      </c>
      <c r="D51" s="350"/>
      <c r="E51" s="53"/>
      <c r="F51" s="56"/>
      <c r="G51" s="53"/>
      <c r="H51" s="56"/>
      <c r="I51" s="57"/>
      <c r="J51" s="53"/>
      <c r="K51" s="56"/>
      <c r="L51" s="57"/>
      <c r="M51" s="58"/>
      <c r="N51" s="56"/>
      <c r="O51" s="57"/>
      <c r="P51" s="58">
        <f t="shared" si="0"/>
        <v>1.44</v>
      </c>
      <c r="Q51" s="59">
        <f t="shared" si="1"/>
        <v>3600</v>
      </c>
      <c r="R51" s="19">
        <v>2</v>
      </c>
      <c r="S51" s="19">
        <v>0</v>
      </c>
      <c r="T51" s="23">
        <v>0</v>
      </c>
      <c r="U51" s="24">
        <v>0</v>
      </c>
      <c r="V51" s="33">
        <v>0</v>
      </c>
      <c r="W51" s="34">
        <v>0</v>
      </c>
      <c r="X51" s="35">
        <v>0</v>
      </c>
      <c r="Y51" s="19">
        <v>0</v>
      </c>
      <c r="Z51" s="23">
        <v>0</v>
      </c>
      <c r="AA51" s="24">
        <v>0</v>
      </c>
      <c r="AB51" s="33">
        <v>0</v>
      </c>
      <c r="AC51" s="34">
        <v>0</v>
      </c>
      <c r="AD51" s="35">
        <v>0</v>
      </c>
      <c r="AE51" s="36">
        <v>0</v>
      </c>
      <c r="AF51" s="23">
        <v>0</v>
      </c>
      <c r="AG51" s="24">
        <v>0</v>
      </c>
      <c r="AH51" s="33">
        <v>0</v>
      </c>
      <c r="AI51" s="37">
        <v>0</v>
      </c>
      <c r="AJ51" s="35">
        <v>0</v>
      </c>
      <c r="AK51" s="36">
        <v>0</v>
      </c>
      <c r="AL51" s="38">
        <v>0</v>
      </c>
      <c r="AM51" s="35">
        <v>0</v>
      </c>
      <c r="AN51" s="19">
        <v>0</v>
      </c>
      <c r="AO51" s="23">
        <v>0</v>
      </c>
      <c r="AP51" s="24">
        <v>0</v>
      </c>
      <c r="AQ51" s="58">
        <f t="shared" si="2"/>
        <v>1.44</v>
      </c>
      <c r="AR51" s="59">
        <f t="shared" si="3"/>
        <v>3600</v>
      </c>
      <c r="AS51" s="19">
        <v>2</v>
      </c>
    </row>
    <row r="52" spans="1:45" ht="16" x14ac:dyDescent="0.2">
      <c r="A52" s="53">
        <v>49</v>
      </c>
      <c r="B52" s="55" t="s">
        <v>67</v>
      </c>
      <c r="C52" s="54" t="s">
        <v>74</v>
      </c>
      <c r="D52" s="350"/>
      <c r="E52" s="53"/>
      <c r="F52" s="56"/>
      <c r="G52" s="53"/>
      <c r="H52" s="56"/>
      <c r="I52" s="57"/>
      <c r="J52" s="53"/>
      <c r="K52" s="56"/>
      <c r="L52" s="57"/>
      <c r="M52" s="58"/>
      <c r="N52" s="56"/>
      <c r="O52" s="57"/>
      <c r="P52" s="58">
        <f t="shared" si="0"/>
        <v>3.6</v>
      </c>
      <c r="Q52" s="59">
        <f t="shared" si="1"/>
        <v>9000</v>
      </c>
      <c r="R52" s="19">
        <v>5</v>
      </c>
      <c r="S52" s="19">
        <v>0</v>
      </c>
      <c r="T52" s="23">
        <v>0</v>
      </c>
      <c r="U52" s="24">
        <v>0</v>
      </c>
      <c r="V52" s="33">
        <v>0</v>
      </c>
      <c r="W52" s="34">
        <v>0</v>
      </c>
      <c r="X52" s="35">
        <v>0</v>
      </c>
      <c r="Y52" s="19">
        <v>0</v>
      </c>
      <c r="Z52" s="23">
        <v>0</v>
      </c>
      <c r="AA52" s="24">
        <v>0</v>
      </c>
      <c r="AB52" s="33">
        <v>0</v>
      </c>
      <c r="AC52" s="34">
        <v>0</v>
      </c>
      <c r="AD52" s="35">
        <v>0</v>
      </c>
      <c r="AE52" s="36">
        <v>0</v>
      </c>
      <c r="AF52" s="23">
        <v>0</v>
      </c>
      <c r="AG52" s="24">
        <v>0</v>
      </c>
      <c r="AH52" s="33">
        <v>0</v>
      </c>
      <c r="AI52" s="37">
        <v>0</v>
      </c>
      <c r="AJ52" s="35">
        <v>0</v>
      </c>
      <c r="AK52" s="36">
        <v>0</v>
      </c>
      <c r="AL52" s="38">
        <v>0</v>
      </c>
      <c r="AM52" s="35">
        <v>0</v>
      </c>
      <c r="AN52" s="19">
        <v>0</v>
      </c>
      <c r="AO52" s="23">
        <v>0</v>
      </c>
      <c r="AP52" s="24">
        <v>0</v>
      </c>
      <c r="AQ52" s="58">
        <f t="shared" si="2"/>
        <v>3.6</v>
      </c>
      <c r="AR52" s="59">
        <f t="shared" si="3"/>
        <v>9000</v>
      </c>
      <c r="AS52" s="19">
        <v>5</v>
      </c>
    </row>
    <row r="53" spans="1:45" ht="16" x14ac:dyDescent="0.2">
      <c r="A53" s="53">
        <v>50</v>
      </c>
      <c r="B53" s="55" t="s">
        <v>67</v>
      </c>
      <c r="C53" s="54" t="s">
        <v>75</v>
      </c>
      <c r="D53" s="350"/>
      <c r="E53" s="53"/>
      <c r="F53" s="56"/>
      <c r="G53" s="53"/>
      <c r="H53" s="56"/>
      <c r="I53" s="57"/>
      <c r="J53" s="53"/>
      <c r="K53" s="56"/>
      <c r="L53" s="57"/>
      <c r="M53" s="58"/>
      <c r="N53" s="56"/>
      <c r="O53" s="57"/>
      <c r="P53" s="58">
        <f t="shared" si="0"/>
        <v>3.6</v>
      </c>
      <c r="Q53" s="59">
        <f t="shared" si="1"/>
        <v>9000</v>
      </c>
      <c r="R53" s="35">
        <v>5</v>
      </c>
      <c r="S53" s="19">
        <v>0</v>
      </c>
      <c r="T53" s="23">
        <v>0</v>
      </c>
      <c r="U53" s="24">
        <v>0</v>
      </c>
      <c r="V53" s="33">
        <v>0</v>
      </c>
      <c r="W53" s="34">
        <v>0</v>
      </c>
      <c r="X53" s="35">
        <v>0</v>
      </c>
      <c r="Y53" s="19">
        <v>0</v>
      </c>
      <c r="Z53" s="23">
        <v>0</v>
      </c>
      <c r="AA53" s="24">
        <v>0</v>
      </c>
      <c r="AB53" s="33">
        <v>0</v>
      </c>
      <c r="AC53" s="34">
        <v>0</v>
      </c>
      <c r="AD53" s="35">
        <v>0</v>
      </c>
      <c r="AE53" s="36">
        <v>0</v>
      </c>
      <c r="AF53" s="23">
        <v>0</v>
      </c>
      <c r="AG53" s="24">
        <v>0</v>
      </c>
      <c r="AH53" s="33">
        <v>0</v>
      </c>
      <c r="AI53" s="37">
        <v>0</v>
      </c>
      <c r="AJ53" s="35">
        <v>0</v>
      </c>
      <c r="AK53" s="36">
        <v>0</v>
      </c>
      <c r="AL53" s="38">
        <v>0</v>
      </c>
      <c r="AM53" s="35">
        <v>0</v>
      </c>
      <c r="AN53" s="19">
        <v>0</v>
      </c>
      <c r="AO53" s="23">
        <v>0</v>
      </c>
      <c r="AP53" s="24">
        <v>0</v>
      </c>
      <c r="AQ53" s="58">
        <f t="shared" si="2"/>
        <v>3.6</v>
      </c>
      <c r="AR53" s="59">
        <f t="shared" si="3"/>
        <v>9000</v>
      </c>
      <c r="AS53" s="35">
        <v>5</v>
      </c>
    </row>
    <row r="54" spans="1:45" ht="16" x14ac:dyDescent="0.2">
      <c r="A54" s="53">
        <v>51</v>
      </c>
      <c r="B54" s="55" t="s">
        <v>67</v>
      </c>
      <c r="C54" s="54" t="s">
        <v>368</v>
      </c>
      <c r="D54" s="350"/>
      <c r="E54" s="53"/>
      <c r="F54" s="56"/>
      <c r="G54" s="53"/>
      <c r="H54" s="56"/>
      <c r="I54" s="57"/>
      <c r="J54" s="53"/>
      <c r="K54" s="56"/>
      <c r="L54" s="57"/>
      <c r="M54" s="58"/>
      <c r="N54" s="56"/>
      <c r="O54" s="57"/>
      <c r="P54" s="58">
        <f t="shared" si="0"/>
        <v>1.44</v>
      </c>
      <c r="Q54" s="59">
        <f t="shared" si="1"/>
        <v>3600</v>
      </c>
      <c r="R54" s="19">
        <v>2</v>
      </c>
      <c r="S54" s="19"/>
      <c r="T54" s="23"/>
      <c r="U54" s="24"/>
      <c r="V54" s="33"/>
      <c r="W54" s="34"/>
      <c r="X54" s="35"/>
      <c r="Y54" s="19"/>
      <c r="Z54" s="23"/>
      <c r="AA54" s="24"/>
      <c r="AB54" s="33"/>
      <c r="AC54" s="34"/>
      <c r="AD54" s="35"/>
      <c r="AE54" s="36"/>
      <c r="AF54" s="23"/>
      <c r="AG54" s="24"/>
      <c r="AH54" s="33"/>
      <c r="AI54" s="37"/>
      <c r="AJ54" s="35"/>
      <c r="AK54" s="36"/>
      <c r="AL54" s="38"/>
      <c r="AM54" s="35"/>
      <c r="AN54" s="19"/>
      <c r="AO54" s="23"/>
      <c r="AP54" s="24"/>
      <c r="AQ54" s="58">
        <f t="shared" si="2"/>
        <v>1.44</v>
      </c>
      <c r="AR54" s="59">
        <f t="shared" si="3"/>
        <v>3600</v>
      </c>
      <c r="AS54" s="19">
        <v>2</v>
      </c>
    </row>
    <row r="55" spans="1:45" ht="16" x14ac:dyDescent="0.2">
      <c r="A55" s="53">
        <v>51</v>
      </c>
      <c r="B55" s="55" t="s">
        <v>67</v>
      </c>
      <c r="C55" s="54" t="s">
        <v>76</v>
      </c>
      <c r="D55" s="350"/>
      <c r="E55" s="53"/>
      <c r="F55" s="56"/>
      <c r="G55" s="53"/>
      <c r="H55" s="56"/>
      <c r="I55" s="57"/>
      <c r="J55" s="53"/>
      <c r="K55" s="56"/>
      <c r="L55" s="57"/>
      <c r="M55" s="58"/>
      <c r="N55" s="56"/>
      <c r="O55" s="57"/>
      <c r="P55" s="58">
        <f t="shared" si="0"/>
        <v>0</v>
      </c>
      <c r="Q55" s="59">
        <f t="shared" si="1"/>
        <v>0</v>
      </c>
      <c r="R55" s="35">
        <v>0</v>
      </c>
      <c r="S55" s="19">
        <v>0</v>
      </c>
      <c r="T55" s="23">
        <v>0</v>
      </c>
      <c r="U55" s="24">
        <v>0</v>
      </c>
      <c r="V55" s="33">
        <v>0</v>
      </c>
      <c r="W55" s="34">
        <v>0</v>
      </c>
      <c r="X55" s="35">
        <v>0</v>
      </c>
      <c r="Y55" s="19">
        <v>0</v>
      </c>
      <c r="Z55" s="23">
        <v>0</v>
      </c>
      <c r="AA55" s="24">
        <v>0</v>
      </c>
      <c r="AB55" s="33">
        <v>0</v>
      </c>
      <c r="AC55" s="34">
        <v>0</v>
      </c>
      <c r="AD55" s="35">
        <v>0</v>
      </c>
      <c r="AE55" s="36">
        <v>0</v>
      </c>
      <c r="AF55" s="23">
        <v>0</v>
      </c>
      <c r="AG55" s="24">
        <v>0</v>
      </c>
      <c r="AH55" s="33">
        <v>0</v>
      </c>
      <c r="AI55" s="37">
        <v>0</v>
      </c>
      <c r="AJ55" s="35">
        <v>0</v>
      </c>
      <c r="AK55" s="36">
        <v>0</v>
      </c>
      <c r="AL55" s="38">
        <v>0</v>
      </c>
      <c r="AM55" s="35">
        <v>0</v>
      </c>
      <c r="AN55" s="19">
        <v>0</v>
      </c>
      <c r="AO55" s="23">
        <v>0</v>
      </c>
      <c r="AP55" s="24">
        <v>0</v>
      </c>
      <c r="AQ55" s="58">
        <f t="shared" si="2"/>
        <v>0</v>
      </c>
      <c r="AR55" s="59">
        <f t="shared" si="3"/>
        <v>0</v>
      </c>
      <c r="AS55" s="35">
        <v>0</v>
      </c>
    </row>
    <row r="56" spans="1:45" ht="16" x14ac:dyDescent="0.2">
      <c r="A56" s="53">
        <v>52</v>
      </c>
      <c r="B56" s="55" t="s">
        <v>77</v>
      </c>
      <c r="C56" s="54" t="s">
        <v>78</v>
      </c>
      <c r="D56" s="350" t="s">
        <v>25</v>
      </c>
      <c r="E56" s="53"/>
      <c r="F56" s="56"/>
      <c r="G56" s="53"/>
      <c r="H56" s="56"/>
      <c r="I56" s="57"/>
      <c r="J56" s="53"/>
      <c r="K56" s="56"/>
      <c r="L56" s="57"/>
      <c r="M56" s="58"/>
      <c r="N56" s="56"/>
      <c r="O56" s="57"/>
      <c r="P56" s="58">
        <f t="shared" si="0"/>
        <v>0.72</v>
      </c>
      <c r="Q56" s="59">
        <f t="shared" si="1"/>
        <v>1800</v>
      </c>
      <c r="R56" s="35">
        <v>1</v>
      </c>
      <c r="S56" s="19">
        <v>0</v>
      </c>
      <c r="T56" s="23">
        <v>0</v>
      </c>
      <c r="U56" s="24">
        <v>0</v>
      </c>
      <c r="V56" s="33">
        <v>0</v>
      </c>
      <c r="W56" s="34">
        <v>0</v>
      </c>
      <c r="X56" s="35">
        <v>0</v>
      </c>
      <c r="Y56" s="19">
        <v>0</v>
      </c>
      <c r="Z56" s="23">
        <v>0</v>
      </c>
      <c r="AA56" s="24">
        <v>0</v>
      </c>
      <c r="AB56" s="33">
        <v>0</v>
      </c>
      <c r="AC56" s="34">
        <v>0</v>
      </c>
      <c r="AD56" s="35">
        <v>0</v>
      </c>
      <c r="AE56" s="36">
        <v>0</v>
      </c>
      <c r="AF56" s="23">
        <v>0</v>
      </c>
      <c r="AG56" s="24">
        <v>0</v>
      </c>
      <c r="AH56" s="33">
        <v>0</v>
      </c>
      <c r="AI56" s="37">
        <v>0</v>
      </c>
      <c r="AJ56" s="35">
        <v>0</v>
      </c>
      <c r="AK56" s="36">
        <v>0</v>
      </c>
      <c r="AL56" s="38">
        <v>0</v>
      </c>
      <c r="AM56" s="35">
        <v>0</v>
      </c>
      <c r="AN56" s="19">
        <v>0</v>
      </c>
      <c r="AO56" s="23">
        <v>0</v>
      </c>
      <c r="AP56" s="24">
        <v>0</v>
      </c>
      <c r="AQ56" s="58">
        <f t="shared" si="2"/>
        <v>0.72</v>
      </c>
      <c r="AR56" s="59">
        <f t="shared" si="3"/>
        <v>1800</v>
      </c>
      <c r="AS56" s="35">
        <v>1</v>
      </c>
    </row>
    <row r="57" spans="1:45" ht="16" x14ac:dyDescent="0.2">
      <c r="A57" s="53">
        <v>53</v>
      </c>
      <c r="B57" s="55" t="s">
        <v>77</v>
      </c>
      <c r="C57" s="54" t="s">
        <v>79</v>
      </c>
      <c r="D57" s="350"/>
      <c r="E57" s="53"/>
      <c r="F57" s="56"/>
      <c r="G57" s="53"/>
      <c r="H57" s="56"/>
      <c r="I57" s="57"/>
      <c r="J57" s="53"/>
      <c r="K57" s="56"/>
      <c r="L57" s="57"/>
      <c r="M57" s="58"/>
      <c r="N57" s="56"/>
      <c r="O57" s="57"/>
      <c r="P57" s="58">
        <f t="shared" si="0"/>
        <v>3.6</v>
      </c>
      <c r="Q57" s="59">
        <f t="shared" si="1"/>
        <v>9000</v>
      </c>
      <c r="R57" s="35">
        <v>5</v>
      </c>
      <c r="S57" s="19">
        <v>0</v>
      </c>
      <c r="T57" s="23">
        <v>0</v>
      </c>
      <c r="U57" s="24">
        <v>0</v>
      </c>
      <c r="V57" s="33">
        <v>0</v>
      </c>
      <c r="W57" s="34">
        <v>0</v>
      </c>
      <c r="X57" s="35">
        <v>0</v>
      </c>
      <c r="Y57" s="19">
        <v>0</v>
      </c>
      <c r="Z57" s="23">
        <v>0</v>
      </c>
      <c r="AA57" s="24">
        <v>0</v>
      </c>
      <c r="AB57" s="33">
        <v>0</v>
      </c>
      <c r="AC57" s="34">
        <v>0</v>
      </c>
      <c r="AD57" s="35">
        <v>0</v>
      </c>
      <c r="AE57" s="36">
        <v>0</v>
      </c>
      <c r="AF57" s="23">
        <v>0</v>
      </c>
      <c r="AG57" s="24">
        <v>0</v>
      </c>
      <c r="AH57" s="33">
        <v>0</v>
      </c>
      <c r="AI57" s="37">
        <v>0</v>
      </c>
      <c r="AJ57" s="35">
        <v>0</v>
      </c>
      <c r="AK57" s="36">
        <v>0</v>
      </c>
      <c r="AL57" s="38">
        <v>0</v>
      </c>
      <c r="AM57" s="35">
        <v>0</v>
      </c>
      <c r="AN57" s="19">
        <v>0</v>
      </c>
      <c r="AO57" s="23">
        <v>0</v>
      </c>
      <c r="AP57" s="24">
        <v>0</v>
      </c>
      <c r="AQ57" s="58">
        <f t="shared" si="2"/>
        <v>3.6</v>
      </c>
      <c r="AR57" s="59">
        <f t="shared" si="3"/>
        <v>9000</v>
      </c>
      <c r="AS57" s="35">
        <v>5</v>
      </c>
    </row>
    <row r="58" spans="1:45" ht="16" x14ac:dyDescent="0.2">
      <c r="A58" s="53">
        <v>54</v>
      </c>
      <c r="B58" s="55" t="s">
        <v>77</v>
      </c>
      <c r="C58" s="54" t="s">
        <v>80</v>
      </c>
      <c r="D58" s="350"/>
      <c r="E58" s="53"/>
      <c r="F58" s="56"/>
      <c r="G58" s="53"/>
      <c r="H58" s="56"/>
      <c r="I58" s="57"/>
      <c r="J58" s="53"/>
      <c r="K58" s="56"/>
      <c r="L58" s="57"/>
      <c r="M58" s="58"/>
      <c r="N58" s="56"/>
      <c r="O58" s="57"/>
      <c r="P58" s="58">
        <f t="shared" si="0"/>
        <v>0.72</v>
      </c>
      <c r="Q58" s="59">
        <f t="shared" si="1"/>
        <v>1800</v>
      </c>
      <c r="R58" s="35">
        <v>1</v>
      </c>
      <c r="S58" s="19">
        <v>0</v>
      </c>
      <c r="T58" s="23">
        <v>0</v>
      </c>
      <c r="U58" s="24">
        <v>0</v>
      </c>
      <c r="V58" s="33">
        <v>0</v>
      </c>
      <c r="W58" s="34">
        <v>0</v>
      </c>
      <c r="X58" s="35">
        <v>0</v>
      </c>
      <c r="Y58" s="19">
        <v>0</v>
      </c>
      <c r="Z58" s="23">
        <v>0</v>
      </c>
      <c r="AA58" s="24">
        <v>0</v>
      </c>
      <c r="AB58" s="33">
        <v>0</v>
      </c>
      <c r="AC58" s="34">
        <v>0</v>
      </c>
      <c r="AD58" s="35">
        <v>0</v>
      </c>
      <c r="AE58" s="36">
        <v>0</v>
      </c>
      <c r="AF58" s="23">
        <v>0</v>
      </c>
      <c r="AG58" s="24">
        <v>0</v>
      </c>
      <c r="AH58" s="33">
        <v>0</v>
      </c>
      <c r="AI58" s="37">
        <v>0</v>
      </c>
      <c r="AJ58" s="35">
        <v>0</v>
      </c>
      <c r="AK58" s="36">
        <v>0</v>
      </c>
      <c r="AL58" s="38">
        <v>0</v>
      </c>
      <c r="AM58" s="35">
        <v>0</v>
      </c>
      <c r="AN58" s="19">
        <v>0</v>
      </c>
      <c r="AO58" s="23">
        <v>0</v>
      </c>
      <c r="AP58" s="24">
        <v>0</v>
      </c>
      <c r="AQ58" s="58">
        <f t="shared" si="2"/>
        <v>0.72</v>
      </c>
      <c r="AR58" s="59">
        <f t="shared" si="3"/>
        <v>1800</v>
      </c>
      <c r="AS58" s="35">
        <v>1</v>
      </c>
    </row>
    <row r="59" spans="1:45" ht="16" x14ac:dyDescent="0.2">
      <c r="A59" s="53">
        <v>55</v>
      </c>
      <c r="B59" s="55" t="s">
        <v>77</v>
      </c>
      <c r="C59" s="54" t="s">
        <v>81</v>
      </c>
      <c r="D59" s="350"/>
      <c r="E59" s="53"/>
      <c r="F59" s="56"/>
      <c r="G59" s="53"/>
      <c r="H59" s="56"/>
      <c r="I59" s="57"/>
      <c r="J59" s="53"/>
      <c r="K59" s="56"/>
      <c r="L59" s="57"/>
      <c r="M59" s="58"/>
      <c r="N59" s="56"/>
      <c r="O59" s="57"/>
      <c r="P59" s="58">
        <f t="shared" si="0"/>
        <v>5.76</v>
      </c>
      <c r="Q59" s="59">
        <f t="shared" si="1"/>
        <v>14400</v>
      </c>
      <c r="R59" s="35">
        <v>8</v>
      </c>
      <c r="S59" s="19">
        <v>0</v>
      </c>
      <c r="T59" s="23">
        <v>0</v>
      </c>
      <c r="U59" s="24">
        <v>0</v>
      </c>
      <c r="V59" s="33">
        <v>0</v>
      </c>
      <c r="W59" s="34">
        <v>0</v>
      </c>
      <c r="X59" s="35">
        <v>0</v>
      </c>
      <c r="Y59" s="19">
        <v>0</v>
      </c>
      <c r="Z59" s="23">
        <v>0</v>
      </c>
      <c r="AA59" s="24">
        <v>0</v>
      </c>
      <c r="AB59" s="33">
        <v>0</v>
      </c>
      <c r="AC59" s="34">
        <v>0</v>
      </c>
      <c r="AD59" s="35">
        <v>0</v>
      </c>
      <c r="AE59" s="36">
        <v>0</v>
      </c>
      <c r="AF59" s="23">
        <v>0</v>
      </c>
      <c r="AG59" s="24">
        <v>0</v>
      </c>
      <c r="AH59" s="33">
        <v>0</v>
      </c>
      <c r="AI59" s="37">
        <v>0</v>
      </c>
      <c r="AJ59" s="35">
        <v>0</v>
      </c>
      <c r="AK59" s="36">
        <v>0</v>
      </c>
      <c r="AL59" s="38">
        <v>0</v>
      </c>
      <c r="AM59" s="35">
        <v>0</v>
      </c>
      <c r="AN59" s="19">
        <v>0</v>
      </c>
      <c r="AO59" s="23">
        <v>0</v>
      </c>
      <c r="AP59" s="24">
        <v>0</v>
      </c>
      <c r="AQ59" s="58">
        <f t="shared" si="2"/>
        <v>5.76</v>
      </c>
      <c r="AR59" s="59">
        <f t="shared" si="3"/>
        <v>14400</v>
      </c>
      <c r="AS59" s="35">
        <v>8</v>
      </c>
    </row>
    <row r="60" spans="1:45" ht="16" x14ac:dyDescent="0.2">
      <c r="A60" s="53">
        <v>56</v>
      </c>
      <c r="B60" s="55" t="s">
        <v>77</v>
      </c>
      <c r="C60" s="54" t="s">
        <v>82</v>
      </c>
      <c r="D60" s="350"/>
      <c r="E60" s="53"/>
      <c r="F60" s="56"/>
      <c r="G60" s="53"/>
      <c r="H60" s="56"/>
      <c r="I60" s="57"/>
      <c r="J60" s="53"/>
      <c r="K60" s="56"/>
      <c r="L60" s="57"/>
      <c r="M60" s="58"/>
      <c r="N60" s="56"/>
      <c r="O60" s="57"/>
      <c r="P60" s="58">
        <f t="shared" si="0"/>
        <v>2.16</v>
      </c>
      <c r="Q60" s="59">
        <f t="shared" si="1"/>
        <v>5400</v>
      </c>
      <c r="R60" s="35">
        <v>3</v>
      </c>
      <c r="S60" s="19">
        <v>0</v>
      </c>
      <c r="T60" s="23">
        <v>0</v>
      </c>
      <c r="U60" s="24">
        <v>0</v>
      </c>
      <c r="V60" s="33">
        <v>0</v>
      </c>
      <c r="W60" s="34">
        <v>0</v>
      </c>
      <c r="X60" s="35">
        <v>0</v>
      </c>
      <c r="Y60" s="19">
        <v>0</v>
      </c>
      <c r="Z60" s="23">
        <v>0</v>
      </c>
      <c r="AA60" s="24">
        <v>0</v>
      </c>
      <c r="AB60" s="33">
        <v>0</v>
      </c>
      <c r="AC60" s="34">
        <v>0</v>
      </c>
      <c r="AD60" s="35">
        <v>0</v>
      </c>
      <c r="AE60" s="36">
        <v>0</v>
      </c>
      <c r="AF60" s="23">
        <v>0</v>
      </c>
      <c r="AG60" s="24">
        <v>0</v>
      </c>
      <c r="AH60" s="33">
        <v>0</v>
      </c>
      <c r="AI60" s="37">
        <v>0</v>
      </c>
      <c r="AJ60" s="35">
        <v>0</v>
      </c>
      <c r="AK60" s="36">
        <v>0</v>
      </c>
      <c r="AL60" s="38">
        <v>0</v>
      </c>
      <c r="AM60" s="35">
        <v>0</v>
      </c>
      <c r="AN60" s="19">
        <v>0</v>
      </c>
      <c r="AO60" s="23">
        <v>0</v>
      </c>
      <c r="AP60" s="24">
        <v>0</v>
      </c>
      <c r="AQ60" s="58">
        <f t="shared" si="2"/>
        <v>2.16</v>
      </c>
      <c r="AR60" s="59">
        <f t="shared" si="3"/>
        <v>5400</v>
      </c>
      <c r="AS60" s="35">
        <v>3</v>
      </c>
    </row>
    <row r="61" spans="1:45" ht="16" x14ac:dyDescent="0.2">
      <c r="A61" s="53">
        <v>57</v>
      </c>
      <c r="B61" s="55" t="s">
        <v>77</v>
      </c>
      <c r="C61" s="54" t="s">
        <v>83</v>
      </c>
      <c r="D61" s="350"/>
      <c r="E61" s="53"/>
      <c r="F61" s="56"/>
      <c r="G61" s="53"/>
      <c r="H61" s="56"/>
      <c r="I61" s="57"/>
      <c r="J61" s="53"/>
      <c r="K61" s="56"/>
      <c r="L61" s="57"/>
      <c r="M61" s="58"/>
      <c r="N61" s="56"/>
      <c r="O61" s="57"/>
      <c r="P61" s="58">
        <f t="shared" si="0"/>
        <v>2.16</v>
      </c>
      <c r="Q61" s="59">
        <f t="shared" si="1"/>
        <v>5400</v>
      </c>
      <c r="R61" s="35">
        <v>3</v>
      </c>
      <c r="S61" s="19">
        <v>0</v>
      </c>
      <c r="T61" s="23">
        <v>0</v>
      </c>
      <c r="U61" s="24">
        <v>0</v>
      </c>
      <c r="V61" s="33">
        <v>0</v>
      </c>
      <c r="W61" s="34">
        <v>0</v>
      </c>
      <c r="X61" s="35">
        <v>0</v>
      </c>
      <c r="Y61" s="19">
        <v>0</v>
      </c>
      <c r="Z61" s="23">
        <v>0</v>
      </c>
      <c r="AA61" s="24">
        <v>0</v>
      </c>
      <c r="AB61" s="33">
        <v>0</v>
      </c>
      <c r="AC61" s="34">
        <v>0</v>
      </c>
      <c r="AD61" s="35">
        <v>0</v>
      </c>
      <c r="AE61" s="36">
        <v>0</v>
      </c>
      <c r="AF61" s="23">
        <v>0</v>
      </c>
      <c r="AG61" s="24">
        <v>0</v>
      </c>
      <c r="AH61" s="33">
        <v>0</v>
      </c>
      <c r="AI61" s="37">
        <v>0</v>
      </c>
      <c r="AJ61" s="35">
        <v>0</v>
      </c>
      <c r="AK61" s="36">
        <v>0</v>
      </c>
      <c r="AL61" s="38">
        <v>0</v>
      </c>
      <c r="AM61" s="35">
        <v>0</v>
      </c>
      <c r="AN61" s="19">
        <v>0</v>
      </c>
      <c r="AO61" s="23">
        <v>0</v>
      </c>
      <c r="AP61" s="24">
        <v>0</v>
      </c>
      <c r="AQ61" s="58">
        <f t="shared" si="2"/>
        <v>2.16</v>
      </c>
      <c r="AR61" s="59">
        <f t="shared" si="3"/>
        <v>5400</v>
      </c>
      <c r="AS61" s="35">
        <v>3</v>
      </c>
    </row>
    <row r="62" spans="1:45" ht="16" x14ac:dyDescent="0.2">
      <c r="A62" s="53">
        <v>58</v>
      </c>
      <c r="B62" s="55" t="s">
        <v>77</v>
      </c>
      <c r="C62" s="54" t="s">
        <v>84</v>
      </c>
      <c r="D62" s="350"/>
      <c r="E62" s="53"/>
      <c r="F62" s="56"/>
      <c r="G62" s="53"/>
      <c r="H62" s="56"/>
      <c r="I62" s="57"/>
      <c r="J62" s="53"/>
      <c r="K62" s="56"/>
      <c r="L62" s="57"/>
      <c r="M62" s="58"/>
      <c r="N62" s="56"/>
      <c r="O62" s="57"/>
      <c r="P62" s="58">
        <f t="shared" si="0"/>
        <v>15.12</v>
      </c>
      <c r="Q62" s="59">
        <f t="shared" si="1"/>
        <v>37800</v>
      </c>
      <c r="R62" s="35">
        <v>21</v>
      </c>
      <c r="S62" s="19">
        <v>0</v>
      </c>
      <c r="T62" s="23">
        <v>0</v>
      </c>
      <c r="U62" s="24">
        <v>0</v>
      </c>
      <c r="V62" s="33">
        <v>0</v>
      </c>
      <c r="W62" s="34">
        <v>0</v>
      </c>
      <c r="X62" s="35">
        <v>0</v>
      </c>
      <c r="Y62" s="19">
        <v>0</v>
      </c>
      <c r="Z62" s="23">
        <v>0</v>
      </c>
      <c r="AA62" s="24">
        <v>0</v>
      </c>
      <c r="AB62" s="33">
        <v>0</v>
      </c>
      <c r="AC62" s="34">
        <v>0</v>
      </c>
      <c r="AD62" s="35">
        <v>0</v>
      </c>
      <c r="AE62" s="36">
        <v>0</v>
      </c>
      <c r="AF62" s="23">
        <v>0</v>
      </c>
      <c r="AG62" s="24">
        <v>0</v>
      </c>
      <c r="AH62" s="33">
        <v>0</v>
      </c>
      <c r="AI62" s="37">
        <v>0</v>
      </c>
      <c r="AJ62" s="35">
        <v>0</v>
      </c>
      <c r="AK62" s="36">
        <v>0</v>
      </c>
      <c r="AL62" s="38">
        <v>0</v>
      </c>
      <c r="AM62" s="35">
        <v>0</v>
      </c>
      <c r="AN62" s="19">
        <v>0</v>
      </c>
      <c r="AO62" s="23">
        <v>0</v>
      </c>
      <c r="AP62" s="24">
        <v>0</v>
      </c>
      <c r="AQ62" s="58">
        <f t="shared" si="2"/>
        <v>15.12</v>
      </c>
      <c r="AR62" s="59">
        <f t="shared" si="3"/>
        <v>37800</v>
      </c>
      <c r="AS62" s="35">
        <v>21</v>
      </c>
    </row>
    <row r="63" spans="1:45" ht="16" x14ac:dyDescent="0.2">
      <c r="A63" s="53">
        <v>59</v>
      </c>
      <c r="B63" s="55" t="s">
        <v>77</v>
      </c>
      <c r="C63" s="54" t="s">
        <v>85</v>
      </c>
      <c r="D63" s="350"/>
      <c r="E63" s="53"/>
      <c r="F63" s="56"/>
      <c r="G63" s="53"/>
      <c r="H63" s="56"/>
      <c r="I63" s="57"/>
      <c r="J63" s="53"/>
      <c r="K63" s="56"/>
      <c r="L63" s="57"/>
      <c r="M63" s="58"/>
      <c r="N63" s="56"/>
      <c r="O63" s="57"/>
      <c r="P63" s="58">
        <f t="shared" si="0"/>
        <v>5.76</v>
      </c>
      <c r="Q63" s="59">
        <f t="shared" si="1"/>
        <v>14400</v>
      </c>
      <c r="R63" s="35">
        <v>8</v>
      </c>
      <c r="S63" s="19">
        <v>0</v>
      </c>
      <c r="T63" s="23">
        <v>0</v>
      </c>
      <c r="U63" s="24">
        <v>0</v>
      </c>
      <c r="V63" s="33">
        <v>0</v>
      </c>
      <c r="W63" s="34">
        <v>0</v>
      </c>
      <c r="X63" s="35">
        <v>0</v>
      </c>
      <c r="Y63" s="19">
        <v>0</v>
      </c>
      <c r="Z63" s="23">
        <v>0</v>
      </c>
      <c r="AA63" s="24">
        <v>0</v>
      </c>
      <c r="AB63" s="33">
        <v>0</v>
      </c>
      <c r="AC63" s="34">
        <v>0</v>
      </c>
      <c r="AD63" s="35">
        <v>0</v>
      </c>
      <c r="AE63" s="36">
        <v>0</v>
      </c>
      <c r="AF63" s="23">
        <v>0</v>
      </c>
      <c r="AG63" s="24">
        <v>0</v>
      </c>
      <c r="AH63" s="33">
        <v>0</v>
      </c>
      <c r="AI63" s="37">
        <v>0</v>
      </c>
      <c r="AJ63" s="35">
        <v>0</v>
      </c>
      <c r="AK63" s="36">
        <v>0</v>
      </c>
      <c r="AL63" s="38">
        <v>0</v>
      </c>
      <c r="AM63" s="35">
        <v>0</v>
      </c>
      <c r="AN63" s="19">
        <v>0</v>
      </c>
      <c r="AO63" s="23">
        <v>0</v>
      </c>
      <c r="AP63" s="24">
        <v>0</v>
      </c>
      <c r="AQ63" s="58">
        <f t="shared" si="2"/>
        <v>5.76</v>
      </c>
      <c r="AR63" s="59">
        <f t="shared" si="3"/>
        <v>14400</v>
      </c>
      <c r="AS63" s="35">
        <v>8</v>
      </c>
    </row>
    <row r="64" spans="1:45" ht="16" x14ac:dyDescent="0.2">
      <c r="A64" s="53">
        <v>60</v>
      </c>
      <c r="B64" s="55" t="s">
        <v>86</v>
      </c>
      <c r="C64" s="54" t="s">
        <v>86</v>
      </c>
      <c r="D64" s="350"/>
      <c r="E64" s="53"/>
      <c r="F64" s="56"/>
      <c r="G64" s="53"/>
      <c r="H64" s="56"/>
      <c r="I64" s="57"/>
      <c r="J64" s="53"/>
      <c r="K64" s="56"/>
      <c r="L64" s="57"/>
      <c r="M64" s="58"/>
      <c r="N64" s="56"/>
      <c r="O64" s="57"/>
      <c r="P64" s="58">
        <f t="shared" si="0"/>
        <v>7.92</v>
      </c>
      <c r="Q64" s="59">
        <f t="shared" si="1"/>
        <v>19800</v>
      </c>
      <c r="R64" s="35">
        <v>11</v>
      </c>
      <c r="S64" s="19">
        <v>0</v>
      </c>
      <c r="T64" s="23">
        <v>0</v>
      </c>
      <c r="U64" s="24">
        <v>0</v>
      </c>
      <c r="V64" s="33">
        <v>0</v>
      </c>
      <c r="W64" s="34">
        <v>0</v>
      </c>
      <c r="X64" s="35">
        <v>0</v>
      </c>
      <c r="Y64" s="19">
        <v>0</v>
      </c>
      <c r="Z64" s="23">
        <v>0</v>
      </c>
      <c r="AA64" s="24">
        <v>0</v>
      </c>
      <c r="AB64" s="33">
        <v>0</v>
      </c>
      <c r="AC64" s="34">
        <v>0</v>
      </c>
      <c r="AD64" s="35">
        <v>0</v>
      </c>
      <c r="AE64" s="36">
        <v>0</v>
      </c>
      <c r="AF64" s="23">
        <v>0</v>
      </c>
      <c r="AG64" s="24">
        <v>0</v>
      </c>
      <c r="AH64" s="33">
        <v>0</v>
      </c>
      <c r="AI64" s="37">
        <v>0</v>
      </c>
      <c r="AJ64" s="35">
        <v>0</v>
      </c>
      <c r="AK64" s="36">
        <v>0</v>
      </c>
      <c r="AL64" s="38">
        <v>0</v>
      </c>
      <c r="AM64" s="35">
        <v>0</v>
      </c>
      <c r="AN64" s="19">
        <v>0</v>
      </c>
      <c r="AO64" s="23">
        <v>0</v>
      </c>
      <c r="AP64" s="24">
        <v>0</v>
      </c>
      <c r="AQ64" s="58">
        <f t="shared" si="2"/>
        <v>7.92</v>
      </c>
      <c r="AR64" s="59">
        <f t="shared" si="3"/>
        <v>19800</v>
      </c>
      <c r="AS64" s="35">
        <v>11</v>
      </c>
    </row>
    <row r="65" spans="1:45" ht="16" x14ac:dyDescent="0.2">
      <c r="A65" s="53">
        <v>61</v>
      </c>
      <c r="B65" s="55" t="s">
        <v>86</v>
      </c>
      <c r="C65" s="54" t="s">
        <v>87</v>
      </c>
      <c r="D65" s="350"/>
      <c r="E65" s="53"/>
      <c r="F65" s="56"/>
      <c r="G65" s="53"/>
      <c r="H65" s="56"/>
      <c r="I65" s="57"/>
      <c r="J65" s="53"/>
      <c r="K65" s="56"/>
      <c r="L65" s="57"/>
      <c r="M65" s="58"/>
      <c r="N65" s="56"/>
      <c r="O65" s="57"/>
      <c r="P65" s="58">
        <f t="shared" si="0"/>
        <v>1.44</v>
      </c>
      <c r="Q65" s="59">
        <f t="shared" si="1"/>
        <v>3600</v>
      </c>
      <c r="R65" s="35">
        <v>2</v>
      </c>
      <c r="S65" s="19">
        <v>0</v>
      </c>
      <c r="T65" s="23">
        <v>0</v>
      </c>
      <c r="U65" s="24">
        <v>0</v>
      </c>
      <c r="V65" s="33">
        <v>0</v>
      </c>
      <c r="W65" s="34">
        <v>0</v>
      </c>
      <c r="X65" s="35">
        <v>0</v>
      </c>
      <c r="Y65" s="19">
        <v>0</v>
      </c>
      <c r="Z65" s="23">
        <v>0</v>
      </c>
      <c r="AA65" s="24">
        <v>0</v>
      </c>
      <c r="AB65" s="33">
        <v>0</v>
      </c>
      <c r="AC65" s="34">
        <v>0</v>
      </c>
      <c r="AD65" s="35">
        <v>0</v>
      </c>
      <c r="AE65" s="36">
        <v>0</v>
      </c>
      <c r="AF65" s="23">
        <v>0</v>
      </c>
      <c r="AG65" s="24">
        <v>0</v>
      </c>
      <c r="AH65" s="33">
        <v>0</v>
      </c>
      <c r="AI65" s="37">
        <v>0</v>
      </c>
      <c r="AJ65" s="35">
        <v>0</v>
      </c>
      <c r="AK65" s="36">
        <v>0</v>
      </c>
      <c r="AL65" s="38">
        <v>0</v>
      </c>
      <c r="AM65" s="35">
        <v>0</v>
      </c>
      <c r="AN65" s="19">
        <v>0</v>
      </c>
      <c r="AO65" s="23">
        <v>0</v>
      </c>
      <c r="AP65" s="24">
        <v>0</v>
      </c>
      <c r="AQ65" s="58">
        <f t="shared" si="2"/>
        <v>1.44</v>
      </c>
      <c r="AR65" s="59">
        <f t="shared" si="3"/>
        <v>3600</v>
      </c>
      <c r="AS65" s="35">
        <v>2</v>
      </c>
    </row>
    <row r="66" spans="1:45" ht="16" x14ac:dyDescent="0.2">
      <c r="A66" s="53">
        <v>62</v>
      </c>
      <c r="B66" s="55" t="s">
        <v>86</v>
      </c>
      <c r="C66" s="54" t="s">
        <v>88</v>
      </c>
      <c r="D66" s="350"/>
      <c r="E66" s="53"/>
      <c r="F66" s="56"/>
      <c r="G66" s="53"/>
      <c r="H66" s="56"/>
      <c r="I66" s="57"/>
      <c r="J66" s="53"/>
      <c r="K66" s="56"/>
      <c r="L66" s="57"/>
      <c r="M66" s="58"/>
      <c r="N66" s="56"/>
      <c r="O66" s="57"/>
      <c r="P66" s="58">
        <f t="shared" si="0"/>
        <v>2.16</v>
      </c>
      <c r="Q66" s="59">
        <f t="shared" si="1"/>
        <v>5400</v>
      </c>
      <c r="R66" s="35">
        <v>3</v>
      </c>
      <c r="S66" s="19">
        <v>0</v>
      </c>
      <c r="T66" s="23">
        <v>0</v>
      </c>
      <c r="U66" s="24">
        <v>0</v>
      </c>
      <c r="V66" s="33">
        <v>0</v>
      </c>
      <c r="W66" s="34">
        <v>0</v>
      </c>
      <c r="X66" s="35">
        <v>0</v>
      </c>
      <c r="Y66" s="19">
        <v>0</v>
      </c>
      <c r="Z66" s="23">
        <v>0</v>
      </c>
      <c r="AA66" s="24">
        <v>0</v>
      </c>
      <c r="AB66" s="33">
        <v>0</v>
      </c>
      <c r="AC66" s="34">
        <v>0</v>
      </c>
      <c r="AD66" s="35">
        <v>0</v>
      </c>
      <c r="AE66" s="36">
        <v>0</v>
      </c>
      <c r="AF66" s="23">
        <v>0</v>
      </c>
      <c r="AG66" s="24">
        <v>0</v>
      </c>
      <c r="AH66" s="33">
        <v>0</v>
      </c>
      <c r="AI66" s="37">
        <v>0</v>
      </c>
      <c r="AJ66" s="35">
        <v>0</v>
      </c>
      <c r="AK66" s="36">
        <v>0</v>
      </c>
      <c r="AL66" s="38">
        <v>0</v>
      </c>
      <c r="AM66" s="35">
        <v>0</v>
      </c>
      <c r="AN66" s="19">
        <v>0</v>
      </c>
      <c r="AO66" s="23">
        <v>0</v>
      </c>
      <c r="AP66" s="24">
        <v>0</v>
      </c>
      <c r="AQ66" s="58">
        <f t="shared" si="2"/>
        <v>2.16</v>
      </c>
      <c r="AR66" s="59">
        <f t="shared" si="3"/>
        <v>5400</v>
      </c>
      <c r="AS66" s="35">
        <v>3</v>
      </c>
    </row>
    <row r="67" spans="1:45" ht="16" x14ac:dyDescent="0.2">
      <c r="A67" s="53">
        <v>63</v>
      </c>
      <c r="B67" s="55" t="s">
        <v>86</v>
      </c>
      <c r="C67" s="54" t="s">
        <v>89</v>
      </c>
      <c r="D67" s="350"/>
      <c r="E67" s="53"/>
      <c r="F67" s="56"/>
      <c r="G67" s="53"/>
      <c r="H67" s="56"/>
      <c r="I67" s="57"/>
      <c r="J67" s="53"/>
      <c r="K67" s="56"/>
      <c r="L67" s="57"/>
      <c r="M67" s="58"/>
      <c r="N67" s="56"/>
      <c r="O67" s="57"/>
      <c r="P67" s="58">
        <f t="shared" si="0"/>
        <v>5.76</v>
      </c>
      <c r="Q67" s="59">
        <f t="shared" si="1"/>
        <v>14400</v>
      </c>
      <c r="R67" s="35">
        <v>8</v>
      </c>
      <c r="S67" s="19">
        <v>0</v>
      </c>
      <c r="T67" s="23">
        <v>0</v>
      </c>
      <c r="U67" s="24">
        <v>0</v>
      </c>
      <c r="V67" s="33">
        <v>0</v>
      </c>
      <c r="W67" s="34">
        <v>0</v>
      </c>
      <c r="X67" s="35">
        <v>0</v>
      </c>
      <c r="Y67" s="19">
        <v>0</v>
      </c>
      <c r="Z67" s="23">
        <v>0</v>
      </c>
      <c r="AA67" s="24">
        <v>0</v>
      </c>
      <c r="AB67" s="33">
        <v>0</v>
      </c>
      <c r="AC67" s="34">
        <v>0</v>
      </c>
      <c r="AD67" s="35">
        <v>0</v>
      </c>
      <c r="AE67" s="36">
        <v>0</v>
      </c>
      <c r="AF67" s="23">
        <v>0</v>
      </c>
      <c r="AG67" s="24">
        <v>0</v>
      </c>
      <c r="AH67" s="33">
        <v>0</v>
      </c>
      <c r="AI67" s="37">
        <v>0</v>
      </c>
      <c r="AJ67" s="35">
        <v>0</v>
      </c>
      <c r="AK67" s="36">
        <v>0</v>
      </c>
      <c r="AL67" s="38">
        <v>0</v>
      </c>
      <c r="AM67" s="35">
        <v>0</v>
      </c>
      <c r="AN67" s="19">
        <v>0</v>
      </c>
      <c r="AO67" s="23">
        <v>0</v>
      </c>
      <c r="AP67" s="24">
        <v>0</v>
      </c>
      <c r="AQ67" s="58">
        <f t="shared" si="2"/>
        <v>5.76</v>
      </c>
      <c r="AR67" s="59">
        <f t="shared" si="3"/>
        <v>14400</v>
      </c>
      <c r="AS67" s="35">
        <v>8</v>
      </c>
    </row>
    <row r="68" spans="1:45" ht="16" x14ac:dyDescent="0.2">
      <c r="A68" s="53">
        <v>64</v>
      </c>
      <c r="B68" s="55" t="s">
        <v>86</v>
      </c>
      <c r="C68" s="54" t="s">
        <v>90</v>
      </c>
      <c r="D68" s="350"/>
      <c r="E68" s="53"/>
      <c r="F68" s="56"/>
      <c r="G68" s="53"/>
      <c r="H68" s="56"/>
      <c r="I68" s="57"/>
      <c r="J68" s="53"/>
      <c r="K68" s="56"/>
      <c r="L68" s="57"/>
      <c r="M68" s="58"/>
      <c r="N68" s="56"/>
      <c r="O68" s="57"/>
      <c r="P68" s="58">
        <f t="shared" si="0"/>
        <v>5.76</v>
      </c>
      <c r="Q68" s="59">
        <f t="shared" si="1"/>
        <v>14400</v>
      </c>
      <c r="R68" s="35">
        <v>8</v>
      </c>
      <c r="S68" s="19">
        <v>0</v>
      </c>
      <c r="T68" s="23">
        <v>0</v>
      </c>
      <c r="U68" s="24">
        <v>0</v>
      </c>
      <c r="V68" s="33">
        <v>0</v>
      </c>
      <c r="W68" s="34">
        <v>0</v>
      </c>
      <c r="X68" s="35">
        <v>0</v>
      </c>
      <c r="Y68" s="19">
        <v>0</v>
      </c>
      <c r="Z68" s="23">
        <v>0</v>
      </c>
      <c r="AA68" s="24">
        <v>0</v>
      </c>
      <c r="AB68" s="33">
        <v>0</v>
      </c>
      <c r="AC68" s="34">
        <v>0</v>
      </c>
      <c r="AD68" s="35">
        <v>0</v>
      </c>
      <c r="AE68" s="36">
        <v>0</v>
      </c>
      <c r="AF68" s="23">
        <v>0</v>
      </c>
      <c r="AG68" s="24">
        <v>0</v>
      </c>
      <c r="AH68" s="33">
        <v>0</v>
      </c>
      <c r="AI68" s="37">
        <v>0</v>
      </c>
      <c r="AJ68" s="35">
        <v>0</v>
      </c>
      <c r="AK68" s="36">
        <v>0</v>
      </c>
      <c r="AL68" s="38">
        <v>0</v>
      </c>
      <c r="AM68" s="35">
        <v>0</v>
      </c>
      <c r="AN68" s="19">
        <v>0</v>
      </c>
      <c r="AO68" s="23">
        <v>0</v>
      </c>
      <c r="AP68" s="24">
        <v>0</v>
      </c>
      <c r="AQ68" s="58">
        <f t="shared" si="2"/>
        <v>5.76</v>
      </c>
      <c r="AR68" s="59">
        <f t="shared" si="3"/>
        <v>14400</v>
      </c>
      <c r="AS68" s="35">
        <v>8</v>
      </c>
    </row>
    <row r="69" spans="1:45" ht="16" x14ac:dyDescent="0.2">
      <c r="A69" s="53">
        <v>65</v>
      </c>
      <c r="B69" s="55" t="s">
        <v>86</v>
      </c>
      <c r="C69" s="54" t="s">
        <v>91</v>
      </c>
      <c r="D69" s="350"/>
      <c r="E69" s="53"/>
      <c r="F69" s="56"/>
      <c r="G69" s="53"/>
      <c r="H69" s="56"/>
      <c r="I69" s="57"/>
      <c r="J69" s="53"/>
      <c r="K69" s="56"/>
      <c r="L69" s="57"/>
      <c r="M69" s="58"/>
      <c r="N69" s="56"/>
      <c r="O69" s="57"/>
      <c r="P69" s="58">
        <f t="shared" ref="P69:P132" si="4">Q69/2500</f>
        <v>10.8</v>
      </c>
      <c r="Q69" s="59">
        <f t="shared" ref="Q69:Q132" si="5">R69*1800</f>
        <v>27000</v>
      </c>
      <c r="R69" s="35">
        <v>15</v>
      </c>
      <c r="S69" s="19">
        <v>0</v>
      </c>
      <c r="T69" s="23">
        <v>0</v>
      </c>
      <c r="U69" s="24">
        <v>0</v>
      </c>
      <c r="V69" s="33">
        <v>0</v>
      </c>
      <c r="W69" s="34">
        <v>0</v>
      </c>
      <c r="X69" s="35">
        <v>0</v>
      </c>
      <c r="Y69" s="19">
        <v>0</v>
      </c>
      <c r="Z69" s="23">
        <v>0</v>
      </c>
      <c r="AA69" s="24">
        <v>0</v>
      </c>
      <c r="AB69" s="33">
        <v>0</v>
      </c>
      <c r="AC69" s="34">
        <v>0</v>
      </c>
      <c r="AD69" s="35">
        <v>0</v>
      </c>
      <c r="AE69" s="36">
        <v>0</v>
      </c>
      <c r="AF69" s="23">
        <v>0</v>
      </c>
      <c r="AG69" s="24">
        <v>0</v>
      </c>
      <c r="AH69" s="33">
        <v>0</v>
      </c>
      <c r="AI69" s="37">
        <v>0</v>
      </c>
      <c r="AJ69" s="35">
        <v>0</v>
      </c>
      <c r="AK69" s="36">
        <v>0</v>
      </c>
      <c r="AL69" s="38">
        <v>0</v>
      </c>
      <c r="AM69" s="35">
        <v>0</v>
      </c>
      <c r="AN69" s="19">
        <v>0</v>
      </c>
      <c r="AO69" s="23">
        <v>0</v>
      </c>
      <c r="AP69" s="24">
        <v>0</v>
      </c>
      <c r="AQ69" s="58">
        <f t="shared" ref="AQ69:AQ132" si="6">AR69/2500</f>
        <v>10.8</v>
      </c>
      <c r="AR69" s="59">
        <f t="shared" ref="AR69:AR132" si="7">AS69*1800</f>
        <v>27000</v>
      </c>
      <c r="AS69" s="35">
        <v>15</v>
      </c>
    </row>
    <row r="70" spans="1:45" ht="16" x14ac:dyDescent="0.2">
      <c r="A70" s="53">
        <v>66</v>
      </c>
      <c r="B70" s="55" t="s">
        <v>86</v>
      </c>
      <c r="C70" s="54" t="s">
        <v>92</v>
      </c>
      <c r="D70" s="350"/>
      <c r="E70" s="53"/>
      <c r="F70" s="56"/>
      <c r="G70" s="53"/>
      <c r="H70" s="56"/>
      <c r="I70" s="57"/>
      <c r="J70" s="53"/>
      <c r="K70" s="56"/>
      <c r="L70" s="57"/>
      <c r="M70" s="58"/>
      <c r="N70" s="56"/>
      <c r="O70" s="57"/>
      <c r="P70" s="58">
        <f t="shared" si="4"/>
        <v>5.04</v>
      </c>
      <c r="Q70" s="59">
        <f t="shared" si="5"/>
        <v>12600</v>
      </c>
      <c r="R70" s="35">
        <v>7</v>
      </c>
      <c r="S70" s="19">
        <v>0</v>
      </c>
      <c r="T70" s="23">
        <v>0</v>
      </c>
      <c r="U70" s="24">
        <v>0</v>
      </c>
      <c r="V70" s="33">
        <v>0</v>
      </c>
      <c r="W70" s="34">
        <v>0</v>
      </c>
      <c r="X70" s="35">
        <v>0</v>
      </c>
      <c r="Y70" s="19">
        <v>0</v>
      </c>
      <c r="Z70" s="23">
        <v>0</v>
      </c>
      <c r="AA70" s="24">
        <v>0</v>
      </c>
      <c r="AB70" s="33">
        <v>0</v>
      </c>
      <c r="AC70" s="34">
        <v>0</v>
      </c>
      <c r="AD70" s="35">
        <v>0</v>
      </c>
      <c r="AE70" s="36">
        <v>0</v>
      </c>
      <c r="AF70" s="23">
        <v>0</v>
      </c>
      <c r="AG70" s="24">
        <v>0</v>
      </c>
      <c r="AH70" s="33">
        <v>0</v>
      </c>
      <c r="AI70" s="37">
        <v>0</v>
      </c>
      <c r="AJ70" s="35">
        <v>0</v>
      </c>
      <c r="AK70" s="36">
        <v>0</v>
      </c>
      <c r="AL70" s="38">
        <v>0</v>
      </c>
      <c r="AM70" s="35">
        <v>0</v>
      </c>
      <c r="AN70" s="19">
        <v>0</v>
      </c>
      <c r="AO70" s="23">
        <v>0</v>
      </c>
      <c r="AP70" s="24">
        <v>0</v>
      </c>
      <c r="AQ70" s="58">
        <f t="shared" si="6"/>
        <v>5.04</v>
      </c>
      <c r="AR70" s="59">
        <f t="shared" si="7"/>
        <v>12600</v>
      </c>
      <c r="AS70" s="35">
        <v>7</v>
      </c>
    </row>
    <row r="71" spans="1:45" ht="16" x14ac:dyDescent="0.2">
      <c r="A71" s="53">
        <v>67</v>
      </c>
      <c r="B71" s="55" t="s">
        <v>86</v>
      </c>
      <c r="C71" s="54" t="s">
        <v>93</v>
      </c>
      <c r="D71" s="350"/>
      <c r="E71" s="53"/>
      <c r="F71" s="56"/>
      <c r="G71" s="53"/>
      <c r="H71" s="56"/>
      <c r="I71" s="57"/>
      <c r="J71" s="53"/>
      <c r="K71" s="56"/>
      <c r="L71" s="57"/>
      <c r="M71" s="58"/>
      <c r="N71" s="56"/>
      <c r="O71" s="57"/>
      <c r="P71" s="58">
        <f t="shared" si="4"/>
        <v>6.48</v>
      </c>
      <c r="Q71" s="59">
        <f t="shared" si="5"/>
        <v>16200</v>
      </c>
      <c r="R71" s="35">
        <v>9</v>
      </c>
      <c r="S71" s="19">
        <v>0</v>
      </c>
      <c r="T71" s="23">
        <v>0</v>
      </c>
      <c r="U71" s="24">
        <v>0</v>
      </c>
      <c r="V71" s="33">
        <v>0</v>
      </c>
      <c r="W71" s="34">
        <v>0</v>
      </c>
      <c r="X71" s="35">
        <v>0</v>
      </c>
      <c r="Y71" s="19">
        <v>0</v>
      </c>
      <c r="Z71" s="23">
        <v>0</v>
      </c>
      <c r="AA71" s="24">
        <v>0</v>
      </c>
      <c r="AB71" s="33">
        <v>0</v>
      </c>
      <c r="AC71" s="34">
        <v>0</v>
      </c>
      <c r="AD71" s="35">
        <v>0</v>
      </c>
      <c r="AE71" s="36">
        <v>0</v>
      </c>
      <c r="AF71" s="23">
        <v>0</v>
      </c>
      <c r="AG71" s="24">
        <v>0</v>
      </c>
      <c r="AH71" s="33">
        <v>0</v>
      </c>
      <c r="AI71" s="37">
        <v>0</v>
      </c>
      <c r="AJ71" s="35">
        <v>0</v>
      </c>
      <c r="AK71" s="36">
        <v>0</v>
      </c>
      <c r="AL71" s="38">
        <v>0</v>
      </c>
      <c r="AM71" s="35">
        <v>0</v>
      </c>
      <c r="AN71" s="19">
        <v>0</v>
      </c>
      <c r="AO71" s="23">
        <v>0</v>
      </c>
      <c r="AP71" s="24">
        <v>0</v>
      </c>
      <c r="AQ71" s="58">
        <f t="shared" si="6"/>
        <v>6.48</v>
      </c>
      <c r="AR71" s="59">
        <f t="shared" si="7"/>
        <v>16200</v>
      </c>
      <c r="AS71" s="35">
        <v>9</v>
      </c>
    </row>
    <row r="72" spans="1:45" ht="16" x14ac:dyDescent="0.2">
      <c r="A72" s="53">
        <v>68</v>
      </c>
      <c r="B72" s="55" t="s">
        <v>86</v>
      </c>
      <c r="C72" s="54" t="s">
        <v>94</v>
      </c>
      <c r="D72" s="350"/>
      <c r="E72" s="53"/>
      <c r="F72" s="56"/>
      <c r="G72" s="53"/>
      <c r="H72" s="56"/>
      <c r="I72" s="57"/>
      <c r="J72" s="53"/>
      <c r="K72" s="56"/>
      <c r="L72" s="57"/>
      <c r="M72" s="58"/>
      <c r="N72" s="56"/>
      <c r="O72" s="57"/>
      <c r="P72" s="58">
        <f t="shared" si="4"/>
        <v>5.76</v>
      </c>
      <c r="Q72" s="59">
        <f t="shared" si="5"/>
        <v>14400</v>
      </c>
      <c r="R72" s="35">
        <v>8</v>
      </c>
      <c r="S72" s="19">
        <v>0</v>
      </c>
      <c r="T72" s="23">
        <v>0</v>
      </c>
      <c r="U72" s="24">
        <v>0</v>
      </c>
      <c r="V72" s="33">
        <v>0</v>
      </c>
      <c r="W72" s="34">
        <v>0</v>
      </c>
      <c r="X72" s="35">
        <v>0</v>
      </c>
      <c r="Y72" s="19">
        <v>0</v>
      </c>
      <c r="Z72" s="23">
        <v>0</v>
      </c>
      <c r="AA72" s="24">
        <v>0</v>
      </c>
      <c r="AB72" s="33">
        <v>0</v>
      </c>
      <c r="AC72" s="34">
        <v>0</v>
      </c>
      <c r="AD72" s="35">
        <v>0</v>
      </c>
      <c r="AE72" s="36">
        <v>0</v>
      </c>
      <c r="AF72" s="23">
        <v>0</v>
      </c>
      <c r="AG72" s="24">
        <v>0</v>
      </c>
      <c r="AH72" s="33">
        <v>0</v>
      </c>
      <c r="AI72" s="37">
        <v>0</v>
      </c>
      <c r="AJ72" s="35">
        <v>0</v>
      </c>
      <c r="AK72" s="36">
        <v>0</v>
      </c>
      <c r="AL72" s="38">
        <v>0</v>
      </c>
      <c r="AM72" s="35">
        <v>0</v>
      </c>
      <c r="AN72" s="19">
        <v>0</v>
      </c>
      <c r="AO72" s="23">
        <v>0</v>
      </c>
      <c r="AP72" s="24">
        <v>0</v>
      </c>
      <c r="AQ72" s="58">
        <f t="shared" si="6"/>
        <v>5.76</v>
      </c>
      <c r="AR72" s="59">
        <f t="shared" si="7"/>
        <v>14400</v>
      </c>
      <c r="AS72" s="35">
        <v>8</v>
      </c>
    </row>
    <row r="73" spans="1:45" ht="16" x14ac:dyDescent="0.2">
      <c r="A73" s="53">
        <v>69</v>
      </c>
      <c r="B73" s="55" t="s">
        <v>86</v>
      </c>
      <c r="C73" s="54" t="s">
        <v>95</v>
      </c>
      <c r="D73" s="350" t="s">
        <v>25</v>
      </c>
      <c r="E73" s="53"/>
      <c r="F73" s="56"/>
      <c r="G73" s="53"/>
      <c r="H73" s="56"/>
      <c r="I73" s="57"/>
      <c r="J73" s="53"/>
      <c r="K73" s="56"/>
      <c r="L73" s="57"/>
      <c r="M73" s="58"/>
      <c r="N73" s="56"/>
      <c r="O73" s="57"/>
      <c r="P73" s="58">
        <f t="shared" si="4"/>
        <v>8.64</v>
      </c>
      <c r="Q73" s="59">
        <f t="shared" si="5"/>
        <v>21600</v>
      </c>
      <c r="R73" s="35">
        <v>12</v>
      </c>
      <c r="S73" s="19">
        <v>0</v>
      </c>
      <c r="T73" s="23">
        <v>0</v>
      </c>
      <c r="U73" s="24">
        <v>0</v>
      </c>
      <c r="V73" s="33">
        <v>0</v>
      </c>
      <c r="W73" s="34">
        <v>0</v>
      </c>
      <c r="X73" s="35">
        <v>0</v>
      </c>
      <c r="Y73" s="19">
        <v>0</v>
      </c>
      <c r="Z73" s="23">
        <v>0</v>
      </c>
      <c r="AA73" s="24">
        <v>0</v>
      </c>
      <c r="AB73" s="33">
        <v>0</v>
      </c>
      <c r="AC73" s="34">
        <v>0</v>
      </c>
      <c r="AD73" s="35">
        <v>0</v>
      </c>
      <c r="AE73" s="36">
        <v>0</v>
      </c>
      <c r="AF73" s="23">
        <v>0</v>
      </c>
      <c r="AG73" s="24">
        <v>0</v>
      </c>
      <c r="AH73" s="33">
        <v>0</v>
      </c>
      <c r="AI73" s="37">
        <v>0</v>
      </c>
      <c r="AJ73" s="35">
        <v>0</v>
      </c>
      <c r="AK73" s="36">
        <v>0</v>
      </c>
      <c r="AL73" s="38">
        <v>0</v>
      </c>
      <c r="AM73" s="35">
        <v>0</v>
      </c>
      <c r="AN73" s="19">
        <v>0</v>
      </c>
      <c r="AO73" s="23">
        <v>0</v>
      </c>
      <c r="AP73" s="24">
        <v>0</v>
      </c>
      <c r="AQ73" s="58">
        <f t="shared" si="6"/>
        <v>8.64</v>
      </c>
      <c r="AR73" s="59">
        <f t="shared" si="7"/>
        <v>21600</v>
      </c>
      <c r="AS73" s="35">
        <v>12</v>
      </c>
    </row>
    <row r="74" spans="1:45" ht="16" x14ac:dyDescent="0.2">
      <c r="A74" s="53">
        <v>70</v>
      </c>
      <c r="B74" s="55" t="s">
        <v>86</v>
      </c>
      <c r="C74" s="54" t="s">
        <v>96</v>
      </c>
      <c r="D74" s="350"/>
      <c r="E74" s="53"/>
      <c r="F74" s="56"/>
      <c r="G74" s="53"/>
      <c r="H74" s="56"/>
      <c r="I74" s="57"/>
      <c r="J74" s="53"/>
      <c r="K74" s="56"/>
      <c r="L74" s="57"/>
      <c r="M74" s="58"/>
      <c r="N74" s="56"/>
      <c r="O74" s="57"/>
      <c r="P74" s="58">
        <f t="shared" si="4"/>
        <v>7.92</v>
      </c>
      <c r="Q74" s="59">
        <f t="shared" si="5"/>
        <v>19800</v>
      </c>
      <c r="R74" s="35">
        <v>11</v>
      </c>
      <c r="S74" s="19">
        <v>0</v>
      </c>
      <c r="T74" s="23">
        <v>0</v>
      </c>
      <c r="U74" s="24">
        <v>0</v>
      </c>
      <c r="V74" s="33">
        <v>0</v>
      </c>
      <c r="W74" s="34">
        <v>0</v>
      </c>
      <c r="X74" s="35">
        <v>0</v>
      </c>
      <c r="Y74" s="19">
        <v>0</v>
      </c>
      <c r="Z74" s="23">
        <v>0</v>
      </c>
      <c r="AA74" s="24">
        <v>0</v>
      </c>
      <c r="AB74" s="33">
        <v>0</v>
      </c>
      <c r="AC74" s="34">
        <v>0</v>
      </c>
      <c r="AD74" s="35">
        <v>0</v>
      </c>
      <c r="AE74" s="36">
        <v>0</v>
      </c>
      <c r="AF74" s="23">
        <v>0</v>
      </c>
      <c r="AG74" s="24">
        <v>0</v>
      </c>
      <c r="AH74" s="33">
        <v>0</v>
      </c>
      <c r="AI74" s="37">
        <v>0</v>
      </c>
      <c r="AJ74" s="35">
        <v>0</v>
      </c>
      <c r="AK74" s="36">
        <v>0</v>
      </c>
      <c r="AL74" s="38">
        <v>0</v>
      </c>
      <c r="AM74" s="35">
        <v>0</v>
      </c>
      <c r="AN74" s="19">
        <v>0</v>
      </c>
      <c r="AO74" s="23">
        <v>0</v>
      </c>
      <c r="AP74" s="24">
        <v>0</v>
      </c>
      <c r="AQ74" s="58">
        <f t="shared" si="6"/>
        <v>7.92</v>
      </c>
      <c r="AR74" s="59">
        <f t="shared" si="7"/>
        <v>19800</v>
      </c>
      <c r="AS74" s="35">
        <v>11</v>
      </c>
    </row>
    <row r="75" spans="1:45" ht="16" x14ac:dyDescent="0.2">
      <c r="A75" s="53">
        <v>71</v>
      </c>
      <c r="B75" s="55" t="s">
        <v>86</v>
      </c>
      <c r="C75" s="54" t="s">
        <v>97</v>
      </c>
      <c r="D75" s="350"/>
      <c r="E75" s="53"/>
      <c r="F75" s="56"/>
      <c r="G75" s="53"/>
      <c r="H75" s="56"/>
      <c r="I75" s="57"/>
      <c r="J75" s="53"/>
      <c r="K75" s="56"/>
      <c r="L75" s="57"/>
      <c r="M75" s="58"/>
      <c r="N75" s="56"/>
      <c r="O75" s="57"/>
      <c r="P75" s="58">
        <f t="shared" si="4"/>
        <v>2.88</v>
      </c>
      <c r="Q75" s="59">
        <f t="shared" si="5"/>
        <v>7200</v>
      </c>
      <c r="R75" s="35">
        <v>4</v>
      </c>
      <c r="S75" s="19">
        <v>0</v>
      </c>
      <c r="T75" s="23">
        <v>0</v>
      </c>
      <c r="U75" s="24">
        <v>0</v>
      </c>
      <c r="V75" s="33">
        <v>0</v>
      </c>
      <c r="W75" s="34">
        <v>0</v>
      </c>
      <c r="X75" s="35">
        <v>0</v>
      </c>
      <c r="Y75" s="19">
        <v>0</v>
      </c>
      <c r="Z75" s="23">
        <v>0</v>
      </c>
      <c r="AA75" s="24">
        <v>0</v>
      </c>
      <c r="AB75" s="33">
        <v>0</v>
      </c>
      <c r="AC75" s="34">
        <v>0</v>
      </c>
      <c r="AD75" s="35">
        <v>0</v>
      </c>
      <c r="AE75" s="36">
        <v>0</v>
      </c>
      <c r="AF75" s="23">
        <v>0</v>
      </c>
      <c r="AG75" s="24">
        <v>0</v>
      </c>
      <c r="AH75" s="33">
        <v>0</v>
      </c>
      <c r="AI75" s="37">
        <v>0</v>
      </c>
      <c r="AJ75" s="35">
        <v>0</v>
      </c>
      <c r="AK75" s="36">
        <v>0</v>
      </c>
      <c r="AL75" s="38">
        <v>0</v>
      </c>
      <c r="AM75" s="35">
        <v>0</v>
      </c>
      <c r="AN75" s="19">
        <v>0</v>
      </c>
      <c r="AO75" s="23">
        <v>0</v>
      </c>
      <c r="AP75" s="24">
        <v>0</v>
      </c>
      <c r="AQ75" s="58">
        <f t="shared" si="6"/>
        <v>2.88</v>
      </c>
      <c r="AR75" s="59">
        <f t="shared" si="7"/>
        <v>7200</v>
      </c>
      <c r="AS75" s="35">
        <v>4</v>
      </c>
    </row>
    <row r="76" spans="1:45" ht="16" x14ac:dyDescent="0.2">
      <c r="A76" s="53">
        <v>72</v>
      </c>
      <c r="B76" s="55" t="s">
        <v>86</v>
      </c>
      <c r="C76" s="54" t="s">
        <v>98</v>
      </c>
      <c r="D76" s="350"/>
      <c r="E76" s="53"/>
      <c r="F76" s="56"/>
      <c r="G76" s="53"/>
      <c r="H76" s="56"/>
      <c r="I76" s="57"/>
      <c r="J76" s="53"/>
      <c r="K76" s="56"/>
      <c r="L76" s="57"/>
      <c r="M76" s="58"/>
      <c r="N76" s="56"/>
      <c r="O76" s="57"/>
      <c r="P76" s="58">
        <f t="shared" si="4"/>
        <v>5.04</v>
      </c>
      <c r="Q76" s="59">
        <f t="shared" si="5"/>
        <v>12600</v>
      </c>
      <c r="R76" s="35">
        <v>7</v>
      </c>
      <c r="S76" s="19">
        <v>0</v>
      </c>
      <c r="T76" s="23">
        <v>0</v>
      </c>
      <c r="U76" s="24">
        <v>0</v>
      </c>
      <c r="V76" s="33">
        <v>0</v>
      </c>
      <c r="W76" s="34">
        <v>0</v>
      </c>
      <c r="X76" s="35">
        <v>0</v>
      </c>
      <c r="Y76" s="19">
        <v>0</v>
      </c>
      <c r="Z76" s="23">
        <v>0</v>
      </c>
      <c r="AA76" s="24">
        <v>0</v>
      </c>
      <c r="AB76" s="33">
        <v>0</v>
      </c>
      <c r="AC76" s="34">
        <v>0</v>
      </c>
      <c r="AD76" s="35">
        <v>0</v>
      </c>
      <c r="AE76" s="36">
        <v>0</v>
      </c>
      <c r="AF76" s="23">
        <v>0</v>
      </c>
      <c r="AG76" s="24">
        <v>0</v>
      </c>
      <c r="AH76" s="33">
        <v>0</v>
      </c>
      <c r="AI76" s="37">
        <v>0</v>
      </c>
      <c r="AJ76" s="35">
        <v>0</v>
      </c>
      <c r="AK76" s="36">
        <v>0</v>
      </c>
      <c r="AL76" s="38">
        <v>0</v>
      </c>
      <c r="AM76" s="35">
        <v>0</v>
      </c>
      <c r="AN76" s="19">
        <v>0</v>
      </c>
      <c r="AO76" s="23">
        <v>0</v>
      </c>
      <c r="AP76" s="24">
        <v>0</v>
      </c>
      <c r="AQ76" s="58">
        <f t="shared" si="6"/>
        <v>5.04</v>
      </c>
      <c r="AR76" s="59">
        <f t="shared" si="7"/>
        <v>12600</v>
      </c>
      <c r="AS76" s="35">
        <v>7</v>
      </c>
    </row>
    <row r="77" spans="1:45" ht="16" x14ac:dyDescent="0.2">
      <c r="A77" s="53">
        <v>73</v>
      </c>
      <c r="B77" s="55" t="s">
        <v>86</v>
      </c>
      <c r="C77" s="54" t="s">
        <v>99</v>
      </c>
      <c r="D77" s="350"/>
      <c r="E77" s="53"/>
      <c r="F77" s="56"/>
      <c r="G77" s="53"/>
      <c r="H77" s="56"/>
      <c r="I77" s="57"/>
      <c r="J77" s="53"/>
      <c r="K77" s="56"/>
      <c r="L77" s="57"/>
      <c r="M77" s="58"/>
      <c r="N77" s="56"/>
      <c r="O77" s="57"/>
      <c r="P77" s="58">
        <f t="shared" si="4"/>
        <v>2.16</v>
      </c>
      <c r="Q77" s="59">
        <f t="shared" si="5"/>
        <v>5400</v>
      </c>
      <c r="R77" s="35">
        <v>3</v>
      </c>
      <c r="S77" s="19">
        <v>0</v>
      </c>
      <c r="T77" s="23">
        <v>0</v>
      </c>
      <c r="U77" s="24">
        <v>0</v>
      </c>
      <c r="V77" s="33">
        <v>0</v>
      </c>
      <c r="W77" s="34">
        <v>0</v>
      </c>
      <c r="X77" s="35">
        <v>0</v>
      </c>
      <c r="Y77" s="19">
        <v>0</v>
      </c>
      <c r="Z77" s="23">
        <v>0</v>
      </c>
      <c r="AA77" s="24">
        <v>0</v>
      </c>
      <c r="AB77" s="33">
        <v>0</v>
      </c>
      <c r="AC77" s="34">
        <v>0</v>
      </c>
      <c r="AD77" s="35">
        <v>0</v>
      </c>
      <c r="AE77" s="36">
        <v>0</v>
      </c>
      <c r="AF77" s="23">
        <v>0</v>
      </c>
      <c r="AG77" s="24">
        <v>0</v>
      </c>
      <c r="AH77" s="33">
        <v>0</v>
      </c>
      <c r="AI77" s="37">
        <v>0</v>
      </c>
      <c r="AJ77" s="35">
        <v>0</v>
      </c>
      <c r="AK77" s="36">
        <v>0</v>
      </c>
      <c r="AL77" s="38">
        <v>0</v>
      </c>
      <c r="AM77" s="35">
        <v>0</v>
      </c>
      <c r="AN77" s="19">
        <v>0</v>
      </c>
      <c r="AO77" s="23">
        <v>0</v>
      </c>
      <c r="AP77" s="24">
        <v>0</v>
      </c>
      <c r="AQ77" s="58">
        <f t="shared" si="6"/>
        <v>2.16</v>
      </c>
      <c r="AR77" s="59">
        <f t="shared" si="7"/>
        <v>5400</v>
      </c>
      <c r="AS77" s="35">
        <v>3</v>
      </c>
    </row>
    <row r="78" spans="1:45" ht="16" x14ac:dyDescent="0.2">
      <c r="A78" s="53">
        <v>74</v>
      </c>
      <c r="B78" s="55" t="s">
        <v>100</v>
      </c>
      <c r="C78" s="54" t="s">
        <v>101</v>
      </c>
      <c r="D78" s="350"/>
      <c r="E78" s="53"/>
      <c r="F78" s="56"/>
      <c r="G78" s="53"/>
      <c r="H78" s="56"/>
      <c r="I78" s="57"/>
      <c r="J78" s="53"/>
      <c r="K78" s="56"/>
      <c r="L78" s="57"/>
      <c r="M78" s="58"/>
      <c r="N78" s="56"/>
      <c r="O78" s="57"/>
      <c r="P78" s="58">
        <f t="shared" si="4"/>
        <v>3.6</v>
      </c>
      <c r="Q78" s="59">
        <f t="shared" si="5"/>
        <v>9000</v>
      </c>
      <c r="R78" s="35">
        <v>5</v>
      </c>
      <c r="S78" s="19">
        <v>0</v>
      </c>
      <c r="T78" s="23">
        <v>0</v>
      </c>
      <c r="U78" s="24">
        <v>0</v>
      </c>
      <c r="V78" s="33">
        <v>0</v>
      </c>
      <c r="W78" s="34">
        <v>0</v>
      </c>
      <c r="X78" s="35">
        <v>0</v>
      </c>
      <c r="Y78" s="19">
        <v>0</v>
      </c>
      <c r="Z78" s="23">
        <v>0</v>
      </c>
      <c r="AA78" s="24">
        <v>0</v>
      </c>
      <c r="AB78" s="33">
        <v>0</v>
      </c>
      <c r="AC78" s="34">
        <v>0</v>
      </c>
      <c r="AD78" s="35">
        <v>0</v>
      </c>
      <c r="AE78" s="36">
        <v>0</v>
      </c>
      <c r="AF78" s="23">
        <v>0</v>
      </c>
      <c r="AG78" s="24">
        <v>0</v>
      </c>
      <c r="AH78" s="33">
        <v>0</v>
      </c>
      <c r="AI78" s="37">
        <v>0</v>
      </c>
      <c r="AJ78" s="35">
        <v>0</v>
      </c>
      <c r="AK78" s="36">
        <v>0</v>
      </c>
      <c r="AL78" s="38">
        <v>0</v>
      </c>
      <c r="AM78" s="35">
        <v>0</v>
      </c>
      <c r="AN78" s="19">
        <v>0</v>
      </c>
      <c r="AO78" s="23">
        <v>0</v>
      </c>
      <c r="AP78" s="24">
        <v>0</v>
      </c>
      <c r="AQ78" s="58">
        <f t="shared" si="6"/>
        <v>3.6</v>
      </c>
      <c r="AR78" s="59">
        <f t="shared" si="7"/>
        <v>9000</v>
      </c>
      <c r="AS78" s="35">
        <v>5</v>
      </c>
    </row>
    <row r="79" spans="1:45" ht="16" x14ac:dyDescent="0.2">
      <c r="A79" s="53">
        <v>75</v>
      </c>
      <c r="B79" s="55" t="s">
        <v>100</v>
      </c>
      <c r="C79" s="54" t="s">
        <v>102</v>
      </c>
      <c r="D79" s="350"/>
      <c r="E79" s="53"/>
      <c r="F79" s="56"/>
      <c r="G79" s="53"/>
      <c r="H79" s="56"/>
      <c r="I79" s="57"/>
      <c r="J79" s="53"/>
      <c r="K79" s="56"/>
      <c r="L79" s="57"/>
      <c r="M79" s="58"/>
      <c r="N79" s="56"/>
      <c r="O79" s="57"/>
      <c r="P79" s="58">
        <f t="shared" si="4"/>
        <v>2.16</v>
      </c>
      <c r="Q79" s="59">
        <f t="shared" si="5"/>
        <v>5400</v>
      </c>
      <c r="R79" s="35">
        <v>3</v>
      </c>
      <c r="S79" s="19">
        <v>0</v>
      </c>
      <c r="T79" s="23">
        <v>0</v>
      </c>
      <c r="U79" s="24">
        <v>0</v>
      </c>
      <c r="V79" s="33">
        <v>0</v>
      </c>
      <c r="W79" s="34">
        <v>0</v>
      </c>
      <c r="X79" s="35">
        <v>0</v>
      </c>
      <c r="Y79" s="19">
        <v>0</v>
      </c>
      <c r="Z79" s="23">
        <v>0</v>
      </c>
      <c r="AA79" s="24">
        <v>0</v>
      </c>
      <c r="AB79" s="33">
        <v>0</v>
      </c>
      <c r="AC79" s="34">
        <v>0</v>
      </c>
      <c r="AD79" s="35">
        <v>0</v>
      </c>
      <c r="AE79" s="36">
        <v>0</v>
      </c>
      <c r="AF79" s="23">
        <v>0</v>
      </c>
      <c r="AG79" s="24">
        <v>0</v>
      </c>
      <c r="AH79" s="33">
        <v>0</v>
      </c>
      <c r="AI79" s="37">
        <v>0</v>
      </c>
      <c r="AJ79" s="35">
        <v>0</v>
      </c>
      <c r="AK79" s="36">
        <v>0</v>
      </c>
      <c r="AL79" s="38">
        <v>0</v>
      </c>
      <c r="AM79" s="35">
        <v>0</v>
      </c>
      <c r="AN79" s="19">
        <v>0</v>
      </c>
      <c r="AO79" s="23">
        <v>0</v>
      </c>
      <c r="AP79" s="24">
        <v>0</v>
      </c>
      <c r="AQ79" s="58">
        <f t="shared" si="6"/>
        <v>2.16</v>
      </c>
      <c r="AR79" s="59">
        <f t="shared" si="7"/>
        <v>5400</v>
      </c>
      <c r="AS79" s="35">
        <v>3</v>
      </c>
    </row>
    <row r="80" spans="1:45" ht="16" x14ac:dyDescent="0.2">
      <c r="A80" s="53">
        <v>76</v>
      </c>
      <c r="B80" s="55" t="s">
        <v>100</v>
      </c>
      <c r="C80" s="54" t="s">
        <v>103</v>
      </c>
      <c r="D80" s="350"/>
      <c r="E80" s="53"/>
      <c r="F80" s="56"/>
      <c r="G80" s="53"/>
      <c r="H80" s="56"/>
      <c r="I80" s="57"/>
      <c r="J80" s="53"/>
      <c r="K80" s="56"/>
      <c r="L80" s="57"/>
      <c r="M80" s="58"/>
      <c r="N80" s="56"/>
      <c r="O80" s="57"/>
      <c r="P80" s="58">
        <f t="shared" si="4"/>
        <v>0</v>
      </c>
      <c r="Q80" s="59">
        <f t="shared" si="5"/>
        <v>0</v>
      </c>
      <c r="R80" s="35"/>
      <c r="S80" s="19">
        <v>0</v>
      </c>
      <c r="T80" s="23">
        <v>0</v>
      </c>
      <c r="U80" s="24">
        <v>0</v>
      </c>
      <c r="V80" s="33">
        <v>0</v>
      </c>
      <c r="W80" s="34">
        <v>0</v>
      </c>
      <c r="X80" s="35">
        <v>0</v>
      </c>
      <c r="Y80" s="19">
        <v>0</v>
      </c>
      <c r="Z80" s="23">
        <v>0</v>
      </c>
      <c r="AA80" s="24">
        <v>0</v>
      </c>
      <c r="AB80" s="33">
        <v>0</v>
      </c>
      <c r="AC80" s="34">
        <v>0</v>
      </c>
      <c r="AD80" s="35">
        <v>0</v>
      </c>
      <c r="AE80" s="36">
        <v>0</v>
      </c>
      <c r="AF80" s="23">
        <v>0</v>
      </c>
      <c r="AG80" s="24">
        <v>0</v>
      </c>
      <c r="AH80" s="33">
        <v>0</v>
      </c>
      <c r="AI80" s="37">
        <v>0</v>
      </c>
      <c r="AJ80" s="35">
        <v>0</v>
      </c>
      <c r="AK80" s="36">
        <v>0</v>
      </c>
      <c r="AL80" s="38">
        <v>0</v>
      </c>
      <c r="AM80" s="35">
        <v>0</v>
      </c>
      <c r="AN80" s="19">
        <v>0</v>
      </c>
      <c r="AO80" s="23">
        <v>0</v>
      </c>
      <c r="AP80" s="24">
        <v>0</v>
      </c>
      <c r="AQ80" s="58">
        <f t="shared" si="6"/>
        <v>0</v>
      </c>
      <c r="AR80" s="59">
        <f t="shared" si="7"/>
        <v>0</v>
      </c>
      <c r="AS80" s="35"/>
    </row>
    <row r="81" spans="1:45" ht="16" x14ac:dyDescent="0.2">
      <c r="A81" s="53">
        <v>77</v>
      </c>
      <c r="B81" s="55" t="s">
        <v>100</v>
      </c>
      <c r="C81" s="54" t="s">
        <v>104</v>
      </c>
      <c r="D81" s="350"/>
      <c r="E81" s="53"/>
      <c r="F81" s="56"/>
      <c r="G81" s="53"/>
      <c r="H81" s="56"/>
      <c r="I81" s="57"/>
      <c r="J81" s="53"/>
      <c r="K81" s="56"/>
      <c r="L81" s="57"/>
      <c r="M81" s="58"/>
      <c r="N81" s="56"/>
      <c r="O81" s="57"/>
      <c r="P81" s="58">
        <f t="shared" si="4"/>
        <v>2.88</v>
      </c>
      <c r="Q81" s="59">
        <f t="shared" si="5"/>
        <v>7200</v>
      </c>
      <c r="R81" s="35">
        <v>4</v>
      </c>
      <c r="S81" s="19">
        <v>0</v>
      </c>
      <c r="T81" s="23">
        <v>0</v>
      </c>
      <c r="U81" s="24">
        <v>0</v>
      </c>
      <c r="V81" s="33">
        <v>0</v>
      </c>
      <c r="W81" s="34">
        <v>0</v>
      </c>
      <c r="X81" s="35">
        <v>0</v>
      </c>
      <c r="Y81" s="19">
        <v>0</v>
      </c>
      <c r="Z81" s="23">
        <v>0</v>
      </c>
      <c r="AA81" s="24">
        <v>0</v>
      </c>
      <c r="AB81" s="33">
        <v>0</v>
      </c>
      <c r="AC81" s="34">
        <v>0</v>
      </c>
      <c r="AD81" s="35">
        <v>0</v>
      </c>
      <c r="AE81" s="36">
        <v>0</v>
      </c>
      <c r="AF81" s="23">
        <v>0</v>
      </c>
      <c r="AG81" s="24">
        <v>0</v>
      </c>
      <c r="AH81" s="33">
        <v>0</v>
      </c>
      <c r="AI81" s="37">
        <v>0</v>
      </c>
      <c r="AJ81" s="35">
        <v>0</v>
      </c>
      <c r="AK81" s="36">
        <v>0</v>
      </c>
      <c r="AL81" s="38">
        <v>0</v>
      </c>
      <c r="AM81" s="35">
        <v>0</v>
      </c>
      <c r="AN81" s="19">
        <v>0</v>
      </c>
      <c r="AO81" s="23">
        <v>0</v>
      </c>
      <c r="AP81" s="24">
        <v>0</v>
      </c>
      <c r="AQ81" s="58">
        <f t="shared" si="6"/>
        <v>2.88</v>
      </c>
      <c r="AR81" s="59">
        <f t="shared" si="7"/>
        <v>7200</v>
      </c>
      <c r="AS81" s="35">
        <v>4</v>
      </c>
    </row>
    <row r="82" spans="1:45" ht="16" x14ac:dyDescent="0.2">
      <c r="A82" s="53">
        <v>78</v>
      </c>
      <c r="B82" s="55" t="s">
        <v>100</v>
      </c>
      <c r="C82" s="54" t="s">
        <v>100</v>
      </c>
      <c r="D82" s="350"/>
      <c r="E82" s="53"/>
      <c r="F82" s="56"/>
      <c r="G82" s="53"/>
      <c r="H82" s="56"/>
      <c r="I82" s="57"/>
      <c r="J82" s="53"/>
      <c r="K82" s="56"/>
      <c r="L82" s="57"/>
      <c r="M82" s="58"/>
      <c r="N82" s="56"/>
      <c r="O82" s="57"/>
      <c r="P82" s="58">
        <f t="shared" si="4"/>
        <v>4.32</v>
      </c>
      <c r="Q82" s="59">
        <f t="shared" si="5"/>
        <v>10800</v>
      </c>
      <c r="R82" s="35">
        <v>6</v>
      </c>
      <c r="S82" s="19">
        <v>0</v>
      </c>
      <c r="T82" s="23">
        <v>0</v>
      </c>
      <c r="U82" s="24">
        <v>0</v>
      </c>
      <c r="V82" s="33">
        <v>0</v>
      </c>
      <c r="W82" s="34">
        <v>0</v>
      </c>
      <c r="X82" s="35">
        <v>0</v>
      </c>
      <c r="Y82" s="19">
        <v>0</v>
      </c>
      <c r="Z82" s="23">
        <v>0</v>
      </c>
      <c r="AA82" s="24">
        <v>0</v>
      </c>
      <c r="AB82" s="33">
        <v>0</v>
      </c>
      <c r="AC82" s="34">
        <v>0</v>
      </c>
      <c r="AD82" s="35">
        <v>0</v>
      </c>
      <c r="AE82" s="36">
        <v>0</v>
      </c>
      <c r="AF82" s="23">
        <v>0</v>
      </c>
      <c r="AG82" s="24">
        <v>0</v>
      </c>
      <c r="AH82" s="33">
        <v>0</v>
      </c>
      <c r="AI82" s="37">
        <v>0</v>
      </c>
      <c r="AJ82" s="35">
        <v>0</v>
      </c>
      <c r="AK82" s="36">
        <v>0</v>
      </c>
      <c r="AL82" s="38">
        <v>0</v>
      </c>
      <c r="AM82" s="35">
        <v>0</v>
      </c>
      <c r="AN82" s="19">
        <v>0</v>
      </c>
      <c r="AO82" s="23">
        <v>0</v>
      </c>
      <c r="AP82" s="24">
        <v>0</v>
      </c>
      <c r="AQ82" s="58">
        <f t="shared" si="6"/>
        <v>4.32</v>
      </c>
      <c r="AR82" s="59">
        <f t="shared" si="7"/>
        <v>10800</v>
      </c>
      <c r="AS82" s="35">
        <v>6</v>
      </c>
    </row>
    <row r="83" spans="1:45" ht="16" x14ac:dyDescent="0.2">
      <c r="A83" s="53">
        <v>79</v>
      </c>
      <c r="B83" s="55" t="s">
        <v>100</v>
      </c>
      <c r="C83" s="54" t="s">
        <v>105</v>
      </c>
      <c r="D83" s="350"/>
      <c r="E83" s="53"/>
      <c r="F83" s="56"/>
      <c r="G83" s="53"/>
      <c r="H83" s="56"/>
      <c r="I83" s="57"/>
      <c r="J83" s="53"/>
      <c r="K83" s="56"/>
      <c r="L83" s="57"/>
      <c r="M83" s="58"/>
      <c r="N83" s="56"/>
      <c r="O83" s="57"/>
      <c r="P83" s="58">
        <f t="shared" si="4"/>
        <v>2.16</v>
      </c>
      <c r="Q83" s="59">
        <f t="shared" si="5"/>
        <v>5400</v>
      </c>
      <c r="R83" s="35">
        <v>3</v>
      </c>
      <c r="S83" s="19">
        <v>0</v>
      </c>
      <c r="T83" s="23">
        <v>0</v>
      </c>
      <c r="U83" s="24">
        <v>0</v>
      </c>
      <c r="V83" s="33">
        <v>0</v>
      </c>
      <c r="W83" s="34">
        <v>0</v>
      </c>
      <c r="X83" s="35">
        <v>0</v>
      </c>
      <c r="Y83" s="19">
        <v>0</v>
      </c>
      <c r="Z83" s="23">
        <v>0</v>
      </c>
      <c r="AA83" s="24">
        <v>0</v>
      </c>
      <c r="AB83" s="33">
        <v>0</v>
      </c>
      <c r="AC83" s="34">
        <v>0</v>
      </c>
      <c r="AD83" s="35">
        <v>0</v>
      </c>
      <c r="AE83" s="36">
        <v>0</v>
      </c>
      <c r="AF83" s="23">
        <v>0</v>
      </c>
      <c r="AG83" s="24">
        <v>0</v>
      </c>
      <c r="AH83" s="33">
        <v>0</v>
      </c>
      <c r="AI83" s="37">
        <v>0</v>
      </c>
      <c r="AJ83" s="35">
        <v>0</v>
      </c>
      <c r="AK83" s="36">
        <v>0</v>
      </c>
      <c r="AL83" s="38">
        <v>0</v>
      </c>
      <c r="AM83" s="35">
        <v>0</v>
      </c>
      <c r="AN83" s="19">
        <v>0</v>
      </c>
      <c r="AO83" s="23">
        <v>0</v>
      </c>
      <c r="AP83" s="24">
        <v>0</v>
      </c>
      <c r="AQ83" s="58">
        <f t="shared" si="6"/>
        <v>2.16</v>
      </c>
      <c r="AR83" s="59">
        <f t="shared" si="7"/>
        <v>5400</v>
      </c>
      <c r="AS83" s="35">
        <v>3</v>
      </c>
    </row>
    <row r="84" spans="1:45" ht="16" x14ac:dyDescent="0.2">
      <c r="A84" s="53">
        <v>80</v>
      </c>
      <c r="B84" s="55" t="s">
        <v>100</v>
      </c>
      <c r="C84" s="54" t="s">
        <v>106</v>
      </c>
      <c r="D84" s="350"/>
      <c r="E84" s="53"/>
      <c r="F84" s="56"/>
      <c r="G84" s="53"/>
      <c r="H84" s="56"/>
      <c r="I84" s="57"/>
      <c r="J84" s="53"/>
      <c r="K84" s="56"/>
      <c r="L84" s="57"/>
      <c r="M84" s="58"/>
      <c r="N84" s="56"/>
      <c r="O84" s="57"/>
      <c r="P84" s="58">
        <f t="shared" si="4"/>
        <v>7.92</v>
      </c>
      <c r="Q84" s="59">
        <f t="shared" si="5"/>
        <v>19800</v>
      </c>
      <c r="R84" s="35">
        <v>11</v>
      </c>
      <c r="S84" s="19">
        <v>0</v>
      </c>
      <c r="T84" s="23">
        <v>0</v>
      </c>
      <c r="U84" s="24">
        <v>0</v>
      </c>
      <c r="V84" s="33">
        <v>0</v>
      </c>
      <c r="W84" s="34">
        <v>0</v>
      </c>
      <c r="X84" s="35">
        <v>0</v>
      </c>
      <c r="Y84" s="19">
        <v>0</v>
      </c>
      <c r="Z84" s="23">
        <v>0</v>
      </c>
      <c r="AA84" s="24">
        <v>0</v>
      </c>
      <c r="AB84" s="33">
        <v>0</v>
      </c>
      <c r="AC84" s="34">
        <v>0</v>
      </c>
      <c r="AD84" s="35">
        <v>0</v>
      </c>
      <c r="AE84" s="36">
        <v>0</v>
      </c>
      <c r="AF84" s="23">
        <v>0</v>
      </c>
      <c r="AG84" s="24">
        <v>0</v>
      </c>
      <c r="AH84" s="33">
        <v>0</v>
      </c>
      <c r="AI84" s="37">
        <v>0</v>
      </c>
      <c r="AJ84" s="35">
        <v>0</v>
      </c>
      <c r="AK84" s="36">
        <v>0</v>
      </c>
      <c r="AL84" s="38">
        <v>0</v>
      </c>
      <c r="AM84" s="35">
        <v>0</v>
      </c>
      <c r="AN84" s="19">
        <v>0</v>
      </c>
      <c r="AO84" s="23">
        <v>0</v>
      </c>
      <c r="AP84" s="24">
        <v>0</v>
      </c>
      <c r="AQ84" s="58">
        <f t="shared" si="6"/>
        <v>7.92</v>
      </c>
      <c r="AR84" s="59">
        <f t="shared" si="7"/>
        <v>19800</v>
      </c>
      <c r="AS84" s="35">
        <v>11</v>
      </c>
    </row>
    <row r="85" spans="1:45" ht="16" x14ac:dyDescent="0.2">
      <c r="A85" s="53">
        <v>81</v>
      </c>
      <c r="B85" s="55" t="s">
        <v>100</v>
      </c>
      <c r="C85" s="54" t="s">
        <v>107</v>
      </c>
      <c r="D85" s="350"/>
      <c r="E85" s="53"/>
      <c r="F85" s="56"/>
      <c r="G85" s="53"/>
      <c r="H85" s="56"/>
      <c r="I85" s="57"/>
      <c r="J85" s="53"/>
      <c r="K85" s="56"/>
      <c r="L85" s="57"/>
      <c r="M85" s="58"/>
      <c r="N85" s="56"/>
      <c r="O85" s="57"/>
      <c r="P85" s="58">
        <f t="shared" si="4"/>
        <v>2.88</v>
      </c>
      <c r="Q85" s="59">
        <f t="shared" si="5"/>
        <v>7200</v>
      </c>
      <c r="R85" s="35">
        <v>4</v>
      </c>
      <c r="S85" s="19">
        <v>0</v>
      </c>
      <c r="T85" s="23">
        <v>0</v>
      </c>
      <c r="U85" s="24">
        <v>0</v>
      </c>
      <c r="V85" s="33">
        <v>0</v>
      </c>
      <c r="W85" s="34">
        <v>0</v>
      </c>
      <c r="X85" s="35">
        <v>0</v>
      </c>
      <c r="Y85" s="19">
        <v>0</v>
      </c>
      <c r="Z85" s="23">
        <v>0</v>
      </c>
      <c r="AA85" s="24">
        <v>0</v>
      </c>
      <c r="AB85" s="33">
        <v>0</v>
      </c>
      <c r="AC85" s="34">
        <v>0</v>
      </c>
      <c r="AD85" s="35">
        <v>0</v>
      </c>
      <c r="AE85" s="36">
        <v>0</v>
      </c>
      <c r="AF85" s="23">
        <v>0</v>
      </c>
      <c r="AG85" s="24">
        <v>0</v>
      </c>
      <c r="AH85" s="33">
        <v>0</v>
      </c>
      <c r="AI85" s="37">
        <v>0</v>
      </c>
      <c r="AJ85" s="35">
        <v>0</v>
      </c>
      <c r="AK85" s="36">
        <v>0</v>
      </c>
      <c r="AL85" s="38">
        <v>0</v>
      </c>
      <c r="AM85" s="35">
        <v>0</v>
      </c>
      <c r="AN85" s="19">
        <v>0</v>
      </c>
      <c r="AO85" s="23">
        <v>0</v>
      </c>
      <c r="AP85" s="24">
        <v>0</v>
      </c>
      <c r="AQ85" s="58">
        <f t="shared" si="6"/>
        <v>2.88</v>
      </c>
      <c r="AR85" s="59">
        <f t="shared" si="7"/>
        <v>7200</v>
      </c>
      <c r="AS85" s="35">
        <v>4</v>
      </c>
    </row>
    <row r="86" spans="1:45" ht="16" x14ac:dyDescent="0.2">
      <c r="A86" s="53">
        <v>82</v>
      </c>
      <c r="B86" s="55" t="s">
        <v>100</v>
      </c>
      <c r="C86" s="54" t="s">
        <v>108</v>
      </c>
      <c r="D86" s="350"/>
      <c r="E86" s="53"/>
      <c r="F86" s="56"/>
      <c r="G86" s="53"/>
      <c r="H86" s="56"/>
      <c r="I86" s="57"/>
      <c r="J86" s="53"/>
      <c r="K86" s="56"/>
      <c r="L86" s="57"/>
      <c r="M86" s="58"/>
      <c r="N86" s="56"/>
      <c r="O86" s="57"/>
      <c r="P86" s="58">
        <f t="shared" si="4"/>
        <v>1.44</v>
      </c>
      <c r="Q86" s="59">
        <f t="shared" si="5"/>
        <v>3600</v>
      </c>
      <c r="R86" s="35">
        <v>2</v>
      </c>
      <c r="S86" s="19">
        <v>0</v>
      </c>
      <c r="T86" s="23">
        <v>0</v>
      </c>
      <c r="U86" s="24">
        <v>0</v>
      </c>
      <c r="V86" s="33">
        <v>0</v>
      </c>
      <c r="W86" s="34">
        <v>0</v>
      </c>
      <c r="X86" s="35">
        <v>0</v>
      </c>
      <c r="Y86" s="19">
        <v>0</v>
      </c>
      <c r="Z86" s="23">
        <v>0</v>
      </c>
      <c r="AA86" s="24">
        <v>0</v>
      </c>
      <c r="AB86" s="33">
        <v>0</v>
      </c>
      <c r="AC86" s="34">
        <v>0</v>
      </c>
      <c r="AD86" s="35">
        <v>0</v>
      </c>
      <c r="AE86" s="36">
        <v>0</v>
      </c>
      <c r="AF86" s="23">
        <v>0</v>
      </c>
      <c r="AG86" s="24">
        <v>0</v>
      </c>
      <c r="AH86" s="33">
        <v>0</v>
      </c>
      <c r="AI86" s="37">
        <v>0</v>
      </c>
      <c r="AJ86" s="35">
        <v>0</v>
      </c>
      <c r="AK86" s="36">
        <v>0</v>
      </c>
      <c r="AL86" s="38">
        <v>0</v>
      </c>
      <c r="AM86" s="35">
        <v>0</v>
      </c>
      <c r="AN86" s="19">
        <v>0</v>
      </c>
      <c r="AO86" s="23">
        <v>0</v>
      </c>
      <c r="AP86" s="24">
        <v>0</v>
      </c>
      <c r="AQ86" s="58">
        <f t="shared" si="6"/>
        <v>1.44</v>
      </c>
      <c r="AR86" s="59">
        <f t="shared" si="7"/>
        <v>3600</v>
      </c>
      <c r="AS86" s="35">
        <v>2</v>
      </c>
    </row>
    <row r="87" spans="1:45" ht="16" x14ac:dyDescent="0.2">
      <c r="A87" s="53">
        <v>83</v>
      </c>
      <c r="B87" s="55" t="s">
        <v>100</v>
      </c>
      <c r="C87" s="54" t="s">
        <v>109</v>
      </c>
      <c r="D87" s="350"/>
      <c r="E87" s="53"/>
      <c r="F87" s="56"/>
      <c r="G87" s="53"/>
      <c r="H87" s="56"/>
      <c r="I87" s="57"/>
      <c r="J87" s="53"/>
      <c r="K87" s="56"/>
      <c r="L87" s="57"/>
      <c r="M87" s="58"/>
      <c r="N87" s="56"/>
      <c r="O87" s="57"/>
      <c r="P87" s="58">
        <f t="shared" si="4"/>
        <v>5.04</v>
      </c>
      <c r="Q87" s="59">
        <f t="shared" si="5"/>
        <v>12600</v>
      </c>
      <c r="R87" s="35">
        <v>7</v>
      </c>
      <c r="S87" s="19">
        <v>0</v>
      </c>
      <c r="T87" s="23">
        <v>0</v>
      </c>
      <c r="U87" s="24">
        <v>0</v>
      </c>
      <c r="V87" s="33">
        <v>0</v>
      </c>
      <c r="W87" s="34">
        <v>0</v>
      </c>
      <c r="X87" s="35">
        <v>0</v>
      </c>
      <c r="Y87" s="19">
        <v>0</v>
      </c>
      <c r="Z87" s="23">
        <v>0</v>
      </c>
      <c r="AA87" s="24">
        <v>0</v>
      </c>
      <c r="AB87" s="33">
        <v>0</v>
      </c>
      <c r="AC87" s="34">
        <v>0</v>
      </c>
      <c r="AD87" s="35">
        <v>0</v>
      </c>
      <c r="AE87" s="36">
        <v>0</v>
      </c>
      <c r="AF87" s="23">
        <v>0</v>
      </c>
      <c r="AG87" s="24">
        <v>0</v>
      </c>
      <c r="AH87" s="33">
        <v>0</v>
      </c>
      <c r="AI87" s="37">
        <v>0</v>
      </c>
      <c r="AJ87" s="35">
        <v>0</v>
      </c>
      <c r="AK87" s="36">
        <v>0</v>
      </c>
      <c r="AL87" s="38">
        <v>0</v>
      </c>
      <c r="AM87" s="35">
        <v>0</v>
      </c>
      <c r="AN87" s="19">
        <v>0</v>
      </c>
      <c r="AO87" s="23">
        <v>0</v>
      </c>
      <c r="AP87" s="24">
        <v>0</v>
      </c>
      <c r="AQ87" s="58">
        <f t="shared" si="6"/>
        <v>5.04</v>
      </c>
      <c r="AR87" s="59">
        <f t="shared" si="7"/>
        <v>12600</v>
      </c>
      <c r="AS87" s="35">
        <v>7</v>
      </c>
    </row>
    <row r="88" spans="1:45" ht="16" x14ac:dyDescent="0.2">
      <c r="A88" s="53">
        <v>84</v>
      </c>
      <c r="B88" s="55" t="s">
        <v>100</v>
      </c>
      <c r="C88" s="54" t="s">
        <v>110</v>
      </c>
      <c r="D88" s="350"/>
      <c r="E88" s="53"/>
      <c r="F88" s="56"/>
      <c r="G88" s="53"/>
      <c r="H88" s="56"/>
      <c r="I88" s="57"/>
      <c r="J88" s="53"/>
      <c r="K88" s="56"/>
      <c r="L88" s="57"/>
      <c r="M88" s="58"/>
      <c r="N88" s="56"/>
      <c r="O88" s="57"/>
      <c r="P88" s="58">
        <f t="shared" si="4"/>
        <v>3.6</v>
      </c>
      <c r="Q88" s="59">
        <f t="shared" si="5"/>
        <v>9000</v>
      </c>
      <c r="R88" s="35">
        <v>5</v>
      </c>
      <c r="S88" s="19">
        <v>0</v>
      </c>
      <c r="T88" s="23">
        <v>0</v>
      </c>
      <c r="U88" s="24">
        <v>0</v>
      </c>
      <c r="V88" s="33">
        <v>0</v>
      </c>
      <c r="W88" s="34">
        <v>0</v>
      </c>
      <c r="X88" s="35">
        <v>0</v>
      </c>
      <c r="Y88" s="19">
        <v>0</v>
      </c>
      <c r="Z88" s="23">
        <v>0</v>
      </c>
      <c r="AA88" s="24">
        <v>0</v>
      </c>
      <c r="AB88" s="33">
        <v>0</v>
      </c>
      <c r="AC88" s="34">
        <v>0</v>
      </c>
      <c r="AD88" s="35">
        <v>0</v>
      </c>
      <c r="AE88" s="36">
        <v>0</v>
      </c>
      <c r="AF88" s="23">
        <v>0</v>
      </c>
      <c r="AG88" s="24">
        <v>0</v>
      </c>
      <c r="AH88" s="33">
        <v>0</v>
      </c>
      <c r="AI88" s="37">
        <v>0</v>
      </c>
      <c r="AJ88" s="35">
        <v>0</v>
      </c>
      <c r="AK88" s="36">
        <v>0</v>
      </c>
      <c r="AL88" s="38">
        <v>0</v>
      </c>
      <c r="AM88" s="35">
        <v>0</v>
      </c>
      <c r="AN88" s="19">
        <v>0</v>
      </c>
      <c r="AO88" s="23">
        <v>0</v>
      </c>
      <c r="AP88" s="24">
        <v>0</v>
      </c>
      <c r="AQ88" s="58">
        <f t="shared" si="6"/>
        <v>3.6</v>
      </c>
      <c r="AR88" s="59">
        <f t="shared" si="7"/>
        <v>9000</v>
      </c>
      <c r="AS88" s="35">
        <v>5</v>
      </c>
    </row>
    <row r="89" spans="1:45" ht="16" x14ac:dyDescent="0.2">
      <c r="A89" s="53">
        <v>85</v>
      </c>
      <c r="B89" s="55" t="s">
        <v>100</v>
      </c>
      <c r="C89" s="54" t="s">
        <v>111</v>
      </c>
      <c r="D89" s="350"/>
      <c r="E89" s="53"/>
      <c r="F89" s="56"/>
      <c r="G89" s="53"/>
      <c r="H89" s="56"/>
      <c r="I89" s="57"/>
      <c r="J89" s="53"/>
      <c r="K89" s="56"/>
      <c r="L89" s="57"/>
      <c r="M89" s="58"/>
      <c r="N89" s="56"/>
      <c r="O89" s="57"/>
      <c r="P89" s="58">
        <f t="shared" si="4"/>
        <v>0</v>
      </c>
      <c r="Q89" s="59">
        <f t="shared" si="5"/>
        <v>0</v>
      </c>
      <c r="R89" s="35"/>
      <c r="S89" s="19">
        <v>0</v>
      </c>
      <c r="T89" s="23">
        <v>0</v>
      </c>
      <c r="U89" s="24">
        <v>0</v>
      </c>
      <c r="V89" s="33">
        <v>0</v>
      </c>
      <c r="W89" s="34">
        <v>0</v>
      </c>
      <c r="X89" s="35">
        <v>0</v>
      </c>
      <c r="Y89" s="19">
        <v>0</v>
      </c>
      <c r="Z89" s="23">
        <v>0</v>
      </c>
      <c r="AA89" s="24">
        <v>0</v>
      </c>
      <c r="AB89" s="33">
        <v>0</v>
      </c>
      <c r="AC89" s="34">
        <v>0</v>
      </c>
      <c r="AD89" s="35">
        <v>0</v>
      </c>
      <c r="AE89" s="36">
        <v>0</v>
      </c>
      <c r="AF89" s="23">
        <v>0</v>
      </c>
      <c r="AG89" s="24">
        <v>0</v>
      </c>
      <c r="AH89" s="33">
        <v>0</v>
      </c>
      <c r="AI89" s="37">
        <v>0</v>
      </c>
      <c r="AJ89" s="35">
        <v>0</v>
      </c>
      <c r="AK89" s="36">
        <v>0</v>
      </c>
      <c r="AL89" s="38">
        <v>0</v>
      </c>
      <c r="AM89" s="35">
        <v>0</v>
      </c>
      <c r="AN89" s="19">
        <v>0</v>
      </c>
      <c r="AO89" s="23">
        <v>0</v>
      </c>
      <c r="AP89" s="24">
        <v>0</v>
      </c>
      <c r="AQ89" s="58">
        <f t="shared" si="6"/>
        <v>0</v>
      </c>
      <c r="AR89" s="59">
        <f t="shared" si="7"/>
        <v>0</v>
      </c>
      <c r="AS89" s="35"/>
    </row>
    <row r="90" spans="1:45" ht="16" x14ac:dyDescent="0.2">
      <c r="A90" s="53">
        <v>86</v>
      </c>
      <c r="B90" s="55" t="s">
        <v>100</v>
      </c>
      <c r="C90" s="54" t="s">
        <v>112</v>
      </c>
      <c r="D90" s="350" t="s">
        <v>25</v>
      </c>
      <c r="E90" s="53"/>
      <c r="F90" s="56"/>
      <c r="G90" s="53"/>
      <c r="H90" s="56"/>
      <c r="I90" s="57"/>
      <c r="J90" s="53"/>
      <c r="K90" s="56"/>
      <c r="L90" s="57"/>
      <c r="M90" s="58"/>
      <c r="N90" s="56"/>
      <c r="O90" s="57"/>
      <c r="P90" s="58">
        <f t="shared" si="4"/>
        <v>9.36</v>
      </c>
      <c r="Q90" s="59">
        <f t="shared" si="5"/>
        <v>23400</v>
      </c>
      <c r="R90" s="35">
        <v>13</v>
      </c>
      <c r="S90" s="19">
        <v>0</v>
      </c>
      <c r="T90" s="23">
        <v>0</v>
      </c>
      <c r="U90" s="24">
        <v>0</v>
      </c>
      <c r="V90" s="33">
        <v>0</v>
      </c>
      <c r="W90" s="34">
        <v>0</v>
      </c>
      <c r="X90" s="35">
        <v>0</v>
      </c>
      <c r="Y90" s="19">
        <v>0</v>
      </c>
      <c r="Z90" s="23">
        <v>0</v>
      </c>
      <c r="AA90" s="24">
        <v>0</v>
      </c>
      <c r="AB90" s="33">
        <v>0</v>
      </c>
      <c r="AC90" s="34">
        <v>0</v>
      </c>
      <c r="AD90" s="35">
        <v>0</v>
      </c>
      <c r="AE90" s="36">
        <v>0</v>
      </c>
      <c r="AF90" s="23">
        <v>0</v>
      </c>
      <c r="AG90" s="24">
        <v>0</v>
      </c>
      <c r="AH90" s="33">
        <v>0</v>
      </c>
      <c r="AI90" s="37">
        <v>0</v>
      </c>
      <c r="AJ90" s="35">
        <v>0</v>
      </c>
      <c r="AK90" s="36">
        <v>0</v>
      </c>
      <c r="AL90" s="38">
        <v>0</v>
      </c>
      <c r="AM90" s="35">
        <v>0</v>
      </c>
      <c r="AN90" s="19">
        <v>0</v>
      </c>
      <c r="AO90" s="23">
        <v>0</v>
      </c>
      <c r="AP90" s="24">
        <v>0</v>
      </c>
      <c r="AQ90" s="58">
        <f t="shared" si="6"/>
        <v>9.36</v>
      </c>
      <c r="AR90" s="59">
        <f t="shared" si="7"/>
        <v>23400</v>
      </c>
      <c r="AS90" s="35">
        <v>13</v>
      </c>
    </row>
    <row r="91" spans="1:45" ht="16" x14ac:dyDescent="0.2">
      <c r="A91" s="53">
        <v>87</v>
      </c>
      <c r="B91" s="55" t="s">
        <v>100</v>
      </c>
      <c r="C91" s="54" t="s">
        <v>113</v>
      </c>
      <c r="D91" s="350"/>
      <c r="E91" s="53"/>
      <c r="F91" s="56"/>
      <c r="G91" s="53"/>
      <c r="H91" s="56"/>
      <c r="I91" s="57"/>
      <c r="J91" s="53"/>
      <c r="K91" s="56"/>
      <c r="L91" s="57"/>
      <c r="M91" s="58"/>
      <c r="N91" s="56"/>
      <c r="O91" s="57"/>
      <c r="P91" s="58">
        <f t="shared" si="4"/>
        <v>3.6</v>
      </c>
      <c r="Q91" s="59">
        <f t="shared" si="5"/>
        <v>9000</v>
      </c>
      <c r="R91" s="35">
        <v>5</v>
      </c>
      <c r="S91" s="19">
        <v>0</v>
      </c>
      <c r="T91" s="23">
        <v>0</v>
      </c>
      <c r="U91" s="24">
        <v>0</v>
      </c>
      <c r="V91" s="33">
        <v>0</v>
      </c>
      <c r="W91" s="34">
        <v>0</v>
      </c>
      <c r="X91" s="35">
        <v>0</v>
      </c>
      <c r="Y91" s="19">
        <v>0</v>
      </c>
      <c r="Z91" s="23">
        <v>0</v>
      </c>
      <c r="AA91" s="24">
        <v>0</v>
      </c>
      <c r="AB91" s="33">
        <v>0</v>
      </c>
      <c r="AC91" s="34">
        <v>0</v>
      </c>
      <c r="AD91" s="35">
        <v>0</v>
      </c>
      <c r="AE91" s="36">
        <v>0</v>
      </c>
      <c r="AF91" s="23">
        <v>0</v>
      </c>
      <c r="AG91" s="24">
        <v>0</v>
      </c>
      <c r="AH91" s="33">
        <v>0</v>
      </c>
      <c r="AI91" s="37">
        <v>0</v>
      </c>
      <c r="AJ91" s="35">
        <v>0</v>
      </c>
      <c r="AK91" s="36">
        <v>0</v>
      </c>
      <c r="AL91" s="38">
        <v>0</v>
      </c>
      <c r="AM91" s="35">
        <v>0</v>
      </c>
      <c r="AN91" s="19">
        <v>0</v>
      </c>
      <c r="AO91" s="23">
        <v>0</v>
      </c>
      <c r="AP91" s="24">
        <v>0</v>
      </c>
      <c r="AQ91" s="58">
        <f t="shared" si="6"/>
        <v>3.6</v>
      </c>
      <c r="AR91" s="59">
        <f t="shared" si="7"/>
        <v>9000</v>
      </c>
      <c r="AS91" s="35">
        <v>5</v>
      </c>
    </row>
    <row r="92" spans="1:45" ht="16" x14ac:dyDescent="0.2">
      <c r="A92" s="53">
        <v>88</v>
      </c>
      <c r="B92" s="55" t="s">
        <v>100</v>
      </c>
      <c r="C92" s="54" t="s">
        <v>114</v>
      </c>
      <c r="D92" s="350"/>
      <c r="E92" s="53"/>
      <c r="F92" s="56"/>
      <c r="G92" s="53"/>
      <c r="H92" s="56"/>
      <c r="I92" s="57"/>
      <c r="J92" s="53"/>
      <c r="K92" s="56"/>
      <c r="L92" s="57"/>
      <c r="M92" s="58"/>
      <c r="N92" s="56"/>
      <c r="O92" s="57"/>
      <c r="P92" s="58">
        <f t="shared" si="4"/>
        <v>4.32</v>
      </c>
      <c r="Q92" s="59">
        <f t="shared" si="5"/>
        <v>10800</v>
      </c>
      <c r="R92" s="35">
        <v>6</v>
      </c>
      <c r="S92" s="19">
        <v>0</v>
      </c>
      <c r="T92" s="23">
        <v>0</v>
      </c>
      <c r="U92" s="24">
        <v>0</v>
      </c>
      <c r="V92" s="33">
        <v>0</v>
      </c>
      <c r="W92" s="34">
        <v>0</v>
      </c>
      <c r="X92" s="35">
        <v>0</v>
      </c>
      <c r="Y92" s="19">
        <v>0</v>
      </c>
      <c r="Z92" s="23">
        <v>0</v>
      </c>
      <c r="AA92" s="24">
        <v>0</v>
      </c>
      <c r="AB92" s="33">
        <v>0</v>
      </c>
      <c r="AC92" s="34">
        <v>0</v>
      </c>
      <c r="AD92" s="35">
        <v>0</v>
      </c>
      <c r="AE92" s="36">
        <v>0</v>
      </c>
      <c r="AF92" s="23">
        <v>0</v>
      </c>
      <c r="AG92" s="24">
        <v>0</v>
      </c>
      <c r="AH92" s="33">
        <v>0</v>
      </c>
      <c r="AI92" s="37">
        <v>0</v>
      </c>
      <c r="AJ92" s="35">
        <v>0</v>
      </c>
      <c r="AK92" s="36">
        <v>0</v>
      </c>
      <c r="AL92" s="38">
        <v>0</v>
      </c>
      <c r="AM92" s="35">
        <v>0</v>
      </c>
      <c r="AN92" s="19">
        <v>0</v>
      </c>
      <c r="AO92" s="23">
        <v>0</v>
      </c>
      <c r="AP92" s="24">
        <v>0</v>
      </c>
      <c r="AQ92" s="58">
        <f t="shared" si="6"/>
        <v>4.32</v>
      </c>
      <c r="AR92" s="59">
        <f t="shared" si="7"/>
        <v>10800</v>
      </c>
      <c r="AS92" s="35">
        <v>6</v>
      </c>
    </row>
    <row r="93" spans="1:45" ht="16" x14ac:dyDescent="0.2">
      <c r="A93" s="53">
        <v>89</v>
      </c>
      <c r="B93" s="55" t="s">
        <v>100</v>
      </c>
      <c r="C93" s="54" t="s">
        <v>115</v>
      </c>
      <c r="D93" s="350"/>
      <c r="E93" s="53"/>
      <c r="F93" s="56"/>
      <c r="G93" s="53"/>
      <c r="H93" s="56"/>
      <c r="I93" s="57"/>
      <c r="J93" s="53"/>
      <c r="K93" s="56"/>
      <c r="L93" s="57"/>
      <c r="M93" s="58"/>
      <c r="N93" s="56"/>
      <c r="O93" s="57"/>
      <c r="P93" s="58">
        <f t="shared" si="4"/>
        <v>2.88</v>
      </c>
      <c r="Q93" s="59">
        <f t="shared" si="5"/>
        <v>7200</v>
      </c>
      <c r="R93" s="35">
        <v>4</v>
      </c>
      <c r="S93" s="19">
        <v>0</v>
      </c>
      <c r="T93" s="23">
        <v>0</v>
      </c>
      <c r="U93" s="24">
        <v>0</v>
      </c>
      <c r="V93" s="33">
        <v>0</v>
      </c>
      <c r="W93" s="34">
        <v>0</v>
      </c>
      <c r="X93" s="35">
        <v>0</v>
      </c>
      <c r="Y93" s="19">
        <v>0</v>
      </c>
      <c r="Z93" s="23">
        <v>0</v>
      </c>
      <c r="AA93" s="24">
        <v>0</v>
      </c>
      <c r="AB93" s="33">
        <v>0</v>
      </c>
      <c r="AC93" s="34">
        <v>0</v>
      </c>
      <c r="AD93" s="35">
        <v>0</v>
      </c>
      <c r="AE93" s="36">
        <v>0</v>
      </c>
      <c r="AF93" s="23">
        <v>0</v>
      </c>
      <c r="AG93" s="24">
        <v>0</v>
      </c>
      <c r="AH93" s="33">
        <v>0</v>
      </c>
      <c r="AI93" s="37">
        <v>0</v>
      </c>
      <c r="AJ93" s="35">
        <v>0</v>
      </c>
      <c r="AK93" s="36">
        <v>0</v>
      </c>
      <c r="AL93" s="38">
        <v>0</v>
      </c>
      <c r="AM93" s="35">
        <v>0</v>
      </c>
      <c r="AN93" s="19">
        <v>0</v>
      </c>
      <c r="AO93" s="23">
        <v>0</v>
      </c>
      <c r="AP93" s="24">
        <v>0</v>
      </c>
      <c r="AQ93" s="58">
        <f t="shared" si="6"/>
        <v>2.88</v>
      </c>
      <c r="AR93" s="59">
        <f t="shared" si="7"/>
        <v>7200</v>
      </c>
      <c r="AS93" s="35">
        <v>4</v>
      </c>
    </row>
    <row r="94" spans="1:45" ht="16" x14ac:dyDescent="0.2">
      <c r="A94" s="53">
        <v>90</v>
      </c>
      <c r="B94" s="55" t="s">
        <v>100</v>
      </c>
      <c r="C94" s="54" t="s">
        <v>116</v>
      </c>
      <c r="D94" s="350"/>
      <c r="E94" s="53"/>
      <c r="F94" s="56"/>
      <c r="G94" s="53"/>
      <c r="H94" s="56"/>
      <c r="I94" s="57"/>
      <c r="J94" s="53"/>
      <c r="K94" s="56"/>
      <c r="L94" s="57"/>
      <c r="M94" s="58"/>
      <c r="N94" s="56"/>
      <c r="O94" s="57"/>
      <c r="P94" s="58">
        <f t="shared" si="4"/>
        <v>23.04</v>
      </c>
      <c r="Q94" s="59">
        <f t="shared" si="5"/>
        <v>57600</v>
      </c>
      <c r="R94" s="35">
        <v>32</v>
      </c>
      <c r="S94" s="19">
        <v>0</v>
      </c>
      <c r="T94" s="23">
        <v>0</v>
      </c>
      <c r="U94" s="24">
        <v>0</v>
      </c>
      <c r="V94" s="33">
        <v>0</v>
      </c>
      <c r="W94" s="34">
        <v>0</v>
      </c>
      <c r="X94" s="35">
        <v>0</v>
      </c>
      <c r="Y94" s="19">
        <v>0</v>
      </c>
      <c r="Z94" s="23">
        <v>0</v>
      </c>
      <c r="AA94" s="24">
        <v>0</v>
      </c>
      <c r="AB94" s="33">
        <v>0</v>
      </c>
      <c r="AC94" s="34">
        <v>0</v>
      </c>
      <c r="AD94" s="35">
        <v>0</v>
      </c>
      <c r="AE94" s="36">
        <v>0</v>
      </c>
      <c r="AF94" s="23">
        <v>0</v>
      </c>
      <c r="AG94" s="24">
        <v>0</v>
      </c>
      <c r="AH94" s="33">
        <v>0</v>
      </c>
      <c r="AI94" s="37">
        <v>0</v>
      </c>
      <c r="AJ94" s="35">
        <v>0</v>
      </c>
      <c r="AK94" s="36">
        <v>0</v>
      </c>
      <c r="AL94" s="38">
        <v>0</v>
      </c>
      <c r="AM94" s="35">
        <v>0</v>
      </c>
      <c r="AN94" s="19">
        <v>0</v>
      </c>
      <c r="AO94" s="23">
        <v>0</v>
      </c>
      <c r="AP94" s="24">
        <v>0</v>
      </c>
      <c r="AQ94" s="58">
        <f t="shared" si="6"/>
        <v>23.04</v>
      </c>
      <c r="AR94" s="59">
        <f t="shared" si="7"/>
        <v>57600</v>
      </c>
      <c r="AS94" s="35">
        <v>32</v>
      </c>
    </row>
    <row r="95" spans="1:45" ht="16" x14ac:dyDescent="0.2">
      <c r="A95" s="53">
        <v>91</v>
      </c>
      <c r="B95" s="55" t="s">
        <v>117</v>
      </c>
      <c r="C95" s="54" t="s">
        <v>118</v>
      </c>
      <c r="D95" s="350"/>
      <c r="E95" s="53"/>
      <c r="F95" s="56"/>
      <c r="G95" s="53"/>
      <c r="H95" s="56"/>
      <c r="I95" s="57"/>
      <c r="J95" s="53"/>
      <c r="K95" s="56"/>
      <c r="L95" s="57"/>
      <c r="M95" s="58"/>
      <c r="N95" s="56"/>
      <c r="O95" s="57"/>
      <c r="P95" s="58">
        <f t="shared" si="4"/>
        <v>2.88</v>
      </c>
      <c r="Q95" s="59">
        <f t="shared" si="5"/>
        <v>7200</v>
      </c>
      <c r="R95" s="35">
        <v>4</v>
      </c>
      <c r="S95" s="19">
        <v>0</v>
      </c>
      <c r="T95" s="23">
        <v>0</v>
      </c>
      <c r="U95" s="24">
        <v>0</v>
      </c>
      <c r="V95" s="33">
        <v>0</v>
      </c>
      <c r="W95" s="34">
        <v>0</v>
      </c>
      <c r="X95" s="35">
        <v>0</v>
      </c>
      <c r="Y95" s="19">
        <v>0</v>
      </c>
      <c r="Z95" s="23">
        <v>0</v>
      </c>
      <c r="AA95" s="24">
        <v>0</v>
      </c>
      <c r="AB95" s="33">
        <v>0</v>
      </c>
      <c r="AC95" s="34">
        <v>0</v>
      </c>
      <c r="AD95" s="35">
        <v>0</v>
      </c>
      <c r="AE95" s="36">
        <v>0</v>
      </c>
      <c r="AF95" s="23">
        <v>0</v>
      </c>
      <c r="AG95" s="24">
        <v>0</v>
      </c>
      <c r="AH95" s="33">
        <v>0</v>
      </c>
      <c r="AI95" s="37">
        <v>0</v>
      </c>
      <c r="AJ95" s="35">
        <v>0</v>
      </c>
      <c r="AK95" s="36">
        <v>0</v>
      </c>
      <c r="AL95" s="38">
        <v>0</v>
      </c>
      <c r="AM95" s="35">
        <v>0</v>
      </c>
      <c r="AN95" s="19">
        <v>0</v>
      </c>
      <c r="AO95" s="23">
        <v>0</v>
      </c>
      <c r="AP95" s="24">
        <v>0</v>
      </c>
      <c r="AQ95" s="58">
        <f t="shared" si="6"/>
        <v>2.88</v>
      </c>
      <c r="AR95" s="59">
        <f t="shared" si="7"/>
        <v>7200</v>
      </c>
      <c r="AS95" s="35">
        <v>4</v>
      </c>
    </row>
    <row r="96" spans="1:45" ht="16" x14ac:dyDescent="0.2">
      <c r="A96" s="53">
        <v>92</v>
      </c>
      <c r="B96" s="55" t="s">
        <v>117</v>
      </c>
      <c r="C96" s="54" t="s">
        <v>119</v>
      </c>
      <c r="D96" s="350"/>
      <c r="E96" s="53"/>
      <c r="F96" s="56"/>
      <c r="G96" s="53"/>
      <c r="H96" s="56"/>
      <c r="I96" s="57"/>
      <c r="J96" s="53"/>
      <c r="K96" s="56"/>
      <c r="L96" s="57"/>
      <c r="M96" s="58"/>
      <c r="N96" s="56"/>
      <c r="O96" s="57"/>
      <c r="P96" s="58">
        <f t="shared" si="4"/>
        <v>2.16</v>
      </c>
      <c r="Q96" s="59">
        <f t="shared" si="5"/>
        <v>5400</v>
      </c>
      <c r="R96" s="35">
        <v>3</v>
      </c>
      <c r="S96" s="19">
        <v>0</v>
      </c>
      <c r="T96" s="23">
        <v>0</v>
      </c>
      <c r="U96" s="24">
        <v>0</v>
      </c>
      <c r="V96" s="33">
        <v>0</v>
      </c>
      <c r="W96" s="34">
        <v>0</v>
      </c>
      <c r="X96" s="35">
        <v>0</v>
      </c>
      <c r="Y96" s="19">
        <v>0</v>
      </c>
      <c r="Z96" s="23">
        <v>0</v>
      </c>
      <c r="AA96" s="24">
        <v>0</v>
      </c>
      <c r="AB96" s="33">
        <v>0</v>
      </c>
      <c r="AC96" s="34">
        <v>0</v>
      </c>
      <c r="AD96" s="35">
        <v>0</v>
      </c>
      <c r="AE96" s="36">
        <v>0</v>
      </c>
      <c r="AF96" s="23">
        <v>0</v>
      </c>
      <c r="AG96" s="24">
        <v>0</v>
      </c>
      <c r="AH96" s="33">
        <v>0</v>
      </c>
      <c r="AI96" s="37">
        <v>0</v>
      </c>
      <c r="AJ96" s="35">
        <v>0</v>
      </c>
      <c r="AK96" s="36">
        <v>0</v>
      </c>
      <c r="AL96" s="38">
        <v>0</v>
      </c>
      <c r="AM96" s="35">
        <v>0</v>
      </c>
      <c r="AN96" s="19">
        <v>0</v>
      </c>
      <c r="AO96" s="23">
        <v>0</v>
      </c>
      <c r="AP96" s="24">
        <v>0</v>
      </c>
      <c r="AQ96" s="58">
        <f t="shared" si="6"/>
        <v>2.16</v>
      </c>
      <c r="AR96" s="59">
        <f t="shared" si="7"/>
        <v>5400</v>
      </c>
      <c r="AS96" s="35">
        <v>3</v>
      </c>
    </row>
    <row r="97" spans="1:45" ht="16" x14ac:dyDescent="0.2">
      <c r="A97" s="53">
        <v>93</v>
      </c>
      <c r="B97" s="55" t="s">
        <v>117</v>
      </c>
      <c r="C97" s="54" t="s">
        <v>120</v>
      </c>
      <c r="D97" s="350"/>
      <c r="E97" s="53"/>
      <c r="F97" s="56"/>
      <c r="G97" s="53"/>
      <c r="H97" s="56"/>
      <c r="I97" s="57"/>
      <c r="J97" s="53"/>
      <c r="K97" s="56"/>
      <c r="L97" s="57"/>
      <c r="M97" s="58"/>
      <c r="N97" s="56"/>
      <c r="O97" s="57"/>
      <c r="P97" s="58">
        <f t="shared" si="4"/>
        <v>0.72</v>
      </c>
      <c r="Q97" s="59">
        <f t="shared" si="5"/>
        <v>1800</v>
      </c>
      <c r="R97" s="35">
        <v>1</v>
      </c>
      <c r="S97" s="19">
        <v>0</v>
      </c>
      <c r="T97" s="23">
        <v>0</v>
      </c>
      <c r="U97" s="24">
        <v>0</v>
      </c>
      <c r="V97" s="33">
        <v>0</v>
      </c>
      <c r="W97" s="34">
        <v>0</v>
      </c>
      <c r="X97" s="35">
        <v>0</v>
      </c>
      <c r="Y97" s="19">
        <v>0</v>
      </c>
      <c r="Z97" s="23">
        <v>0</v>
      </c>
      <c r="AA97" s="24">
        <v>0</v>
      </c>
      <c r="AB97" s="33">
        <v>0</v>
      </c>
      <c r="AC97" s="34">
        <v>0</v>
      </c>
      <c r="AD97" s="35">
        <v>0</v>
      </c>
      <c r="AE97" s="36">
        <v>0</v>
      </c>
      <c r="AF97" s="23">
        <v>0</v>
      </c>
      <c r="AG97" s="24">
        <v>0</v>
      </c>
      <c r="AH97" s="33">
        <v>0</v>
      </c>
      <c r="AI97" s="37">
        <v>0</v>
      </c>
      <c r="AJ97" s="35">
        <v>0</v>
      </c>
      <c r="AK97" s="36">
        <v>0</v>
      </c>
      <c r="AL97" s="38">
        <v>0</v>
      </c>
      <c r="AM97" s="35">
        <v>0</v>
      </c>
      <c r="AN97" s="19">
        <v>0</v>
      </c>
      <c r="AO97" s="23">
        <v>0</v>
      </c>
      <c r="AP97" s="24">
        <v>0</v>
      </c>
      <c r="AQ97" s="58">
        <f t="shared" si="6"/>
        <v>0.72</v>
      </c>
      <c r="AR97" s="59">
        <f t="shared" si="7"/>
        <v>1800</v>
      </c>
      <c r="AS97" s="35">
        <v>1</v>
      </c>
    </row>
    <row r="98" spans="1:45" ht="16" x14ac:dyDescent="0.2">
      <c r="A98" s="53">
        <v>94</v>
      </c>
      <c r="B98" s="55" t="s">
        <v>117</v>
      </c>
      <c r="C98" s="54" t="s">
        <v>121</v>
      </c>
      <c r="D98" s="350"/>
      <c r="E98" s="53"/>
      <c r="F98" s="56"/>
      <c r="G98" s="53"/>
      <c r="H98" s="56"/>
      <c r="I98" s="57"/>
      <c r="J98" s="53"/>
      <c r="K98" s="56"/>
      <c r="L98" s="57"/>
      <c r="M98" s="58"/>
      <c r="N98" s="56"/>
      <c r="O98" s="57"/>
      <c r="P98" s="58">
        <f t="shared" si="4"/>
        <v>2.88</v>
      </c>
      <c r="Q98" s="59">
        <f t="shared" si="5"/>
        <v>7200</v>
      </c>
      <c r="R98" s="35">
        <v>4</v>
      </c>
      <c r="S98" s="19">
        <v>0</v>
      </c>
      <c r="T98" s="23">
        <v>0</v>
      </c>
      <c r="U98" s="24">
        <v>0</v>
      </c>
      <c r="V98" s="33">
        <v>0</v>
      </c>
      <c r="W98" s="34">
        <v>0</v>
      </c>
      <c r="X98" s="35">
        <v>0</v>
      </c>
      <c r="Y98" s="19">
        <v>0</v>
      </c>
      <c r="Z98" s="23">
        <v>0</v>
      </c>
      <c r="AA98" s="24">
        <v>0</v>
      </c>
      <c r="AB98" s="33">
        <v>0</v>
      </c>
      <c r="AC98" s="34">
        <v>0</v>
      </c>
      <c r="AD98" s="35">
        <v>0</v>
      </c>
      <c r="AE98" s="36">
        <v>0</v>
      </c>
      <c r="AF98" s="23">
        <v>0</v>
      </c>
      <c r="AG98" s="24">
        <v>0</v>
      </c>
      <c r="AH98" s="33">
        <v>0</v>
      </c>
      <c r="AI98" s="37">
        <v>0</v>
      </c>
      <c r="AJ98" s="35">
        <v>0</v>
      </c>
      <c r="AK98" s="36">
        <v>0</v>
      </c>
      <c r="AL98" s="38">
        <v>0</v>
      </c>
      <c r="AM98" s="35">
        <v>0</v>
      </c>
      <c r="AN98" s="19">
        <v>0</v>
      </c>
      <c r="AO98" s="23">
        <v>0</v>
      </c>
      <c r="AP98" s="24">
        <v>0</v>
      </c>
      <c r="AQ98" s="58">
        <f t="shared" si="6"/>
        <v>2.88</v>
      </c>
      <c r="AR98" s="59">
        <f t="shared" si="7"/>
        <v>7200</v>
      </c>
      <c r="AS98" s="35">
        <v>4</v>
      </c>
    </row>
    <row r="99" spans="1:45" ht="16" x14ac:dyDescent="0.2">
      <c r="A99" s="53">
        <v>95</v>
      </c>
      <c r="B99" s="55" t="s">
        <v>117</v>
      </c>
      <c r="C99" s="54" t="s">
        <v>122</v>
      </c>
      <c r="D99" s="350"/>
      <c r="E99" s="53"/>
      <c r="F99" s="56"/>
      <c r="G99" s="53"/>
      <c r="H99" s="56"/>
      <c r="I99" s="57"/>
      <c r="J99" s="53"/>
      <c r="K99" s="56"/>
      <c r="L99" s="57"/>
      <c r="M99" s="58"/>
      <c r="N99" s="56"/>
      <c r="O99" s="57"/>
      <c r="P99" s="58">
        <f t="shared" si="4"/>
        <v>2.16</v>
      </c>
      <c r="Q99" s="59">
        <f t="shared" si="5"/>
        <v>5400</v>
      </c>
      <c r="R99" s="35">
        <v>3</v>
      </c>
      <c r="S99" s="19">
        <v>0</v>
      </c>
      <c r="T99" s="23">
        <v>0</v>
      </c>
      <c r="U99" s="24">
        <v>0</v>
      </c>
      <c r="V99" s="33">
        <v>0</v>
      </c>
      <c r="W99" s="34">
        <v>0</v>
      </c>
      <c r="X99" s="35">
        <v>0</v>
      </c>
      <c r="Y99" s="19">
        <v>0</v>
      </c>
      <c r="Z99" s="23">
        <v>0</v>
      </c>
      <c r="AA99" s="24">
        <v>0</v>
      </c>
      <c r="AB99" s="33">
        <v>0</v>
      </c>
      <c r="AC99" s="34">
        <v>0</v>
      </c>
      <c r="AD99" s="35">
        <v>0</v>
      </c>
      <c r="AE99" s="36">
        <v>0</v>
      </c>
      <c r="AF99" s="23">
        <v>0</v>
      </c>
      <c r="AG99" s="24">
        <v>0</v>
      </c>
      <c r="AH99" s="33">
        <v>0</v>
      </c>
      <c r="AI99" s="37">
        <v>0</v>
      </c>
      <c r="AJ99" s="35">
        <v>0</v>
      </c>
      <c r="AK99" s="36">
        <v>0</v>
      </c>
      <c r="AL99" s="38">
        <v>0</v>
      </c>
      <c r="AM99" s="35">
        <v>0</v>
      </c>
      <c r="AN99" s="19">
        <v>0</v>
      </c>
      <c r="AO99" s="23">
        <v>0</v>
      </c>
      <c r="AP99" s="24">
        <v>0</v>
      </c>
      <c r="AQ99" s="58">
        <f t="shared" si="6"/>
        <v>2.16</v>
      </c>
      <c r="AR99" s="59">
        <f t="shared" si="7"/>
        <v>5400</v>
      </c>
      <c r="AS99" s="35">
        <v>3</v>
      </c>
    </row>
    <row r="100" spans="1:45" ht="16" x14ac:dyDescent="0.2">
      <c r="A100" s="53">
        <v>96</v>
      </c>
      <c r="B100" s="55" t="s">
        <v>117</v>
      </c>
      <c r="C100" s="54" t="s">
        <v>123</v>
      </c>
      <c r="D100" s="350"/>
      <c r="E100" s="53"/>
      <c r="F100" s="56"/>
      <c r="G100" s="53"/>
      <c r="H100" s="56"/>
      <c r="I100" s="57"/>
      <c r="J100" s="53"/>
      <c r="K100" s="56"/>
      <c r="L100" s="57"/>
      <c r="M100" s="58"/>
      <c r="N100" s="56"/>
      <c r="O100" s="57"/>
      <c r="P100" s="58">
        <f t="shared" si="4"/>
        <v>2.16</v>
      </c>
      <c r="Q100" s="59">
        <f t="shared" si="5"/>
        <v>5400</v>
      </c>
      <c r="R100" s="35">
        <v>3</v>
      </c>
      <c r="S100" s="19">
        <v>0</v>
      </c>
      <c r="T100" s="23">
        <v>0</v>
      </c>
      <c r="U100" s="24">
        <v>0</v>
      </c>
      <c r="V100" s="33">
        <v>0</v>
      </c>
      <c r="W100" s="34">
        <v>0</v>
      </c>
      <c r="X100" s="35">
        <v>0</v>
      </c>
      <c r="Y100" s="19">
        <v>0</v>
      </c>
      <c r="Z100" s="23">
        <v>0</v>
      </c>
      <c r="AA100" s="24">
        <v>0</v>
      </c>
      <c r="AB100" s="33">
        <v>0</v>
      </c>
      <c r="AC100" s="34">
        <v>0</v>
      </c>
      <c r="AD100" s="35">
        <v>0</v>
      </c>
      <c r="AE100" s="36">
        <v>0</v>
      </c>
      <c r="AF100" s="23">
        <v>0</v>
      </c>
      <c r="AG100" s="24">
        <v>0</v>
      </c>
      <c r="AH100" s="33">
        <v>0</v>
      </c>
      <c r="AI100" s="37">
        <v>0</v>
      </c>
      <c r="AJ100" s="35">
        <v>0</v>
      </c>
      <c r="AK100" s="36">
        <v>0</v>
      </c>
      <c r="AL100" s="38">
        <v>0</v>
      </c>
      <c r="AM100" s="35">
        <v>0</v>
      </c>
      <c r="AN100" s="19">
        <v>0</v>
      </c>
      <c r="AO100" s="23">
        <v>0</v>
      </c>
      <c r="AP100" s="24">
        <v>0</v>
      </c>
      <c r="AQ100" s="58">
        <f t="shared" si="6"/>
        <v>2.16</v>
      </c>
      <c r="AR100" s="59">
        <f t="shared" si="7"/>
        <v>5400</v>
      </c>
      <c r="AS100" s="35">
        <v>3</v>
      </c>
    </row>
    <row r="101" spans="1:45" ht="16" x14ac:dyDescent="0.2">
      <c r="A101" s="53">
        <v>97</v>
      </c>
      <c r="B101" s="55" t="s">
        <v>117</v>
      </c>
      <c r="C101" s="54" t="s">
        <v>117</v>
      </c>
      <c r="D101" s="350"/>
      <c r="E101" s="53"/>
      <c r="F101" s="56"/>
      <c r="G101" s="53"/>
      <c r="H101" s="56"/>
      <c r="I101" s="57"/>
      <c r="J101" s="53"/>
      <c r="K101" s="56"/>
      <c r="L101" s="57"/>
      <c r="M101" s="58"/>
      <c r="N101" s="56"/>
      <c r="O101" s="57"/>
      <c r="P101" s="58">
        <f t="shared" si="4"/>
        <v>1.44</v>
      </c>
      <c r="Q101" s="59">
        <f t="shared" si="5"/>
        <v>3600</v>
      </c>
      <c r="R101" s="35">
        <v>2</v>
      </c>
      <c r="S101" s="19">
        <v>0</v>
      </c>
      <c r="T101" s="23">
        <v>0</v>
      </c>
      <c r="U101" s="24">
        <v>0</v>
      </c>
      <c r="V101" s="33">
        <v>0</v>
      </c>
      <c r="W101" s="34">
        <v>0</v>
      </c>
      <c r="X101" s="35">
        <v>0</v>
      </c>
      <c r="Y101" s="19">
        <v>0</v>
      </c>
      <c r="Z101" s="23">
        <v>0</v>
      </c>
      <c r="AA101" s="24">
        <v>0</v>
      </c>
      <c r="AB101" s="33">
        <v>0</v>
      </c>
      <c r="AC101" s="34">
        <v>0</v>
      </c>
      <c r="AD101" s="35">
        <v>0</v>
      </c>
      <c r="AE101" s="36">
        <v>0</v>
      </c>
      <c r="AF101" s="23">
        <v>0</v>
      </c>
      <c r="AG101" s="24">
        <v>0</v>
      </c>
      <c r="AH101" s="33">
        <v>0</v>
      </c>
      <c r="AI101" s="37">
        <v>0</v>
      </c>
      <c r="AJ101" s="35">
        <v>0</v>
      </c>
      <c r="AK101" s="36">
        <v>0</v>
      </c>
      <c r="AL101" s="38">
        <v>0</v>
      </c>
      <c r="AM101" s="35">
        <v>0</v>
      </c>
      <c r="AN101" s="19">
        <v>0</v>
      </c>
      <c r="AO101" s="23">
        <v>0</v>
      </c>
      <c r="AP101" s="24">
        <v>0</v>
      </c>
      <c r="AQ101" s="58">
        <f t="shared" si="6"/>
        <v>1.44</v>
      </c>
      <c r="AR101" s="59">
        <f t="shared" si="7"/>
        <v>3600</v>
      </c>
      <c r="AS101" s="35">
        <v>2</v>
      </c>
    </row>
    <row r="102" spans="1:45" ht="16" x14ac:dyDescent="0.2">
      <c r="A102" s="53">
        <v>98</v>
      </c>
      <c r="B102" s="55" t="s">
        <v>117</v>
      </c>
      <c r="C102" s="54" t="s">
        <v>124</v>
      </c>
      <c r="D102" s="350"/>
      <c r="E102" s="53"/>
      <c r="F102" s="56"/>
      <c r="G102" s="53"/>
      <c r="H102" s="56"/>
      <c r="I102" s="57"/>
      <c r="J102" s="53"/>
      <c r="K102" s="56"/>
      <c r="L102" s="57"/>
      <c r="M102" s="58"/>
      <c r="N102" s="56"/>
      <c r="O102" s="57"/>
      <c r="P102" s="58">
        <f t="shared" si="4"/>
        <v>2.16</v>
      </c>
      <c r="Q102" s="59">
        <f t="shared" si="5"/>
        <v>5400</v>
      </c>
      <c r="R102" s="35">
        <v>3</v>
      </c>
      <c r="S102" s="19">
        <v>0</v>
      </c>
      <c r="T102" s="23">
        <v>0</v>
      </c>
      <c r="U102" s="24">
        <v>0</v>
      </c>
      <c r="V102" s="33">
        <v>0</v>
      </c>
      <c r="W102" s="34">
        <v>0</v>
      </c>
      <c r="X102" s="35">
        <v>0</v>
      </c>
      <c r="Y102" s="19">
        <v>0</v>
      </c>
      <c r="Z102" s="23">
        <v>0</v>
      </c>
      <c r="AA102" s="24">
        <v>0</v>
      </c>
      <c r="AB102" s="33">
        <v>0</v>
      </c>
      <c r="AC102" s="34">
        <v>0</v>
      </c>
      <c r="AD102" s="35">
        <v>0</v>
      </c>
      <c r="AE102" s="36">
        <v>0</v>
      </c>
      <c r="AF102" s="23">
        <v>0</v>
      </c>
      <c r="AG102" s="24">
        <v>0</v>
      </c>
      <c r="AH102" s="33">
        <v>0</v>
      </c>
      <c r="AI102" s="37">
        <v>0</v>
      </c>
      <c r="AJ102" s="35">
        <v>0</v>
      </c>
      <c r="AK102" s="36">
        <v>0</v>
      </c>
      <c r="AL102" s="38">
        <v>0</v>
      </c>
      <c r="AM102" s="35">
        <v>0</v>
      </c>
      <c r="AN102" s="19">
        <v>0</v>
      </c>
      <c r="AO102" s="23">
        <v>0</v>
      </c>
      <c r="AP102" s="24">
        <v>0</v>
      </c>
      <c r="AQ102" s="58">
        <f t="shared" si="6"/>
        <v>2.16</v>
      </c>
      <c r="AR102" s="59">
        <f t="shared" si="7"/>
        <v>5400</v>
      </c>
      <c r="AS102" s="35">
        <v>3</v>
      </c>
    </row>
    <row r="103" spans="1:45" ht="16" x14ac:dyDescent="0.2">
      <c r="A103" s="53">
        <v>99</v>
      </c>
      <c r="B103" s="55" t="s">
        <v>117</v>
      </c>
      <c r="C103" s="54" t="s">
        <v>89</v>
      </c>
      <c r="D103" s="350"/>
      <c r="E103" s="53"/>
      <c r="F103" s="56"/>
      <c r="G103" s="53"/>
      <c r="H103" s="56"/>
      <c r="I103" s="57"/>
      <c r="J103" s="53"/>
      <c r="K103" s="56"/>
      <c r="L103" s="57"/>
      <c r="M103" s="58"/>
      <c r="N103" s="56"/>
      <c r="O103" s="57"/>
      <c r="P103" s="58">
        <f t="shared" si="4"/>
        <v>0</v>
      </c>
      <c r="Q103" s="59">
        <f t="shared" si="5"/>
        <v>0</v>
      </c>
      <c r="R103" s="35"/>
      <c r="S103" s="19">
        <v>0</v>
      </c>
      <c r="T103" s="23">
        <v>0</v>
      </c>
      <c r="U103" s="24">
        <v>0</v>
      </c>
      <c r="V103" s="33">
        <v>0</v>
      </c>
      <c r="W103" s="34">
        <v>0</v>
      </c>
      <c r="X103" s="35">
        <v>0</v>
      </c>
      <c r="Y103" s="19">
        <v>0</v>
      </c>
      <c r="Z103" s="23">
        <v>0</v>
      </c>
      <c r="AA103" s="24">
        <v>0</v>
      </c>
      <c r="AB103" s="33">
        <v>0</v>
      </c>
      <c r="AC103" s="34">
        <v>0</v>
      </c>
      <c r="AD103" s="35">
        <v>0</v>
      </c>
      <c r="AE103" s="36">
        <v>0</v>
      </c>
      <c r="AF103" s="23">
        <v>0</v>
      </c>
      <c r="AG103" s="24">
        <v>0</v>
      </c>
      <c r="AH103" s="33">
        <v>0</v>
      </c>
      <c r="AI103" s="37">
        <v>0</v>
      </c>
      <c r="AJ103" s="35">
        <v>0</v>
      </c>
      <c r="AK103" s="36">
        <v>0</v>
      </c>
      <c r="AL103" s="38">
        <v>0</v>
      </c>
      <c r="AM103" s="35">
        <v>0</v>
      </c>
      <c r="AN103" s="19">
        <v>0</v>
      </c>
      <c r="AO103" s="23">
        <v>0</v>
      </c>
      <c r="AP103" s="24">
        <v>0</v>
      </c>
      <c r="AQ103" s="58">
        <f t="shared" si="6"/>
        <v>0</v>
      </c>
      <c r="AR103" s="59">
        <f t="shared" si="7"/>
        <v>0</v>
      </c>
      <c r="AS103" s="35"/>
    </row>
    <row r="104" spans="1:45" ht="16" x14ac:dyDescent="0.2">
      <c r="A104" s="53">
        <v>100</v>
      </c>
      <c r="B104" s="55" t="s">
        <v>117</v>
      </c>
      <c r="C104" s="54" t="s">
        <v>125</v>
      </c>
      <c r="D104" s="350"/>
      <c r="E104" s="53"/>
      <c r="F104" s="56"/>
      <c r="G104" s="53"/>
      <c r="H104" s="56"/>
      <c r="I104" s="57"/>
      <c r="J104" s="53"/>
      <c r="K104" s="56"/>
      <c r="L104" s="57"/>
      <c r="M104" s="58"/>
      <c r="N104" s="56"/>
      <c r="O104" s="57"/>
      <c r="P104" s="58">
        <f t="shared" si="4"/>
        <v>1.44</v>
      </c>
      <c r="Q104" s="59">
        <f t="shared" si="5"/>
        <v>3600</v>
      </c>
      <c r="R104" s="35">
        <v>2</v>
      </c>
      <c r="S104" s="19">
        <v>0</v>
      </c>
      <c r="T104" s="23">
        <v>0</v>
      </c>
      <c r="U104" s="24">
        <v>0</v>
      </c>
      <c r="V104" s="33">
        <v>0</v>
      </c>
      <c r="W104" s="34">
        <v>0</v>
      </c>
      <c r="X104" s="35">
        <v>0</v>
      </c>
      <c r="Y104" s="19">
        <v>0</v>
      </c>
      <c r="Z104" s="23">
        <v>0</v>
      </c>
      <c r="AA104" s="24">
        <v>0</v>
      </c>
      <c r="AB104" s="33">
        <v>0</v>
      </c>
      <c r="AC104" s="34">
        <v>0</v>
      </c>
      <c r="AD104" s="35">
        <v>0</v>
      </c>
      <c r="AE104" s="36">
        <v>0</v>
      </c>
      <c r="AF104" s="23">
        <v>0</v>
      </c>
      <c r="AG104" s="24">
        <v>0</v>
      </c>
      <c r="AH104" s="33">
        <v>0</v>
      </c>
      <c r="AI104" s="37">
        <v>0</v>
      </c>
      <c r="AJ104" s="35">
        <v>0</v>
      </c>
      <c r="AK104" s="36">
        <v>0</v>
      </c>
      <c r="AL104" s="38">
        <v>0</v>
      </c>
      <c r="AM104" s="35">
        <v>0</v>
      </c>
      <c r="AN104" s="19">
        <v>0</v>
      </c>
      <c r="AO104" s="23">
        <v>0</v>
      </c>
      <c r="AP104" s="24">
        <v>0</v>
      </c>
      <c r="AQ104" s="58">
        <f t="shared" si="6"/>
        <v>1.44</v>
      </c>
      <c r="AR104" s="59">
        <f t="shared" si="7"/>
        <v>3600</v>
      </c>
      <c r="AS104" s="35">
        <v>2</v>
      </c>
    </row>
    <row r="105" spans="1:45" ht="16" x14ac:dyDescent="0.2">
      <c r="A105" s="53">
        <v>101</v>
      </c>
      <c r="B105" s="55" t="s">
        <v>117</v>
      </c>
      <c r="C105" s="54" t="s">
        <v>126</v>
      </c>
      <c r="D105" s="350"/>
      <c r="E105" s="53"/>
      <c r="F105" s="56"/>
      <c r="G105" s="53"/>
      <c r="H105" s="56"/>
      <c r="I105" s="57"/>
      <c r="J105" s="53"/>
      <c r="K105" s="56"/>
      <c r="L105" s="57"/>
      <c r="M105" s="58"/>
      <c r="N105" s="56"/>
      <c r="O105" s="57"/>
      <c r="P105" s="58">
        <f t="shared" si="4"/>
        <v>0</v>
      </c>
      <c r="Q105" s="59">
        <f t="shared" si="5"/>
        <v>0</v>
      </c>
      <c r="R105" s="35"/>
      <c r="S105" s="19">
        <v>0</v>
      </c>
      <c r="T105" s="23">
        <v>0</v>
      </c>
      <c r="U105" s="24">
        <v>0</v>
      </c>
      <c r="V105" s="33">
        <v>0</v>
      </c>
      <c r="W105" s="34">
        <v>0</v>
      </c>
      <c r="X105" s="35">
        <v>0</v>
      </c>
      <c r="Y105" s="19">
        <v>0</v>
      </c>
      <c r="Z105" s="23">
        <v>0</v>
      </c>
      <c r="AA105" s="24">
        <v>0</v>
      </c>
      <c r="AB105" s="33">
        <v>0</v>
      </c>
      <c r="AC105" s="34">
        <v>0</v>
      </c>
      <c r="AD105" s="35">
        <v>0</v>
      </c>
      <c r="AE105" s="36">
        <v>0</v>
      </c>
      <c r="AF105" s="23">
        <v>0</v>
      </c>
      <c r="AG105" s="24">
        <v>0</v>
      </c>
      <c r="AH105" s="33">
        <v>0</v>
      </c>
      <c r="AI105" s="37">
        <v>0</v>
      </c>
      <c r="AJ105" s="35">
        <v>0</v>
      </c>
      <c r="AK105" s="36">
        <v>0</v>
      </c>
      <c r="AL105" s="38">
        <v>0</v>
      </c>
      <c r="AM105" s="35">
        <v>0</v>
      </c>
      <c r="AN105" s="19">
        <v>0</v>
      </c>
      <c r="AO105" s="23">
        <v>0</v>
      </c>
      <c r="AP105" s="24">
        <v>0</v>
      </c>
      <c r="AQ105" s="58">
        <f t="shared" si="6"/>
        <v>0</v>
      </c>
      <c r="AR105" s="59">
        <f t="shared" si="7"/>
        <v>0</v>
      </c>
      <c r="AS105" s="35"/>
    </row>
    <row r="106" spans="1:45" ht="16" x14ac:dyDescent="0.2">
      <c r="A106" s="53">
        <v>102</v>
      </c>
      <c r="B106" s="55" t="s">
        <v>117</v>
      </c>
      <c r="C106" s="54" t="s">
        <v>127</v>
      </c>
      <c r="D106" s="350"/>
      <c r="E106" s="53"/>
      <c r="F106" s="56"/>
      <c r="G106" s="53"/>
      <c r="H106" s="56"/>
      <c r="I106" s="57"/>
      <c r="J106" s="53"/>
      <c r="K106" s="56"/>
      <c r="L106" s="57"/>
      <c r="M106" s="58"/>
      <c r="N106" s="56"/>
      <c r="O106" s="57"/>
      <c r="P106" s="58">
        <f t="shared" si="4"/>
        <v>1.44</v>
      </c>
      <c r="Q106" s="59">
        <f t="shared" si="5"/>
        <v>3600</v>
      </c>
      <c r="R106" s="35">
        <v>2</v>
      </c>
      <c r="S106" s="19">
        <v>0</v>
      </c>
      <c r="T106" s="23">
        <v>0</v>
      </c>
      <c r="U106" s="24">
        <v>0</v>
      </c>
      <c r="V106" s="33">
        <v>0</v>
      </c>
      <c r="W106" s="34">
        <v>0</v>
      </c>
      <c r="X106" s="35">
        <v>0</v>
      </c>
      <c r="Y106" s="19">
        <v>0</v>
      </c>
      <c r="Z106" s="23">
        <v>0</v>
      </c>
      <c r="AA106" s="24">
        <v>0</v>
      </c>
      <c r="AB106" s="33">
        <v>0</v>
      </c>
      <c r="AC106" s="34">
        <v>0</v>
      </c>
      <c r="AD106" s="35">
        <v>0</v>
      </c>
      <c r="AE106" s="36">
        <v>0</v>
      </c>
      <c r="AF106" s="23">
        <v>0</v>
      </c>
      <c r="AG106" s="24">
        <v>0</v>
      </c>
      <c r="AH106" s="33">
        <v>0</v>
      </c>
      <c r="AI106" s="37">
        <v>0</v>
      </c>
      <c r="AJ106" s="35">
        <v>0</v>
      </c>
      <c r="AK106" s="36">
        <v>0</v>
      </c>
      <c r="AL106" s="38">
        <v>0</v>
      </c>
      <c r="AM106" s="35">
        <v>0</v>
      </c>
      <c r="AN106" s="19">
        <v>0</v>
      </c>
      <c r="AO106" s="23">
        <v>0</v>
      </c>
      <c r="AP106" s="24">
        <v>0</v>
      </c>
      <c r="AQ106" s="58">
        <f t="shared" si="6"/>
        <v>1.44</v>
      </c>
      <c r="AR106" s="59">
        <f t="shared" si="7"/>
        <v>3600</v>
      </c>
      <c r="AS106" s="35">
        <v>2</v>
      </c>
    </row>
    <row r="107" spans="1:45" ht="16" x14ac:dyDescent="0.2">
      <c r="A107" s="53">
        <v>103</v>
      </c>
      <c r="B107" s="55" t="s">
        <v>117</v>
      </c>
      <c r="C107" s="54" t="s">
        <v>128</v>
      </c>
      <c r="D107" s="350" t="s">
        <v>25</v>
      </c>
      <c r="E107" s="53"/>
      <c r="F107" s="56"/>
      <c r="G107" s="53"/>
      <c r="H107" s="56"/>
      <c r="I107" s="57"/>
      <c r="J107" s="53"/>
      <c r="K107" s="56"/>
      <c r="L107" s="57"/>
      <c r="M107" s="58"/>
      <c r="N107" s="56"/>
      <c r="O107" s="57"/>
      <c r="P107" s="58">
        <f t="shared" si="4"/>
        <v>0.72</v>
      </c>
      <c r="Q107" s="59">
        <f t="shared" si="5"/>
        <v>1800</v>
      </c>
      <c r="R107" s="35">
        <v>1</v>
      </c>
      <c r="S107" s="19">
        <v>0</v>
      </c>
      <c r="T107" s="23">
        <v>0</v>
      </c>
      <c r="U107" s="24">
        <v>0</v>
      </c>
      <c r="V107" s="33">
        <v>0</v>
      </c>
      <c r="W107" s="34">
        <v>0</v>
      </c>
      <c r="X107" s="35">
        <v>0</v>
      </c>
      <c r="Y107" s="19">
        <v>0</v>
      </c>
      <c r="Z107" s="23">
        <v>0</v>
      </c>
      <c r="AA107" s="24">
        <v>0</v>
      </c>
      <c r="AB107" s="33">
        <v>0</v>
      </c>
      <c r="AC107" s="34">
        <v>0</v>
      </c>
      <c r="AD107" s="35">
        <v>0</v>
      </c>
      <c r="AE107" s="36">
        <v>0</v>
      </c>
      <c r="AF107" s="23">
        <v>0</v>
      </c>
      <c r="AG107" s="24">
        <v>0</v>
      </c>
      <c r="AH107" s="33">
        <v>0</v>
      </c>
      <c r="AI107" s="37">
        <v>0</v>
      </c>
      <c r="AJ107" s="35">
        <v>0</v>
      </c>
      <c r="AK107" s="36">
        <v>0</v>
      </c>
      <c r="AL107" s="38">
        <v>0</v>
      </c>
      <c r="AM107" s="35">
        <v>0</v>
      </c>
      <c r="AN107" s="19">
        <v>0</v>
      </c>
      <c r="AO107" s="23">
        <v>0</v>
      </c>
      <c r="AP107" s="24">
        <v>0</v>
      </c>
      <c r="AQ107" s="58">
        <f t="shared" si="6"/>
        <v>0.72</v>
      </c>
      <c r="AR107" s="59">
        <f t="shared" si="7"/>
        <v>1800</v>
      </c>
      <c r="AS107" s="35">
        <v>1</v>
      </c>
    </row>
    <row r="108" spans="1:45" ht="16" x14ac:dyDescent="0.2">
      <c r="A108" s="53">
        <v>104</v>
      </c>
      <c r="B108" s="55" t="s">
        <v>117</v>
      </c>
      <c r="C108" s="54" t="s">
        <v>129</v>
      </c>
      <c r="D108" s="350"/>
      <c r="E108" s="53"/>
      <c r="F108" s="56"/>
      <c r="G108" s="53"/>
      <c r="H108" s="56"/>
      <c r="I108" s="57"/>
      <c r="J108" s="53"/>
      <c r="K108" s="56"/>
      <c r="L108" s="57"/>
      <c r="M108" s="58"/>
      <c r="N108" s="56"/>
      <c r="O108" s="57"/>
      <c r="P108" s="58">
        <f t="shared" si="4"/>
        <v>0.72</v>
      </c>
      <c r="Q108" s="59">
        <f t="shared" si="5"/>
        <v>1800</v>
      </c>
      <c r="R108" s="35">
        <v>1</v>
      </c>
      <c r="S108" s="19">
        <v>0</v>
      </c>
      <c r="T108" s="23">
        <v>0</v>
      </c>
      <c r="U108" s="24">
        <v>0</v>
      </c>
      <c r="V108" s="33">
        <v>0</v>
      </c>
      <c r="W108" s="34">
        <v>0</v>
      </c>
      <c r="X108" s="35">
        <v>0</v>
      </c>
      <c r="Y108" s="19">
        <v>0</v>
      </c>
      <c r="Z108" s="23">
        <v>0</v>
      </c>
      <c r="AA108" s="24">
        <v>0</v>
      </c>
      <c r="AB108" s="33">
        <v>0</v>
      </c>
      <c r="AC108" s="34">
        <v>0</v>
      </c>
      <c r="AD108" s="35">
        <v>0</v>
      </c>
      <c r="AE108" s="36">
        <v>0</v>
      </c>
      <c r="AF108" s="23">
        <v>0</v>
      </c>
      <c r="AG108" s="24">
        <v>0</v>
      </c>
      <c r="AH108" s="33">
        <v>0</v>
      </c>
      <c r="AI108" s="37">
        <v>0</v>
      </c>
      <c r="AJ108" s="35">
        <v>0</v>
      </c>
      <c r="AK108" s="36">
        <v>0</v>
      </c>
      <c r="AL108" s="38">
        <v>0</v>
      </c>
      <c r="AM108" s="35">
        <v>0</v>
      </c>
      <c r="AN108" s="19">
        <v>0</v>
      </c>
      <c r="AO108" s="23">
        <v>0</v>
      </c>
      <c r="AP108" s="24">
        <v>0</v>
      </c>
      <c r="AQ108" s="58">
        <f t="shared" si="6"/>
        <v>0.72</v>
      </c>
      <c r="AR108" s="59">
        <f t="shared" si="7"/>
        <v>1800</v>
      </c>
      <c r="AS108" s="35">
        <v>1</v>
      </c>
    </row>
    <row r="109" spans="1:45" ht="16" x14ac:dyDescent="0.2">
      <c r="A109" s="53">
        <v>105</v>
      </c>
      <c r="B109" s="55" t="s">
        <v>117</v>
      </c>
      <c r="C109" s="54" t="s">
        <v>130</v>
      </c>
      <c r="D109" s="350"/>
      <c r="E109" s="53"/>
      <c r="F109" s="56"/>
      <c r="G109" s="53"/>
      <c r="H109" s="56"/>
      <c r="I109" s="57"/>
      <c r="J109" s="53"/>
      <c r="K109" s="56"/>
      <c r="L109" s="57"/>
      <c r="M109" s="58"/>
      <c r="N109" s="56"/>
      <c r="O109" s="57"/>
      <c r="P109" s="58">
        <f t="shared" si="4"/>
        <v>0.72</v>
      </c>
      <c r="Q109" s="59">
        <f t="shared" si="5"/>
        <v>1800</v>
      </c>
      <c r="R109" s="35">
        <v>1</v>
      </c>
      <c r="S109" s="19">
        <v>0</v>
      </c>
      <c r="T109" s="23">
        <v>0</v>
      </c>
      <c r="U109" s="24">
        <v>0</v>
      </c>
      <c r="V109" s="33">
        <v>0</v>
      </c>
      <c r="W109" s="34">
        <v>0</v>
      </c>
      <c r="X109" s="35">
        <v>0</v>
      </c>
      <c r="Y109" s="19">
        <v>0</v>
      </c>
      <c r="Z109" s="23">
        <v>0</v>
      </c>
      <c r="AA109" s="24">
        <v>0</v>
      </c>
      <c r="AB109" s="33">
        <v>0</v>
      </c>
      <c r="AC109" s="34">
        <v>0</v>
      </c>
      <c r="AD109" s="35">
        <v>0</v>
      </c>
      <c r="AE109" s="36">
        <v>0</v>
      </c>
      <c r="AF109" s="23">
        <v>0</v>
      </c>
      <c r="AG109" s="24">
        <v>0</v>
      </c>
      <c r="AH109" s="33">
        <v>0</v>
      </c>
      <c r="AI109" s="37">
        <v>0</v>
      </c>
      <c r="AJ109" s="35">
        <v>0</v>
      </c>
      <c r="AK109" s="36">
        <v>0</v>
      </c>
      <c r="AL109" s="38">
        <v>0</v>
      </c>
      <c r="AM109" s="35">
        <v>0</v>
      </c>
      <c r="AN109" s="19">
        <v>0</v>
      </c>
      <c r="AO109" s="23">
        <v>0</v>
      </c>
      <c r="AP109" s="24">
        <v>0</v>
      </c>
      <c r="AQ109" s="58">
        <f t="shared" si="6"/>
        <v>0.72</v>
      </c>
      <c r="AR109" s="59">
        <f t="shared" si="7"/>
        <v>1800</v>
      </c>
      <c r="AS109" s="35">
        <v>1</v>
      </c>
    </row>
    <row r="110" spans="1:45" ht="16" x14ac:dyDescent="0.2">
      <c r="A110" s="53">
        <v>106</v>
      </c>
      <c r="B110" s="55" t="s">
        <v>117</v>
      </c>
      <c r="C110" s="54" t="s">
        <v>131</v>
      </c>
      <c r="D110" s="350"/>
      <c r="E110" s="53"/>
      <c r="F110" s="56"/>
      <c r="G110" s="53"/>
      <c r="H110" s="56"/>
      <c r="I110" s="57"/>
      <c r="J110" s="53"/>
      <c r="K110" s="56"/>
      <c r="L110" s="57"/>
      <c r="M110" s="58"/>
      <c r="N110" s="56"/>
      <c r="O110" s="57"/>
      <c r="P110" s="58">
        <f t="shared" si="4"/>
        <v>4.32</v>
      </c>
      <c r="Q110" s="59">
        <f t="shared" si="5"/>
        <v>10800</v>
      </c>
      <c r="R110" s="35">
        <v>6</v>
      </c>
      <c r="S110" s="19">
        <v>0</v>
      </c>
      <c r="T110" s="23">
        <v>0</v>
      </c>
      <c r="U110" s="24">
        <v>0</v>
      </c>
      <c r="V110" s="33">
        <v>0</v>
      </c>
      <c r="W110" s="34">
        <v>0</v>
      </c>
      <c r="X110" s="35">
        <v>0</v>
      </c>
      <c r="Y110" s="19">
        <v>0</v>
      </c>
      <c r="Z110" s="23">
        <v>0</v>
      </c>
      <c r="AA110" s="24">
        <v>0</v>
      </c>
      <c r="AB110" s="33">
        <v>0</v>
      </c>
      <c r="AC110" s="34">
        <v>0</v>
      </c>
      <c r="AD110" s="35">
        <v>0</v>
      </c>
      <c r="AE110" s="36">
        <v>0</v>
      </c>
      <c r="AF110" s="23">
        <v>0</v>
      </c>
      <c r="AG110" s="24">
        <v>0</v>
      </c>
      <c r="AH110" s="33">
        <v>0</v>
      </c>
      <c r="AI110" s="37">
        <v>0</v>
      </c>
      <c r="AJ110" s="35">
        <v>0</v>
      </c>
      <c r="AK110" s="36">
        <v>0</v>
      </c>
      <c r="AL110" s="38">
        <v>0</v>
      </c>
      <c r="AM110" s="35">
        <v>0</v>
      </c>
      <c r="AN110" s="19">
        <v>0</v>
      </c>
      <c r="AO110" s="23">
        <v>0</v>
      </c>
      <c r="AP110" s="24">
        <v>0</v>
      </c>
      <c r="AQ110" s="58">
        <f t="shared" si="6"/>
        <v>4.32</v>
      </c>
      <c r="AR110" s="59">
        <f t="shared" si="7"/>
        <v>10800</v>
      </c>
      <c r="AS110" s="35">
        <v>6</v>
      </c>
    </row>
    <row r="111" spans="1:45" ht="16" x14ac:dyDescent="0.2">
      <c r="A111" s="53">
        <v>107</v>
      </c>
      <c r="B111" s="55" t="s">
        <v>117</v>
      </c>
      <c r="C111" s="54" t="s">
        <v>132</v>
      </c>
      <c r="D111" s="350"/>
      <c r="E111" s="53"/>
      <c r="F111" s="56"/>
      <c r="G111" s="53"/>
      <c r="H111" s="56"/>
      <c r="I111" s="57"/>
      <c r="J111" s="53"/>
      <c r="K111" s="56"/>
      <c r="L111" s="57"/>
      <c r="M111" s="58"/>
      <c r="N111" s="56"/>
      <c r="O111" s="57"/>
      <c r="P111" s="58">
        <f t="shared" si="4"/>
        <v>0</v>
      </c>
      <c r="Q111" s="59">
        <f t="shared" si="5"/>
        <v>0</v>
      </c>
      <c r="R111" s="35"/>
      <c r="S111" s="19">
        <v>0</v>
      </c>
      <c r="T111" s="23">
        <v>0</v>
      </c>
      <c r="U111" s="24">
        <v>0</v>
      </c>
      <c r="V111" s="33">
        <v>0</v>
      </c>
      <c r="W111" s="34">
        <v>0</v>
      </c>
      <c r="X111" s="35">
        <v>0</v>
      </c>
      <c r="Y111" s="19">
        <v>0</v>
      </c>
      <c r="Z111" s="23">
        <v>0</v>
      </c>
      <c r="AA111" s="24">
        <v>0</v>
      </c>
      <c r="AB111" s="33">
        <v>0</v>
      </c>
      <c r="AC111" s="34">
        <v>0</v>
      </c>
      <c r="AD111" s="35">
        <v>0</v>
      </c>
      <c r="AE111" s="36">
        <v>0</v>
      </c>
      <c r="AF111" s="23">
        <v>0</v>
      </c>
      <c r="AG111" s="24">
        <v>0</v>
      </c>
      <c r="AH111" s="33">
        <v>0</v>
      </c>
      <c r="AI111" s="37">
        <v>0</v>
      </c>
      <c r="AJ111" s="35">
        <v>0</v>
      </c>
      <c r="AK111" s="36">
        <v>0</v>
      </c>
      <c r="AL111" s="38">
        <v>0</v>
      </c>
      <c r="AM111" s="35">
        <v>0</v>
      </c>
      <c r="AN111" s="19">
        <v>0</v>
      </c>
      <c r="AO111" s="23">
        <v>0</v>
      </c>
      <c r="AP111" s="24">
        <v>0</v>
      </c>
      <c r="AQ111" s="58">
        <f t="shared" si="6"/>
        <v>0</v>
      </c>
      <c r="AR111" s="59">
        <f t="shared" si="7"/>
        <v>0</v>
      </c>
      <c r="AS111" s="35"/>
    </row>
    <row r="112" spans="1:45" ht="16" x14ac:dyDescent="0.2">
      <c r="A112" s="53">
        <v>108</v>
      </c>
      <c r="B112" s="55" t="s">
        <v>117</v>
      </c>
      <c r="C112" s="54" t="s">
        <v>133</v>
      </c>
      <c r="D112" s="350"/>
      <c r="E112" s="53"/>
      <c r="F112" s="56"/>
      <c r="G112" s="53"/>
      <c r="H112" s="56"/>
      <c r="I112" s="57"/>
      <c r="J112" s="53"/>
      <c r="K112" s="56"/>
      <c r="L112" s="57"/>
      <c r="M112" s="58"/>
      <c r="N112" s="56"/>
      <c r="O112" s="57"/>
      <c r="P112" s="58">
        <f t="shared" si="4"/>
        <v>0</v>
      </c>
      <c r="Q112" s="59">
        <f t="shared" si="5"/>
        <v>0</v>
      </c>
      <c r="R112" s="35"/>
      <c r="S112" s="19">
        <v>0</v>
      </c>
      <c r="T112" s="23">
        <v>0</v>
      </c>
      <c r="U112" s="24">
        <v>0</v>
      </c>
      <c r="V112" s="33">
        <v>0</v>
      </c>
      <c r="W112" s="34">
        <v>0</v>
      </c>
      <c r="X112" s="35">
        <v>0</v>
      </c>
      <c r="Y112" s="19">
        <v>0</v>
      </c>
      <c r="Z112" s="23">
        <v>0</v>
      </c>
      <c r="AA112" s="24">
        <v>0</v>
      </c>
      <c r="AB112" s="33">
        <v>0</v>
      </c>
      <c r="AC112" s="34">
        <v>0</v>
      </c>
      <c r="AD112" s="35">
        <v>0</v>
      </c>
      <c r="AE112" s="36">
        <v>0</v>
      </c>
      <c r="AF112" s="23">
        <v>0</v>
      </c>
      <c r="AG112" s="24">
        <v>0</v>
      </c>
      <c r="AH112" s="33">
        <v>0</v>
      </c>
      <c r="AI112" s="37">
        <v>0</v>
      </c>
      <c r="AJ112" s="35">
        <v>0</v>
      </c>
      <c r="AK112" s="36">
        <v>0</v>
      </c>
      <c r="AL112" s="38">
        <v>0</v>
      </c>
      <c r="AM112" s="35">
        <v>0</v>
      </c>
      <c r="AN112" s="19">
        <v>0</v>
      </c>
      <c r="AO112" s="23">
        <v>0</v>
      </c>
      <c r="AP112" s="24">
        <v>0</v>
      </c>
      <c r="AQ112" s="58">
        <f t="shared" si="6"/>
        <v>0</v>
      </c>
      <c r="AR112" s="59">
        <f t="shared" si="7"/>
        <v>0</v>
      </c>
      <c r="AS112" s="35"/>
    </row>
    <row r="113" spans="1:45" ht="16" x14ac:dyDescent="0.2">
      <c r="A113" s="53">
        <v>109</v>
      </c>
      <c r="B113" s="55" t="s">
        <v>117</v>
      </c>
      <c r="C113" s="54" t="s">
        <v>134</v>
      </c>
      <c r="D113" s="350"/>
      <c r="E113" s="53"/>
      <c r="F113" s="56"/>
      <c r="G113" s="53"/>
      <c r="H113" s="56"/>
      <c r="I113" s="57"/>
      <c r="J113" s="53"/>
      <c r="K113" s="56"/>
      <c r="L113" s="57"/>
      <c r="M113" s="58"/>
      <c r="N113" s="56"/>
      <c r="O113" s="57"/>
      <c r="P113" s="58">
        <f t="shared" si="4"/>
        <v>5.04</v>
      </c>
      <c r="Q113" s="59">
        <f t="shared" si="5"/>
        <v>12600</v>
      </c>
      <c r="R113" s="35">
        <v>7</v>
      </c>
      <c r="S113" s="19">
        <v>0</v>
      </c>
      <c r="T113" s="23">
        <v>0</v>
      </c>
      <c r="U113" s="24">
        <v>0</v>
      </c>
      <c r="V113" s="33">
        <v>0</v>
      </c>
      <c r="W113" s="34">
        <v>0</v>
      </c>
      <c r="X113" s="35">
        <v>0</v>
      </c>
      <c r="Y113" s="19">
        <v>0</v>
      </c>
      <c r="Z113" s="23">
        <v>0</v>
      </c>
      <c r="AA113" s="24">
        <v>0</v>
      </c>
      <c r="AB113" s="33">
        <v>0</v>
      </c>
      <c r="AC113" s="34">
        <v>0</v>
      </c>
      <c r="AD113" s="35">
        <v>0</v>
      </c>
      <c r="AE113" s="36">
        <v>0</v>
      </c>
      <c r="AF113" s="23">
        <v>0</v>
      </c>
      <c r="AG113" s="24">
        <v>0</v>
      </c>
      <c r="AH113" s="33">
        <v>0</v>
      </c>
      <c r="AI113" s="37">
        <v>0</v>
      </c>
      <c r="AJ113" s="35">
        <v>0</v>
      </c>
      <c r="AK113" s="36">
        <v>0</v>
      </c>
      <c r="AL113" s="38">
        <v>0</v>
      </c>
      <c r="AM113" s="35">
        <v>0</v>
      </c>
      <c r="AN113" s="19">
        <v>0</v>
      </c>
      <c r="AO113" s="23">
        <v>0</v>
      </c>
      <c r="AP113" s="24">
        <v>0</v>
      </c>
      <c r="AQ113" s="58">
        <f t="shared" si="6"/>
        <v>5.04</v>
      </c>
      <c r="AR113" s="59">
        <f t="shared" si="7"/>
        <v>12600</v>
      </c>
      <c r="AS113" s="35">
        <v>7</v>
      </c>
    </row>
    <row r="114" spans="1:45" ht="16" x14ac:dyDescent="0.2">
      <c r="A114" s="53">
        <v>110</v>
      </c>
      <c r="B114" s="55" t="s">
        <v>117</v>
      </c>
      <c r="C114" s="54" t="s">
        <v>135</v>
      </c>
      <c r="D114" s="350"/>
      <c r="E114" s="53"/>
      <c r="F114" s="56"/>
      <c r="G114" s="53"/>
      <c r="H114" s="56"/>
      <c r="I114" s="57"/>
      <c r="J114" s="53"/>
      <c r="K114" s="56"/>
      <c r="L114" s="57"/>
      <c r="M114" s="58"/>
      <c r="N114" s="56"/>
      <c r="O114" s="57"/>
      <c r="P114" s="58">
        <f t="shared" si="4"/>
        <v>0</v>
      </c>
      <c r="Q114" s="59">
        <f t="shared" si="5"/>
        <v>0</v>
      </c>
      <c r="R114" s="35">
        <v>0</v>
      </c>
      <c r="S114" s="19">
        <v>0</v>
      </c>
      <c r="T114" s="23">
        <v>0</v>
      </c>
      <c r="U114" s="24">
        <v>0</v>
      </c>
      <c r="V114" s="33">
        <v>0</v>
      </c>
      <c r="W114" s="34">
        <v>0</v>
      </c>
      <c r="X114" s="35">
        <v>0</v>
      </c>
      <c r="Y114" s="19">
        <v>0</v>
      </c>
      <c r="Z114" s="23">
        <v>0</v>
      </c>
      <c r="AA114" s="24">
        <v>0</v>
      </c>
      <c r="AB114" s="33">
        <v>0</v>
      </c>
      <c r="AC114" s="34">
        <v>0</v>
      </c>
      <c r="AD114" s="35">
        <v>0</v>
      </c>
      <c r="AE114" s="36">
        <v>0</v>
      </c>
      <c r="AF114" s="23">
        <v>0</v>
      </c>
      <c r="AG114" s="24">
        <v>0</v>
      </c>
      <c r="AH114" s="33">
        <v>0</v>
      </c>
      <c r="AI114" s="37">
        <v>0</v>
      </c>
      <c r="AJ114" s="35">
        <v>0</v>
      </c>
      <c r="AK114" s="36">
        <v>0</v>
      </c>
      <c r="AL114" s="38">
        <v>0</v>
      </c>
      <c r="AM114" s="35">
        <v>0</v>
      </c>
      <c r="AN114" s="19">
        <v>0</v>
      </c>
      <c r="AO114" s="23">
        <v>0</v>
      </c>
      <c r="AP114" s="24">
        <v>0</v>
      </c>
      <c r="AQ114" s="58">
        <f t="shared" si="6"/>
        <v>0</v>
      </c>
      <c r="AR114" s="59">
        <f t="shared" si="7"/>
        <v>0</v>
      </c>
      <c r="AS114" s="35">
        <v>0</v>
      </c>
    </row>
    <row r="115" spans="1:45" ht="16" x14ac:dyDescent="0.2">
      <c r="A115" s="53">
        <v>111</v>
      </c>
      <c r="B115" s="55" t="s">
        <v>117</v>
      </c>
      <c r="C115" s="54" t="s">
        <v>136</v>
      </c>
      <c r="D115" s="350"/>
      <c r="E115" s="53"/>
      <c r="F115" s="56"/>
      <c r="G115" s="53"/>
      <c r="H115" s="56"/>
      <c r="I115" s="57"/>
      <c r="J115" s="53"/>
      <c r="K115" s="56"/>
      <c r="L115" s="57"/>
      <c r="M115" s="58"/>
      <c r="N115" s="56"/>
      <c r="O115" s="57"/>
      <c r="P115" s="58">
        <f t="shared" si="4"/>
        <v>0</v>
      </c>
      <c r="Q115" s="59">
        <f t="shared" si="5"/>
        <v>0</v>
      </c>
      <c r="R115" s="35">
        <v>0</v>
      </c>
      <c r="S115" s="19">
        <v>0</v>
      </c>
      <c r="T115" s="23">
        <v>0</v>
      </c>
      <c r="U115" s="24">
        <v>0</v>
      </c>
      <c r="V115" s="33">
        <v>0</v>
      </c>
      <c r="W115" s="34">
        <v>0</v>
      </c>
      <c r="X115" s="35">
        <v>0</v>
      </c>
      <c r="Y115" s="19">
        <v>0</v>
      </c>
      <c r="Z115" s="23">
        <v>0</v>
      </c>
      <c r="AA115" s="24">
        <v>0</v>
      </c>
      <c r="AB115" s="33">
        <v>0</v>
      </c>
      <c r="AC115" s="34">
        <v>0</v>
      </c>
      <c r="AD115" s="35">
        <v>0</v>
      </c>
      <c r="AE115" s="36">
        <v>0</v>
      </c>
      <c r="AF115" s="23">
        <v>0</v>
      </c>
      <c r="AG115" s="24">
        <v>0</v>
      </c>
      <c r="AH115" s="33">
        <v>0</v>
      </c>
      <c r="AI115" s="37">
        <v>0</v>
      </c>
      <c r="AJ115" s="35">
        <v>0</v>
      </c>
      <c r="AK115" s="36">
        <v>0</v>
      </c>
      <c r="AL115" s="38">
        <v>0</v>
      </c>
      <c r="AM115" s="35">
        <v>0</v>
      </c>
      <c r="AN115" s="19">
        <v>0</v>
      </c>
      <c r="AO115" s="23">
        <v>0</v>
      </c>
      <c r="AP115" s="24">
        <v>0</v>
      </c>
      <c r="AQ115" s="58">
        <f t="shared" si="6"/>
        <v>0</v>
      </c>
      <c r="AR115" s="59">
        <f t="shared" si="7"/>
        <v>0</v>
      </c>
      <c r="AS115" s="35">
        <v>0</v>
      </c>
    </row>
    <row r="116" spans="1:45" ht="16" x14ac:dyDescent="0.2">
      <c r="A116" s="53">
        <v>112</v>
      </c>
      <c r="B116" s="55" t="s">
        <v>117</v>
      </c>
      <c r="C116" s="54" t="s">
        <v>137</v>
      </c>
      <c r="D116" s="350"/>
      <c r="E116" s="53"/>
      <c r="F116" s="56"/>
      <c r="G116" s="53"/>
      <c r="H116" s="56"/>
      <c r="I116" s="57"/>
      <c r="J116" s="53"/>
      <c r="K116" s="56"/>
      <c r="L116" s="57"/>
      <c r="M116" s="58"/>
      <c r="N116" s="56"/>
      <c r="O116" s="57"/>
      <c r="P116" s="58">
        <f t="shared" si="4"/>
        <v>0.72</v>
      </c>
      <c r="Q116" s="59">
        <f t="shared" si="5"/>
        <v>1800</v>
      </c>
      <c r="R116" s="35">
        <v>1</v>
      </c>
      <c r="S116" s="19">
        <v>0</v>
      </c>
      <c r="T116" s="23">
        <v>0</v>
      </c>
      <c r="U116" s="24">
        <v>0</v>
      </c>
      <c r="V116" s="33">
        <v>0</v>
      </c>
      <c r="W116" s="34">
        <v>0</v>
      </c>
      <c r="X116" s="35">
        <v>0</v>
      </c>
      <c r="Y116" s="19">
        <v>0</v>
      </c>
      <c r="Z116" s="23">
        <v>0</v>
      </c>
      <c r="AA116" s="24">
        <v>0</v>
      </c>
      <c r="AB116" s="33">
        <v>0</v>
      </c>
      <c r="AC116" s="34">
        <v>0</v>
      </c>
      <c r="AD116" s="35">
        <v>0</v>
      </c>
      <c r="AE116" s="36">
        <v>0</v>
      </c>
      <c r="AF116" s="23">
        <v>0</v>
      </c>
      <c r="AG116" s="24">
        <v>0</v>
      </c>
      <c r="AH116" s="33">
        <v>0</v>
      </c>
      <c r="AI116" s="37">
        <v>0</v>
      </c>
      <c r="AJ116" s="35">
        <v>0</v>
      </c>
      <c r="AK116" s="36">
        <v>0</v>
      </c>
      <c r="AL116" s="38">
        <v>0</v>
      </c>
      <c r="AM116" s="35">
        <v>0</v>
      </c>
      <c r="AN116" s="19">
        <v>0</v>
      </c>
      <c r="AO116" s="23">
        <v>0</v>
      </c>
      <c r="AP116" s="24">
        <v>0</v>
      </c>
      <c r="AQ116" s="58">
        <f t="shared" si="6"/>
        <v>0.72</v>
      </c>
      <c r="AR116" s="59">
        <f t="shared" si="7"/>
        <v>1800</v>
      </c>
      <c r="AS116" s="35">
        <v>1</v>
      </c>
    </row>
    <row r="117" spans="1:45" ht="16" x14ac:dyDescent="0.2">
      <c r="A117" s="53">
        <v>113</v>
      </c>
      <c r="B117" s="55" t="s">
        <v>117</v>
      </c>
      <c r="C117" s="54" t="s">
        <v>138</v>
      </c>
      <c r="D117" s="350"/>
      <c r="E117" s="53"/>
      <c r="F117" s="56"/>
      <c r="G117" s="53"/>
      <c r="H117" s="56"/>
      <c r="I117" s="57"/>
      <c r="J117" s="53"/>
      <c r="K117" s="56"/>
      <c r="L117" s="57"/>
      <c r="M117" s="58"/>
      <c r="N117" s="56"/>
      <c r="O117" s="57"/>
      <c r="P117" s="58">
        <f t="shared" si="4"/>
        <v>0</v>
      </c>
      <c r="Q117" s="59">
        <f t="shared" si="5"/>
        <v>0</v>
      </c>
      <c r="R117" s="35">
        <v>0</v>
      </c>
      <c r="S117" s="19">
        <v>0</v>
      </c>
      <c r="T117" s="23">
        <v>0</v>
      </c>
      <c r="U117" s="24">
        <v>0</v>
      </c>
      <c r="V117" s="33">
        <v>0</v>
      </c>
      <c r="W117" s="34">
        <v>0</v>
      </c>
      <c r="X117" s="35">
        <v>0</v>
      </c>
      <c r="Y117" s="19">
        <v>0</v>
      </c>
      <c r="Z117" s="23">
        <v>0</v>
      </c>
      <c r="AA117" s="24">
        <v>0</v>
      </c>
      <c r="AB117" s="33">
        <v>0</v>
      </c>
      <c r="AC117" s="34">
        <v>0</v>
      </c>
      <c r="AD117" s="35">
        <v>0</v>
      </c>
      <c r="AE117" s="36">
        <v>0</v>
      </c>
      <c r="AF117" s="23">
        <v>0</v>
      </c>
      <c r="AG117" s="24">
        <v>0</v>
      </c>
      <c r="AH117" s="33">
        <v>0</v>
      </c>
      <c r="AI117" s="37">
        <v>0</v>
      </c>
      <c r="AJ117" s="35">
        <v>0</v>
      </c>
      <c r="AK117" s="36">
        <v>0</v>
      </c>
      <c r="AL117" s="38">
        <v>0</v>
      </c>
      <c r="AM117" s="35">
        <v>0</v>
      </c>
      <c r="AN117" s="19">
        <v>0</v>
      </c>
      <c r="AO117" s="23">
        <v>0</v>
      </c>
      <c r="AP117" s="24">
        <v>0</v>
      </c>
      <c r="AQ117" s="58">
        <f t="shared" si="6"/>
        <v>0</v>
      </c>
      <c r="AR117" s="59">
        <f t="shared" si="7"/>
        <v>0</v>
      </c>
      <c r="AS117" s="35">
        <v>0</v>
      </c>
    </row>
    <row r="118" spans="1:45" ht="16" x14ac:dyDescent="0.2">
      <c r="A118" s="53">
        <v>114</v>
      </c>
      <c r="B118" s="55" t="s">
        <v>117</v>
      </c>
      <c r="C118" s="54" t="s">
        <v>139</v>
      </c>
      <c r="D118" s="350"/>
      <c r="E118" s="53"/>
      <c r="F118" s="56"/>
      <c r="G118" s="53"/>
      <c r="H118" s="56"/>
      <c r="I118" s="57"/>
      <c r="J118" s="53"/>
      <c r="K118" s="56"/>
      <c r="L118" s="57"/>
      <c r="M118" s="58"/>
      <c r="N118" s="56"/>
      <c r="O118" s="57"/>
      <c r="P118" s="58">
        <f t="shared" si="4"/>
        <v>0</v>
      </c>
      <c r="Q118" s="59">
        <f t="shared" si="5"/>
        <v>0</v>
      </c>
      <c r="R118" s="35">
        <v>0</v>
      </c>
      <c r="S118" s="19">
        <v>0</v>
      </c>
      <c r="T118" s="23">
        <v>0</v>
      </c>
      <c r="U118" s="24">
        <v>0</v>
      </c>
      <c r="V118" s="33">
        <v>0</v>
      </c>
      <c r="W118" s="34">
        <v>0</v>
      </c>
      <c r="X118" s="35">
        <v>0</v>
      </c>
      <c r="Y118" s="19">
        <v>0</v>
      </c>
      <c r="Z118" s="23">
        <v>0</v>
      </c>
      <c r="AA118" s="24">
        <v>0</v>
      </c>
      <c r="AB118" s="33">
        <v>0</v>
      </c>
      <c r="AC118" s="34">
        <v>0</v>
      </c>
      <c r="AD118" s="35">
        <v>0</v>
      </c>
      <c r="AE118" s="36">
        <v>0</v>
      </c>
      <c r="AF118" s="23">
        <v>0</v>
      </c>
      <c r="AG118" s="24">
        <v>0</v>
      </c>
      <c r="AH118" s="33">
        <v>0</v>
      </c>
      <c r="AI118" s="37">
        <v>0</v>
      </c>
      <c r="AJ118" s="35">
        <v>0</v>
      </c>
      <c r="AK118" s="36">
        <v>0</v>
      </c>
      <c r="AL118" s="38">
        <v>0</v>
      </c>
      <c r="AM118" s="35">
        <v>0</v>
      </c>
      <c r="AN118" s="19">
        <v>0</v>
      </c>
      <c r="AO118" s="23">
        <v>0</v>
      </c>
      <c r="AP118" s="24">
        <v>0</v>
      </c>
      <c r="AQ118" s="58">
        <f t="shared" si="6"/>
        <v>0</v>
      </c>
      <c r="AR118" s="59">
        <f t="shared" si="7"/>
        <v>0</v>
      </c>
      <c r="AS118" s="35">
        <v>0</v>
      </c>
    </row>
    <row r="119" spans="1:45" ht="16" x14ac:dyDescent="0.2">
      <c r="A119" s="53">
        <v>115</v>
      </c>
      <c r="B119" s="55" t="s">
        <v>117</v>
      </c>
      <c r="C119" s="54" t="s">
        <v>140</v>
      </c>
      <c r="D119" s="350"/>
      <c r="E119" s="53"/>
      <c r="F119" s="56"/>
      <c r="G119" s="53"/>
      <c r="H119" s="56"/>
      <c r="I119" s="57"/>
      <c r="J119" s="53"/>
      <c r="K119" s="56"/>
      <c r="L119" s="57"/>
      <c r="M119" s="58"/>
      <c r="N119" s="56"/>
      <c r="O119" s="57"/>
      <c r="P119" s="58">
        <f t="shared" si="4"/>
        <v>2.88</v>
      </c>
      <c r="Q119" s="59">
        <f t="shared" si="5"/>
        <v>7200</v>
      </c>
      <c r="R119" s="35">
        <v>4</v>
      </c>
      <c r="S119" s="19">
        <v>0</v>
      </c>
      <c r="T119" s="23">
        <v>0</v>
      </c>
      <c r="U119" s="24">
        <v>0</v>
      </c>
      <c r="V119" s="33">
        <v>0</v>
      </c>
      <c r="W119" s="34">
        <v>0</v>
      </c>
      <c r="X119" s="35">
        <v>0</v>
      </c>
      <c r="Y119" s="19">
        <v>0</v>
      </c>
      <c r="Z119" s="23">
        <v>0</v>
      </c>
      <c r="AA119" s="24">
        <v>0</v>
      </c>
      <c r="AB119" s="33">
        <v>0</v>
      </c>
      <c r="AC119" s="34">
        <v>0</v>
      </c>
      <c r="AD119" s="35">
        <v>0</v>
      </c>
      <c r="AE119" s="36">
        <v>0</v>
      </c>
      <c r="AF119" s="23">
        <v>0</v>
      </c>
      <c r="AG119" s="24">
        <v>0</v>
      </c>
      <c r="AH119" s="33">
        <v>0</v>
      </c>
      <c r="AI119" s="37">
        <v>0</v>
      </c>
      <c r="AJ119" s="35">
        <v>0</v>
      </c>
      <c r="AK119" s="36">
        <v>0</v>
      </c>
      <c r="AL119" s="38">
        <v>0</v>
      </c>
      <c r="AM119" s="35">
        <v>0</v>
      </c>
      <c r="AN119" s="19">
        <v>0</v>
      </c>
      <c r="AO119" s="23">
        <v>0</v>
      </c>
      <c r="AP119" s="24">
        <v>0</v>
      </c>
      <c r="AQ119" s="58">
        <f t="shared" si="6"/>
        <v>2.88</v>
      </c>
      <c r="AR119" s="59">
        <f t="shared" si="7"/>
        <v>7200</v>
      </c>
      <c r="AS119" s="35">
        <v>4</v>
      </c>
    </row>
    <row r="120" spans="1:45" ht="16" x14ac:dyDescent="0.2">
      <c r="A120" s="53">
        <v>116</v>
      </c>
      <c r="B120" s="55" t="s">
        <v>117</v>
      </c>
      <c r="C120" s="54" t="s">
        <v>141</v>
      </c>
      <c r="D120" s="350"/>
      <c r="E120" s="53"/>
      <c r="F120" s="56"/>
      <c r="G120" s="53"/>
      <c r="H120" s="56"/>
      <c r="I120" s="57"/>
      <c r="J120" s="53"/>
      <c r="K120" s="56"/>
      <c r="L120" s="57"/>
      <c r="M120" s="58"/>
      <c r="N120" s="56"/>
      <c r="O120" s="57"/>
      <c r="P120" s="58">
        <f t="shared" si="4"/>
        <v>0.72</v>
      </c>
      <c r="Q120" s="59">
        <f t="shared" si="5"/>
        <v>1800</v>
      </c>
      <c r="R120" s="35">
        <v>1</v>
      </c>
      <c r="S120" s="19">
        <v>0</v>
      </c>
      <c r="T120" s="23">
        <v>0</v>
      </c>
      <c r="U120" s="24">
        <v>0</v>
      </c>
      <c r="V120" s="33">
        <v>0</v>
      </c>
      <c r="W120" s="34">
        <v>0</v>
      </c>
      <c r="X120" s="35">
        <v>0</v>
      </c>
      <c r="Y120" s="19">
        <v>0</v>
      </c>
      <c r="Z120" s="23">
        <v>0</v>
      </c>
      <c r="AA120" s="24">
        <v>0</v>
      </c>
      <c r="AB120" s="33">
        <v>0</v>
      </c>
      <c r="AC120" s="34">
        <v>0</v>
      </c>
      <c r="AD120" s="35">
        <v>0</v>
      </c>
      <c r="AE120" s="36">
        <v>0</v>
      </c>
      <c r="AF120" s="23">
        <v>0</v>
      </c>
      <c r="AG120" s="24">
        <v>0</v>
      </c>
      <c r="AH120" s="33">
        <v>0</v>
      </c>
      <c r="AI120" s="37">
        <v>0</v>
      </c>
      <c r="AJ120" s="35">
        <v>0</v>
      </c>
      <c r="AK120" s="36">
        <v>0</v>
      </c>
      <c r="AL120" s="38">
        <v>0</v>
      </c>
      <c r="AM120" s="35">
        <v>0</v>
      </c>
      <c r="AN120" s="19">
        <v>0</v>
      </c>
      <c r="AO120" s="23">
        <v>0</v>
      </c>
      <c r="AP120" s="24">
        <v>0</v>
      </c>
      <c r="AQ120" s="58">
        <f t="shared" si="6"/>
        <v>0.72</v>
      </c>
      <c r="AR120" s="59">
        <f t="shared" si="7"/>
        <v>1800</v>
      </c>
      <c r="AS120" s="35">
        <v>1</v>
      </c>
    </row>
    <row r="121" spans="1:45" ht="16" x14ac:dyDescent="0.2">
      <c r="A121" s="53">
        <v>117</v>
      </c>
      <c r="B121" s="55" t="s">
        <v>117</v>
      </c>
      <c r="C121" s="54" t="s">
        <v>142</v>
      </c>
      <c r="D121" s="350"/>
      <c r="E121" s="53"/>
      <c r="F121" s="56"/>
      <c r="G121" s="53"/>
      <c r="H121" s="56"/>
      <c r="I121" s="57"/>
      <c r="J121" s="53"/>
      <c r="K121" s="56"/>
      <c r="L121" s="57"/>
      <c r="M121" s="58"/>
      <c r="N121" s="56"/>
      <c r="O121" s="57"/>
      <c r="P121" s="58">
        <f t="shared" si="4"/>
        <v>0</v>
      </c>
      <c r="Q121" s="59">
        <f t="shared" si="5"/>
        <v>0</v>
      </c>
      <c r="R121" s="35">
        <v>0</v>
      </c>
      <c r="S121" s="19">
        <v>0</v>
      </c>
      <c r="T121" s="23">
        <v>0</v>
      </c>
      <c r="U121" s="24">
        <v>0</v>
      </c>
      <c r="V121" s="33">
        <v>0</v>
      </c>
      <c r="W121" s="34">
        <v>0</v>
      </c>
      <c r="X121" s="35">
        <v>0</v>
      </c>
      <c r="Y121" s="19">
        <v>0</v>
      </c>
      <c r="Z121" s="23">
        <v>0</v>
      </c>
      <c r="AA121" s="24">
        <v>0</v>
      </c>
      <c r="AB121" s="33">
        <v>0</v>
      </c>
      <c r="AC121" s="34">
        <v>0</v>
      </c>
      <c r="AD121" s="35">
        <v>0</v>
      </c>
      <c r="AE121" s="36">
        <v>0</v>
      </c>
      <c r="AF121" s="23">
        <v>0</v>
      </c>
      <c r="AG121" s="24">
        <v>0</v>
      </c>
      <c r="AH121" s="33">
        <v>0</v>
      </c>
      <c r="AI121" s="37">
        <v>0</v>
      </c>
      <c r="AJ121" s="35">
        <v>0</v>
      </c>
      <c r="AK121" s="36">
        <v>0</v>
      </c>
      <c r="AL121" s="38">
        <v>0</v>
      </c>
      <c r="AM121" s="35">
        <v>0</v>
      </c>
      <c r="AN121" s="19">
        <v>0</v>
      </c>
      <c r="AO121" s="23">
        <v>0</v>
      </c>
      <c r="AP121" s="24">
        <v>0</v>
      </c>
      <c r="AQ121" s="58">
        <f t="shared" si="6"/>
        <v>0</v>
      </c>
      <c r="AR121" s="59">
        <f t="shared" si="7"/>
        <v>0</v>
      </c>
      <c r="AS121" s="35">
        <v>0</v>
      </c>
    </row>
    <row r="122" spans="1:45" ht="16" x14ac:dyDescent="0.2">
      <c r="A122" s="53">
        <v>118</v>
      </c>
      <c r="B122" s="55" t="s">
        <v>117</v>
      </c>
      <c r="C122" s="54" t="s">
        <v>143</v>
      </c>
      <c r="D122" s="350"/>
      <c r="E122" s="53"/>
      <c r="F122" s="56"/>
      <c r="G122" s="53"/>
      <c r="H122" s="56"/>
      <c r="I122" s="57"/>
      <c r="J122" s="53"/>
      <c r="K122" s="56"/>
      <c r="L122" s="57"/>
      <c r="M122" s="58"/>
      <c r="N122" s="56"/>
      <c r="O122" s="57"/>
      <c r="P122" s="58">
        <f t="shared" si="4"/>
        <v>0</v>
      </c>
      <c r="Q122" s="59">
        <f t="shared" si="5"/>
        <v>0</v>
      </c>
      <c r="R122" s="35">
        <v>0</v>
      </c>
      <c r="S122" s="19">
        <v>0</v>
      </c>
      <c r="T122" s="23">
        <v>0</v>
      </c>
      <c r="U122" s="24">
        <v>0</v>
      </c>
      <c r="V122" s="33">
        <v>0</v>
      </c>
      <c r="W122" s="34">
        <v>0</v>
      </c>
      <c r="X122" s="35">
        <v>0</v>
      </c>
      <c r="Y122" s="19">
        <v>0</v>
      </c>
      <c r="Z122" s="23">
        <v>0</v>
      </c>
      <c r="AA122" s="24">
        <v>0</v>
      </c>
      <c r="AB122" s="33">
        <v>0</v>
      </c>
      <c r="AC122" s="34">
        <v>0</v>
      </c>
      <c r="AD122" s="35">
        <v>0</v>
      </c>
      <c r="AE122" s="36">
        <v>0</v>
      </c>
      <c r="AF122" s="23">
        <v>0</v>
      </c>
      <c r="AG122" s="24">
        <v>0</v>
      </c>
      <c r="AH122" s="33">
        <v>0</v>
      </c>
      <c r="AI122" s="37">
        <v>0</v>
      </c>
      <c r="AJ122" s="35">
        <v>0</v>
      </c>
      <c r="AK122" s="36">
        <v>0</v>
      </c>
      <c r="AL122" s="38">
        <v>0</v>
      </c>
      <c r="AM122" s="35">
        <v>0</v>
      </c>
      <c r="AN122" s="19">
        <v>0</v>
      </c>
      <c r="AO122" s="23">
        <v>0</v>
      </c>
      <c r="AP122" s="24">
        <v>0</v>
      </c>
      <c r="AQ122" s="58">
        <f t="shared" si="6"/>
        <v>0</v>
      </c>
      <c r="AR122" s="59">
        <f t="shared" si="7"/>
        <v>0</v>
      </c>
      <c r="AS122" s="35">
        <v>0</v>
      </c>
    </row>
    <row r="123" spans="1:45" ht="16" x14ac:dyDescent="0.2">
      <c r="A123" s="53">
        <v>119</v>
      </c>
      <c r="B123" s="55" t="s">
        <v>117</v>
      </c>
      <c r="C123" s="54" t="s">
        <v>144</v>
      </c>
      <c r="D123" s="350"/>
      <c r="E123" s="53"/>
      <c r="F123" s="56"/>
      <c r="G123" s="53"/>
      <c r="H123" s="56"/>
      <c r="I123" s="57"/>
      <c r="J123" s="53"/>
      <c r="K123" s="56"/>
      <c r="L123" s="57"/>
      <c r="M123" s="58"/>
      <c r="N123" s="56"/>
      <c r="O123" s="57"/>
      <c r="P123" s="58">
        <f t="shared" si="4"/>
        <v>0</v>
      </c>
      <c r="Q123" s="59">
        <f t="shared" si="5"/>
        <v>0</v>
      </c>
      <c r="R123" s="35">
        <v>0</v>
      </c>
      <c r="S123" s="19">
        <v>0</v>
      </c>
      <c r="T123" s="23">
        <v>0</v>
      </c>
      <c r="U123" s="24">
        <v>0</v>
      </c>
      <c r="V123" s="33">
        <v>0</v>
      </c>
      <c r="W123" s="34">
        <v>0</v>
      </c>
      <c r="X123" s="35">
        <v>0</v>
      </c>
      <c r="Y123" s="19">
        <v>0</v>
      </c>
      <c r="Z123" s="23">
        <v>0</v>
      </c>
      <c r="AA123" s="24">
        <v>0</v>
      </c>
      <c r="AB123" s="33">
        <v>0</v>
      </c>
      <c r="AC123" s="34">
        <v>0</v>
      </c>
      <c r="AD123" s="35">
        <v>0</v>
      </c>
      <c r="AE123" s="36">
        <v>0</v>
      </c>
      <c r="AF123" s="23">
        <v>0</v>
      </c>
      <c r="AG123" s="24">
        <v>0</v>
      </c>
      <c r="AH123" s="33">
        <v>0</v>
      </c>
      <c r="AI123" s="37">
        <v>0</v>
      </c>
      <c r="AJ123" s="35">
        <v>0</v>
      </c>
      <c r="AK123" s="36">
        <v>0</v>
      </c>
      <c r="AL123" s="38">
        <v>0</v>
      </c>
      <c r="AM123" s="35">
        <v>0</v>
      </c>
      <c r="AN123" s="19">
        <v>0</v>
      </c>
      <c r="AO123" s="23">
        <v>0</v>
      </c>
      <c r="AP123" s="24">
        <v>0</v>
      </c>
      <c r="AQ123" s="58">
        <f t="shared" si="6"/>
        <v>0</v>
      </c>
      <c r="AR123" s="59">
        <f t="shared" si="7"/>
        <v>0</v>
      </c>
      <c r="AS123" s="35">
        <v>0</v>
      </c>
    </row>
    <row r="124" spans="1:45" ht="16" x14ac:dyDescent="0.2">
      <c r="A124" s="53">
        <v>120</v>
      </c>
      <c r="B124" s="55" t="s">
        <v>117</v>
      </c>
      <c r="C124" s="54" t="s">
        <v>145</v>
      </c>
      <c r="D124" s="350" t="s">
        <v>25</v>
      </c>
      <c r="E124" s="53"/>
      <c r="F124" s="56"/>
      <c r="G124" s="53"/>
      <c r="H124" s="56"/>
      <c r="I124" s="57"/>
      <c r="J124" s="53"/>
      <c r="K124" s="56"/>
      <c r="L124" s="57"/>
      <c r="M124" s="58"/>
      <c r="N124" s="56"/>
      <c r="O124" s="57"/>
      <c r="P124" s="58">
        <f t="shared" si="4"/>
        <v>0.72</v>
      </c>
      <c r="Q124" s="59">
        <f t="shared" si="5"/>
        <v>1800</v>
      </c>
      <c r="R124" s="35">
        <v>1</v>
      </c>
      <c r="S124" s="19">
        <v>0</v>
      </c>
      <c r="T124" s="23">
        <v>0</v>
      </c>
      <c r="U124" s="24">
        <v>0</v>
      </c>
      <c r="V124" s="33">
        <v>0</v>
      </c>
      <c r="W124" s="34">
        <v>0</v>
      </c>
      <c r="X124" s="35">
        <v>0</v>
      </c>
      <c r="Y124" s="19">
        <v>0</v>
      </c>
      <c r="Z124" s="23">
        <v>0</v>
      </c>
      <c r="AA124" s="24">
        <v>0</v>
      </c>
      <c r="AB124" s="33">
        <v>0</v>
      </c>
      <c r="AC124" s="34">
        <v>0</v>
      </c>
      <c r="AD124" s="35">
        <v>0</v>
      </c>
      <c r="AE124" s="36">
        <v>0</v>
      </c>
      <c r="AF124" s="23">
        <v>0</v>
      </c>
      <c r="AG124" s="24">
        <v>0</v>
      </c>
      <c r="AH124" s="33">
        <v>0</v>
      </c>
      <c r="AI124" s="37">
        <v>0</v>
      </c>
      <c r="AJ124" s="35">
        <v>0</v>
      </c>
      <c r="AK124" s="36">
        <v>0</v>
      </c>
      <c r="AL124" s="38">
        <v>0</v>
      </c>
      <c r="AM124" s="35">
        <v>0</v>
      </c>
      <c r="AN124" s="19">
        <v>0</v>
      </c>
      <c r="AO124" s="23">
        <v>0</v>
      </c>
      <c r="AP124" s="24">
        <v>0</v>
      </c>
      <c r="AQ124" s="58">
        <f t="shared" si="6"/>
        <v>0.72</v>
      </c>
      <c r="AR124" s="59">
        <f t="shared" si="7"/>
        <v>1800</v>
      </c>
      <c r="AS124" s="35">
        <v>1</v>
      </c>
    </row>
    <row r="125" spans="1:45" ht="16" x14ac:dyDescent="0.2">
      <c r="A125" s="53">
        <v>121</v>
      </c>
      <c r="B125" s="55" t="s">
        <v>117</v>
      </c>
      <c r="C125" s="54" t="s">
        <v>146</v>
      </c>
      <c r="D125" s="350"/>
      <c r="E125" s="53"/>
      <c r="F125" s="56"/>
      <c r="G125" s="53"/>
      <c r="H125" s="56"/>
      <c r="I125" s="57"/>
      <c r="J125" s="53"/>
      <c r="K125" s="56"/>
      <c r="L125" s="57"/>
      <c r="M125" s="58"/>
      <c r="N125" s="56"/>
      <c r="O125" s="57"/>
      <c r="P125" s="58">
        <f t="shared" si="4"/>
        <v>4.32</v>
      </c>
      <c r="Q125" s="59">
        <f t="shared" si="5"/>
        <v>10800</v>
      </c>
      <c r="R125" s="35">
        <v>6</v>
      </c>
      <c r="S125" s="19">
        <v>0</v>
      </c>
      <c r="T125" s="23">
        <v>0</v>
      </c>
      <c r="U125" s="24">
        <v>0</v>
      </c>
      <c r="V125" s="33">
        <v>0</v>
      </c>
      <c r="W125" s="34">
        <v>0</v>
      </c>
      <c r="X125" s="35">
        <v>0</v>
      </c>
      <c r="Y125" s="19">
        <v>0</v>
      </c>
      <c r="Z125" s="23">
        <v>0</v>
      </c>
      <c r="AA125" s="24">
        <v>0</v>
      </c>
      <c r="AB125" s="33">
        <v>0</v>
      </c>
      <c r="AC125" s="34">
        <v>0</v>
      </c>
      <c r="AD125" s="35">
        <v>0</v>
      </c>
      <c r="AE125" s="36">
        <v>0</v>
      </c>
      <c r="AF125" s="23">
        <v>0</v>
      </c>
      <c r="AG125" s="24">
        <v>0</v>
      </c>
      <c r="AH125" s="33">
        <v>0</v>
      </c>
      <c r="AI125" s="37">
        <v>0</v>
      </c>
      <c r="AJ125" s="35">
        <v>0</v>
      </c>
      <c r="AK125" s="36">
        <v>0</v>
      </c>
      <c r="AL125" s="38">
        <v>0</v>
      </c>
      <c r="AM125" s="35">
        <v>0</v>
      </c>
      <c r="AN125" s="19">
        <v>0</v>
      </c>
      <c r="AO125" s="23">
        <v>0</v>
      </c>
      <c r="AP125" s="24">
        <v>0</v>
      </c>
      <c r="AQ125" s="58">
        <f t="shared" si="6"/>
        <v>4.32</v>
      </c>
      <c r="AR125" s="59">
        <f t="shared" si="7"/>
        <v>10800</v>
      </c>
      <c r="AS125" s="35">
        <v>6</v>
      </c>
    </row>
    <row r="126" spans="1:45" ht="16" x14ac:dyDescent="0.2">
      <c r="A126" s="53">
        <v>122</v>
      </c>
      <c r="B126" s="55" t="s">
        <v>117</v>
      </c>
      <c r="C126" s="54" t="s">
        <v>147</v>
      </c>
      <c r="D126" s="350"/>
      <c r="E126" s="53"/>
      <c r="F126" s="56"/>
      <c r="G126" s="53"/>
      <c r="H126" s="56"/>
      <c r="I126" s="57"/>
      <c r="J126" s="53"/>
      <c r="K126" s="56"/>
      <c r="L126" s="57"/>
      <c r="M126" s="58"/>
      <c r="N126" s="56"/>
      <c r="O126" s="57"/>
      <c r="P126" s="58">
        <f t="shared" si="4"/>
        <v>0.72</v>
      </c>
      <c r="Q126" s="59">
        <f t="shared" si="5"/>
        <v>1800</v>
      </c>
      <c r="R126" s="35">
        <v>1</v>
      </c>
      <c r="S126" s="19">
        <v>0</v>
      </c>
      <c r="T126" s="23">
        <v>0</v>
      </c>
      <c r="U126" s="24">
        <v>0</v>
      </c>
      <c r="V126" s="33">
        <v>0</v>
      </c>
      <c r="W126" s="34">
        <v>0</v>
      </c>
      <c r="X126" s="35">
        <v>0</v>
      </c>
      <c r="Y126" s="19">
        <v>0</v>
      </c>
      <c r="Z126" s="23">
        <v>0</v>
      </c>
      <c r="AA126" s="24">
        <v>0</v>
      </c>
      <c r="AB126" s="33">
        <v>0</v>
      </c>
      <c r="AC126" s="34">
        <v>0</v>
      </c>
      <c r="AD126" s="35">
        <v>0</v>
      </c>
      <c r="AE126" s="36">
        <v>0</v>
      </c>
      <c r="AF126" s="23">
        <v>0</v>
      </c>
      <c r="AG126" s="24">
        <v>0</v>
      </c>
      <c r="AH126" s="33">
        <v>0</v>
      </c>
      <c r="AI126" s="37">
        <v>0</v>
      </c>
      <c r="AJ126" s="35">
        <v>0</v>
      </c>
      <c r="AK126" s="36">
        <v>0</v>
      </c>
      <c r="AL126" s="38">
        <v>0</v>
      </c>
      <c r="AM126" s="35">
        <v>0</v>
      </c>
      <c r="AN126" s="19">
        <v>0</v>
      </c>
      <c r="AO126" s="23">
        <v>0</v>
      </c>
      <c r="AP126" s="24">
        <v>0</v>
      </c>
      <c r="AQ126" s="58">
        <f t="shared" si="6"/>
        <v>0.72</v>
      </c>
      <c r="AR126" s="59">
        <f t="shared" si="7"/>
        <v>1800</v>
      </c>
      <c r="AS126" s="35">
        <v>1</v>
      </c>
    </row>
    <row r="127" spans="1:45" ht="16" x14ac:dyDescent="0.2">
      <c r="A127" s="53">
        <v>123</v>
      </c>
      <c r="B127" s="55" t="s">
        <v>117</v>
      </c>
      <c r="C127" s="54" t="s">
        <v>148</v>
      </c>
      <c r="D127" s="350"/>
      <c r="E127" s="53"/>
      <c r="F127" s="56"/>
      <c r="G127" s="53"/>
      <c r="H127" s="56"/>
      <c r="I127" s="57"/>
      <c r="J127" s="53"/>
      <c r="K127" s="56"/>
      <c r="L127" s="57"/>
      <c r="M127" s="58"/>
      <c r="N127" s="56"/>
      <c r="O127" s="57"/>
      <c r="P127" s="58">
        <f t="shared" si="4"/>
        <v>2.16</v>
      </c>
      <c r="Q127" s="59">
        <f t="shared" si="5"/>
        <v>5400</v>
      </c>
      <c r="R127" s="35">
        <v>3</v>
      </c>
      <c r="S127" s="19">
        <v>0</v>
      </c>
      <c r="T127" s="23">
        <v>0</v>
      </c>
      <c r="U127" s="24">
        <v>0</v>
      </c>
      <c r="V127" s="33">
        <v>0</v>
      </c>
      <c r="W127" s="34">
        <v>0</v>
      </c>
      <c r="X127" s="35">
        <v>0</v>
      </c>
      <c r="Y127" s="19">
        <v>0</v>
      </c>
      <c r="Z127" s="23">
        <v>0</v>
      </c>
      <c r="AA127" s="24">
        <v>0</v>
      </c>
      <c r="AB127" s="33">
        <v>0</v>
      </c>
      <c r="AC127" s="34">
        <v>0</v>
      </c>
      <c r="AD127" s="35">
        <v>0</v>
      </c>
      <c r="AE127" s="36">
        <v>0</v>
      </c>
      <c r="AF127" s="23">
        <v>0</v>
      </c>
      <c r="AG127" s="24">
        <v>0</v>
      </c>
      <c r="AH127" s="33">
        <v>0</v>
      </c>
      <c r="AI127" s="37">
        <v>0</v>
      </c>
      <c r="AJ127" s="35">
        <v>0</v>
      </c>
      <c r="AK127" s="36">
        <v>0</v>
      </c>
      <c r="AL127" s="38">
        <v>0</v>
      </c>
      <c r="AM127" s="35">
        <v>0</v>
      </c>
      <c r="AN127" s="19">
        <v>0</v>
      </c>
      <c r="AO127" s="23">
        <v>0</v>
      </c>
      <c r="AP127" s="24">
        <v>0</v>
      </c>
      <c r="AQ127" s="58">
        <f t="shared" si="6"/>
        <v>2.16</v>
      </c>
      <c r="AR127" s="59">
        <f t="shared" si="7"/>
        <v>5400</v>
      </c>
      <c r="AS127" s="35">
        <v>3</v>
      </c>
    </row>
    <row r="128" spans="1:45" ht="16" x14ac:dyDescent="0.2">
      <c r="A128" s="53">
        <v>124</v>
      </c>
      <c r="B128" s="55" t="s">
        <v>149</v>
      </c>
      <c r="C128" s="54" t="s">
        <v>150</v>
      </c>
      <c r="D128" s="350"/>
      <c r="E128" s="53"/>
      <c r="F128" s="56"/>
      <c r="G128" s="53"/>
      <c r="H128" s="56"/>
      <c r="I128" s="57"/>
      <c r="J128" s="53"/>
      <c r="K128" s="56"/>
      <c r="L128" s="57"/>
      <c r="M128" s="58"/>
      <c r="N128" s="56"/>
      <c r="O128" s="57"/>
      <c r="P128" s="58">
        <f t="shared" si="4"/>
        <v>13.68</v>
      </c>
      <c r="Q128" s="59">
        <f t="shared" si="5"/>
        <v>34200</v>
      </c>
      <c r="R128" s="35">
        <v>19</v>
      </c>
      <c r="S128" s="19">
        <v>0</v>
      </c>
      <c r="T128" s="23">
        <v>0</v>
      </c>
      <c r="U128" s="24">
        <v>0</v>
      </c>
      <c r="V128" s="33">
        <v>0</v>
      </c>
      <c r="W128" s="34">
        <v>0</v>
      </c>
      <c r="X128" s="35">
        <v>0</v>
      </c>
      <c r="Y128" s="19">
        <v>0</v>
      </c>
      <c r="Z128" s="23">
        <v>0</v>
      </c>
      <c r="AA128" s="24">
        <v>0</v>
      </c>
      <c r="AB128" s="33">
        <v>0</v>
      </c>
      <c r="AC128" s="34">
        <v>0</v>
      </c>
      <c r="AD128" s="35">
        <v>0</v>
      </c>
      <c r="AE128" s="36">
        <v>0</v>
      </c>
      <c r="AF128" s="23">
        <v>0</v>
      </c>
      <c r="AG128" s="24">
        <v>0</v>
      </c>
      <c r="AH128" s="33">
        <v>0</v>
      </c>
      <c r="AI128" s="37">
        <v>0</v>
      </c>
      <c r="AJ128" s="35">
        <v>0</v>
      </c>
      <c r="AK128" s="36">
        <v>0</v>
      </c>
      <c r="AL128" s="38">
        <v>0</v>
      </c>
      <c r="AM128" s="35">
        <v>0</v>
      </c>
      <c r="AN128" s="19">
        <v>0</v>
      </c>
      <c r="AO128" s="23">
        <v>0</v>
      </c>
      <c r="AP128" s="24">
        <v>0</v>
      </c>
      <c r="AQ128" s="58">
        <f t="shared" si="6"/>
        <v>13.68</v>
      </c>
      <c r="AR128" s="59">
        <f t="shared" si="7"/>
        <v>34200</v>
      </c>
      <c r="AS128" s="35">
        <v>19</v>
      </c>
    </row>
    <row r="129" spans="1:45" ht="16" x14ac:dyDescent="0.2">
      <c r="A129" s="53">
        <v>125</v>
      </c>
      <c r="B129" s="55" t="s">
        <v>149</v>
      </c>
      <c r="C129" s="54" t="s">
        <v>151</v>
      </c>
      <c r="D129" s="350"/>
      <c r="E129" s="53"/>
      <c r="F129" s="56"/>
      <c r="G129" s="53"/>
      <c r="H129" s="56"/>
      <c r="I129" s="57"/>
      <c r="J129" s="53"/>
      <c r="K129" s="56"/>
      <c r="L129" s="57"/>
      <c r="M129" s="58"/>
      <c r="N129" s="56"/>
      <c r="O129" s="57"/>
      <c r="P129" s="58">
        <f t="shared" si="4"/>
        <v>19.440000000000001</v>
      </c>
      <c r="Q129" s="59">
        <f t="shared" si="5"/>
        <v>48600</v>
      </c>
      <c r="R129" s="35">
        <v>27</v>
      </c>
      <c r="S129" s="19">
        <v>0</v>
      </c>
      <c r="T129" s="23">
        <v>0</v>
      </c>
      <c r="U129" s="24">
        <v>0</v>
      </c>
      <c r="V129" s="33">
        <v>0</v>
      </c>
      <c r="W129" s="34">
        <v>0</v>
      </c>
      <c r="X129" s="35">
        <v>0</v>
      </c>
      <c r="Y129" s="19">
        <v>0</v>
      </c>
      <c r="Z129" s="23">
        <v>0</v>
      </c>
      <c r="AA129" s="24">
        <v>0</v>
      </c>
      <c r="AB129" s="33">
        <v>0</v>
      </c>
      <c r="AC129" s="34">
        <v>0</v>
      </c>
      <c r="AD129" s="35">
        <v>0</v>
      </c>
      <c r="AE129" s="36">
        <v>0</v>
      </c>
      <c r="AF129" s="23">
        <v>0</v>
      </c>
      <c r="AG129" s="24">
        <v>0</v>
      </c>
      <c r="AH129" s="33">
        <v>0</v>
      </c>
      <c r="AI129" s="37">
        <v>0</v>
      </c>
      <c r="AJ129" s="35">
        <v>0</v>
      </c>
      <c r="AK129" s="36">
        <v>0</v>
      </c>
      <c r="AL129" s="38">
        <v>0</v>
      </c>
      <c r="AM129" s="35">
        <v>0</v>
      </c>
      <c r="AN129" s="19">
        <v>0</v>
      </c>
      <c r="AO129" s="23">
        <v>0</v>
      </c>
      <c r="AP129" s="24">
        <v>0</v>
      </c>
      <c r="AQ129" s="58">
        <f t="shared" si="6"/>
        <v>19.440000000000001</v>
      </c>
      <c r="AR129" s="59">
        <f t="shared" si="7"/>
        <v>48600</v>
      </c>
      <c r="AS129" s="35">
        <v>27</v>
      </c>
    </row>
    <row r="130" spans="1:45" ht="16" x14ac:dyDescent="0.2">
      <c r="A130" s="53">
        <v>126</v>
      </c>
      <c r="B130" s="55" t="s">
        <v>149</v>
      </c>
      <c r="C130" s="54" t="s">
        <v>152</v>
      </c>
      <c r="D130" s="350"/>
      <c r="E130" s="53"/>
      <c r="F130" s="56"/>
      <c r="G130" s="53"/>
      <c r="H130" s="56"/>
      <c r="I130" s="57"/>
      <c r="J130" s="53"/>
      <c r="K130" s="56"/>
      <c r="L130" s="57"/>
      <c r="M130" s="58"/>
      <c r="N130" s="56"/>
      <c r="O130" s="57"/>
      <c r="P130" s="58">
        <f t="shared" si="4"/>
        <v>9.36</v>
      </c>
      <c r="Q130" s="59">
        <f t="shared" si="5"/>
        <v>23400</v>
      </c>
      <c r="R130" s="35">
        <v>13</v>
      </c>
      <c r="S130" s="19">
        <v>0</v>
      </c>
      <c r="T130" s="23">
        <v>0</v>
      </c>
      <c r="U130" s="24">
        <v>0</v>
      </c>
      <c r="V130" s="33">
        <v>0</v>
      </c>
      <c r="W130" s="34">
        <v>0</v>
      </c>
      <c r="X130" s="35">
        <v>0</v>
      </c>
      <c r="Y130" s="19">
        <v>0</v>
      </c>
      <c r="Z130" s="23">
        <v>0</v>
      </c>
      <c r="AA130" s="24">
        <v>0</v>
      </c>
      <c r="AB130" s="33">
        <v>0</v>
      </c>
      <c r="AC130" s="34">
        <v>0</v>
      </c>
      <c r="AD130" s="35">
        <v>0</v>
      </c>
      <c r="AE130" s="36">
        <v>0</v>
      </c>
      <c r="AF130" s="23">
        <v>0</v>
      </c>
      <c r="AG130" s="24">
        <v>0</v>
      </c>
      <c r="AH130" s="33">
        <v>0</v>
      </c>
      <c r="AI130" s="37">
        <v>0</v>
      </c>
      <c r="AJ130" s="35">
        <v>0</v>
      </c>
      <c r="AK130" s="36">
        <v>0</v>
      </c>
      <c r="AL130" s="38">
        <v>0</v>
      </c>
      <c r="AM130" s="35">
        <v>0</v>
      </c>
      <c r="AN130" s="19">
        <v>0</v>
      </c>
      <c r="AO130" s="23">
        <v>0</v>
      </c>
      <c r="AP130" s="24">
        <v>0</v>
      </c>
      <c r="AQ130" s="58">
        <f t="shared" si="6"/>
        <v>9.36</v>
      </c>
      <c r="AR130" s="59">
        <f t="shared" si="7"/>
        <v>23400</v>
      </c>
      <c r="AS130" s="35">
        <v>13</v>
      </c>
    </row>
    <row r="131" spans="1:45" ht="16" x14ac:dyDescent="0.2">
      <c r="A131" s="53">
        <v>127</v>
      </c>
      <c r="B131" s="55" t="s">
        <v>149</v>
      </c>
      <c r="C131" s="54" t="s">
        <v>153</v>
      </c>
      <c r="D131" s="350"/>
      <c r="E131" s="53"/>
      <c r="F131" s="56"/>
      <c r="G131" s="53"/>
      <c r="H131" s="56"/>
      <c r="I131" s="57"/>
      <c r="J131" s="53"/>
      <c r="K131" s="56"/>
      <c r="L131" s="57"/>
      <c r="M131" s="58"/>
      <c r="N131" s="56"/>
      <c r="O131" s="57"/>
      <c r="P131" s="58">
        <f t="shared" si="4"/>
        <v>9.36</v>
      </c>
      <c r="Q131" s="59">
        <f t="shared" si="5"/>
        <v>23400</v>
      </c>
      <c r="R131" s="35">
        <v>13</v>
      </c>
      <c r="S131" s="19">
        <v>0</v>
      </c>
      <c r="T131" s="23">
        <v>0</v>
      </c>
      <c r="U131" s="24">
        <v>0</v>
      </c>
      <c r="V131" s="33">
        <v>0</v>
      </c>
      <c r="W131" s="34">
        <v>0</v>
      </c>
      <c r="X131" s="35">
        <v>0</v>
      </c>
      <c r="Y131" s="19">
        <v>0</v>
      </c>
      <c r="Z131" s="23">
        <v>0</v>
      </c>
      <c r="AA131" s="24">
        <v>0</v>
      </c>
      <c r="AB131" s="33">
        <v>0</v>
      </c>
      <c r="AC131" s="34">
        <v>0</v>
      </c>
      <c r="AD131" s="35">
        <v>0</v>
      </c>
      <c r="AE131" s="36">
        <v>0</v>
      </c>
      <c r="AF131" s="23">
        <v>0</v>
      </c>
      <c r="AG131" s="24">
        <v>0</v>
      </c>
      <c r="AH131" s="33">
        <v>0</v>
      </c>
      <c r="AI131" s="37">
        <v>0</v>
      </c>
      <c r="AJ131" s="35">
        <v>0</v>
      </c>
      <c r="AK131" s="36">
        <v>0</v>
      </c>
      <c r="AL131" s="38">
        <v>0</v>
      </c>
      <c r="AM131" s="35">
        <v>0</v>
      </c>
      <c r="AN131" s="19">
        <v>0</v>
      </c>
      <c r="AO131" s="23">
        <v>0</v>
      </c>
      <c r="AP131" s="24">
        <v>0</v>
      </c>
      <c r="AQ131" s="58">
        <f t="shared" si="6"/>
        <v>9.36</v>
      </c>
      <c r="AR131" s="59">
        <f t="shared" si="7"/>
        <v>23400</v>
      </c>
      <c r="AS131" s="35">
        <v>13</v>
      </c>
    </row>
    <row r="132" spans="1:45" ht="16" x14ac:dyDescent="0.2">
      <c r="A132" s="53">
        <v>128</v>
      </c>
      <c r="B132" s="55" t="s">
        <v>149</v>
      </c>
      <c r="C132" s="54" t="s">
        <v>154</v>
      </c>
      <c r="D132" s="350"/>
      <c r="E132" s="53"/>
      <c r="F132" s="56"/>
      <c r="G132" s="53"/>
      <c r="H132" s="56"/>
      <c r="I132" s="57"/>
      <c r="J132" s="53"/>
      <c r="K132" s="56"/>
      <c r="L132" s="57"/>
      <c r="M132" s="58"/>
      <c r="N132" s="56"/>
      <c r="O132" s="57"/>
      <c r="P132" s="58">
        <f t="shared" si="4"/>
        <v>5.76</v>
      </c>
      <c r="Q132" s="59">
        <f t="shared" si="5"/>
        <v>14400</v>
      </c>
      <c r="R132" s="35">
        <v>8</v>
      </c>
      <c r="S132" s="19">
        <v>0</v>
      </c>
      <c r="T132" s="23">
        <v>0</v>
      </c>
      <c r="U132" s="24">
        <v>0</v>
      </c>
      <c r="V132" s="33">
        <v>0</v>
      </c>
      <c r="W132" s="34">
        <v>0</v>
      </c>
      <c r="X132" s="35">
        <v>0</v>
      </c>
      <c r="Y132" s="19">
        <v>0</v>
      </c>
      <c r="Z132" s="23">
        <v>0</v>
      </c>
      <c r="AA132" s="24">
        <v>0</v>
      </c>
      <c r="AB132" s="33">
        <v>0</v>
      </c>
      <c r="AC132" s="34">
        <v>0</v>
      </c>
      <c r="AD132" s="35">
        <v>0</v>
      </c>
      <c r="AE132" s="36">
        <v>0</v>
      </c>
      <c r="AF132" s="23">
        <v>0</v>
      </c>
      <c r="AG132" s="24">
        <v>0</v>
      </c>
      <c r="AH132" s="33">
        <v>0</v>
      </c>
      <c r="AI132" s="37">
        <v>0</v>
      </c>
      <c r="AJ132" s="35">
        <v>0</v>
      </c>
      <c r="AK132" s="36">
        <v>0</v>
      </c>
      <c r="AL132" s="38">
        <v>0</v>
      </c>
      <c r="AM132" s="35">
        <v>0</v>
      </c>
      <c r="AN132" s="19">
        <v>0</v>
      </c>
      <c r="AO132" s="23">
        <v>0</v>
      </c>
      <c r="AP132" s="24">
        <v>0</v>
      </c>
      <c r="AQ132" s="58">
        <f t="shared" si="6"/>
        <v>5.76</v>
      </c>
      <c r="AR132" s="59">
        <f t="shared" si="7"/>
        <v>14400</v>
      </c>
      <c r="AS132" s="35">
        <v>8</v>
      </c>
    </row>
    <row r="133" spans="1:45" ht="16" x14ac:dyDescent="0.2">
      <c r="A133" s="53">
        <v>129</v>
      </c>
      <c r="B133" s="55" t="s">
        <v>155</v>
      </c>
      <c r="C133" s="54" t="s">
        <v>155</v>
      </c>
      <c r="D133" s="350"/>
      <c r="E133" s="53"/>
      <c r="F133" s="56"/>
      <c r="G133" s="53"/>
      <c r="H133" s="56"/>
      <c r="I133" s="57"/>
      <c r="J133" s="53"/>
      <c r="K133" s="56"/>
      <c r="L133" s="57"/>
      <c r="M133" s="58"/>
      <c r="N133" s="56"/>
      <c r="O133" s="57"/>
      <c r="P133" s="58">
        <f t="shared" ref="P133:P196" si="8">Q133/2500</f>
        <v>16.559999999999999</v>
      </c>
      <c r="Q133" s="59">
        <f t="shared" ref="Q133:Q196" si="9">R133*1800</f>
        <v>41400</v>
      </c>
      <c r="R133" s="35">
        <v>23</v>
      </c>
      <c r="S133" s="19">
        <v>0</v>
      </c>
      <c r="T133" s="23">
        <v>0</v>
      </c>
      <c r="U133" s="24">
        <v>0</v>
      </c>
      <c r="V133" s="33">
        <v>0</v>
      </c>
      <c r="W133" s="34">
        <v>0</v>
      </c>
      <c r="X133" s="35">
        <v>0</v>
      </c>
      <c r="Y133" s="19">
        <v>0</v>
      </c>
      <c r="Z133" s="23">
        <v>0</v>
      </c>
      <c r="AA133" s="24">
        <v>0</v>
      </c>
      <c r="AB133" s="33">
        <v>0</v>
      </c>
      <c r="AC133" s="34">
        <v>0</v>
      </c>
      <c r="AD133" s="35">
        <v>0</v>
      </c>
      <c r="AE133" s="36">
        <v>0</v>
      </c>
      <c r="AF133" s="23">
        <v>0</v>
      </c>
      <c r="AG133" s="24">
        <v>0</v>
      </c>
      <c r="AH133" s="33">
        <v>0</v>
      </c>
      <c r="AI133" s="37">
        <v>0</v>
      </c>
      <c r="AJ133" s="35">
        <v>0</v>
      </c>
      <c r="AK133" s="36">
        <v>0</v>
      </c>
      <c r="AL133" s="38">
        <v>0</v>
      </c>
      <c r="AM133" s="35">
        <v>0</v>
      </c>
      <c r="AN133" s="19">
        <v>0</v>
      </c>
      <c r="AO133" s="23">
        <v>0</v>
      </c>
      <c r="AP133" s="24">
        <v>0</v>
      </c>
      <c r="AQ133" s="58">
        <f t="shared" ref="AQ133:AQ196" si="10">AR133/2500</f>
        <v>16.559999999999999</v>
      </c>
      <c r="AR133" s="59">
        <f t="shared" ref="AR133:AR196" si="11">AS133*1800</f>
        <v>41400</v>
      </c>
      <c r="AS133" s="35">
        <v>23</v>
      </c>
    </row>
    <row r="134" spans="1:45" ht="16" x14ac:dyDescent="0.2">
      <c r="A134" s="53">
        <v>130</v>
      </c>
      <c r="B134" s="55" t="s">
        <v>155</v>
      </c>
      <c r="C134" s="54" t="s">
        <v>156</v>
      </c>
      <c r="D134" s="350"/>
      <c r="E134" s="53"/>
      <c r="F134" s="56"/>
      <c r="G134" s="53"/>
      <c r="H134" s="56"/>
      <c r="I134" s="57"/>
      <c r="J134" s="53"/>
      <c r="K134" s="56"/>
      <c r="L134" s="57"/>
      <c r="M134" s="58"/>
      <c r="N134" s="56"/>
      <c r="O134" s="57"/>
      <c r="P134" s="58">
        <f t="shared" si="8"/>
        <v>12.96</v>
      </c>
      <c r="Q134" s="59">
        <f t="shared" si="9"/>
        <v>32400</v>
      </c>
      <c r="R134" s="35">
        <v>18</v>
      </c>
      <c r="S134" s="19">
        <v>0</v>
      </c>
      <c r="T134" s="23">
        <v>0</v>
      </c>
      <c r="U134" s="24">
        <v>0</v>
      </c>
      <c r="V134" s="33">
        <v>0</v>
      </c>
      <c r="W134" s="34">
        <v>0</v>
      </c>
      <c r="X134" s="35">
        <v>0</v>
      </c>
      <c r="Y134" s="19">
        <v>0</v>
      </c>
      <c r="Z134" s="23">
        <v>0</v>
      </c>
      <c r="AA134" s="24">
        <v>0</v>
      </c>
      <c r="AB134" s="33">
        <v>0</v>
      </c>
      <c r="AC134" s="34">
        <v>0</v>
      </c>
      <c r="AD134" s="35">
        <v>0</v>
      </c>
      <c r="AE134" s="36">
        <v>0</v>
      </c>
      <c r="AF134" s="23">
        <v>0</v>
      </c>
      <c r="AG134" s="24">
        <v>0</v>
      </c>
      <c r="AH134" s="33">
        <v>0</v>
      </c>
      <c r="AI134" s="37">
        <v>0</v>
      </c>
      <c r="AJ134" s="35">
        <v>0</v>
      </c>
      <c r="AK134" s="36">
        <v>0</v>
      </c>
      <c r="AL134" s="38">
        <v>0</v>
      </c>
      <c r="AM134" s="35">
        <v>0</v>
      </c>
      <c r="AN134" s="19">
        <v>0</v>
      </c>
      <c r="AO134" s="23">
        <v>0</v>
      </c>
      <c r="AP134" s="24">
        <v>0</v>
      </c>
      <c r="AQ134" s="58">
        <f t="shared" si="10"/>
        <v>12.96</v>
      </c>
      <c r="AR134" s="59">
        <f t="shared" si="11"/>
        <v>32400</v>
      </c>
      <c r="AS134" s="35">
        <v>18</v>
      </c>
    </row>
    <row r="135" spans="1:45" ht="16" x14ac:dyDescent="0.2">
      <c r="A135" s="53">
        <v>131</v>
      </c>
      <c r="B135" s="55" t="s">
        <v>155</v>
      </c>
      <c r="C135" s="54" t="s">
        <v>157</v>
      </c>
      <c r="D135" s="350"/>
      <c r="E135" s="53"/>
      <c r="F135" s="56"/>
      <c r="G135" s="53"/>
      <c r="H135" s="56"/>
      <c r="I135" s="57"/>
      <c r="J135" s="53"/>
      <c r="K135" s="56"/>
      <c r="L135" s="57"/>
      <c r="M135" s="58"/>
      <c r="N135" s="56"/>
      <c r="O135" s="57"/>
      <c r="P135" s="58">
        <f t="shared" si="8"/>
        <v>9.36</v>
      </c>
      <c r="Q135" s="59">
        <f t="shared" si="9"/>
        <v>23400</v>
      </c>
      <c r="R135" s="35">
        <v>13</v>
      </c>
      <c r="S135" s="19">
        <v>0</v>
      </c>
      <c r="T135" s="23">
        <v>0</v>
      </c>
      <c r="U135" s="24">
        <v>0</v>
      </c>
      <c r="V135" s="33">
        <v>0</v>
      </c>
      <c r="W135" s="34">
        <v>0</v>
      </c>
      <c r="X135" s="35">
        <v>0</v>
      </c>
      <c r="Y135" s="19">
        <v>0</v>
      </c>
      <c r="Z135" s="23">
        <v>0</v>
      </c>
      <c r="AA135" s="24">
        <v>0</v>
      </c>
      <c r="AB135" s="33">
        <v>0</v>
      </c>
      <c r="AC135" s="34">
        <v>0</v>
      </c>
      <c r="AD135" s="35">
        <v>0</v>
      </c>
      <c r="AE135" s="36">
        <v>0</v>
      </c>
      <c r="AF135" s="23">
        <v>0</v>
      </c>
      <c r="AG135" s="24">
        <v>0</v>
      </c>
      <c r="AH135" s="33">
        <v>0</v>
      </c>
      <c r="AI135" s="37">
        <v>0</v>
      </c>
      <c r="AJ135" s="35">
        <v>0</v>
      </c>
      <c r="AK135" s="36">
        <v>0</v>
      </c>
      <c r="AL135" s="38">
        <v>0</v>
      </c>
      <c r="AM135" s="35">
        <v>0</v>
      </c>
      <c r="AN135" s="19">
        <v>0</v>
      </c>
      <c r="AO135" s="23">
        <v>0</v>
      </c>
      <c r="AP135" s="24">
        <v>0</v>
      </c>
      <c r="AQ135" s="58">
        <f t="shared" si="10"/>
        <v>9.36</v>
      </c>
      <c r="AR135" s="59">
        <f t="shared" si="11"/>
        <v>23400</v>
      </c>
      <c r="AS135" s="35">
        <v>13</v>
      </c>
    </row>
    <row r="136" spans="1:45" ht="16" x14ac:dyDescent="0.2">
      <c r="A136" s="53">
        <v>132</v>
      </c>
      <c r="B136" s="55" t="s">
        <v>155</v>
      </c>
      <c r="C136" s="54" t="s">
        <v>158</v>
      </c>
      <c r="D136" s="350"/>
      <c r="E136" s="53"/>
      <c r="F136" s="56"/>
      <c r="G136" s="53"/>
      <c r="H136" s="56"/>
      <c r="I136" s="57"/>
      <c r="J136" s="53"/>
      <c r="K136" s="56"/>
      <c r="L136" s="57"/>
      <c r="M136" s="58"/>
      <c r="N136" s="56"/>
      <c r="O136" s="57"/>
      <c r="P136" s="58">
        <f t="shared" si="8"/>
        <v>7.92</v>
      </c>
      <c r="Q136" s="59">
        <f t="shared" si="9"/>
        <v>19800</v>
      </c>
      <c r="R136" s="35">
        <v>11</v>
      </c>
      <c r="S136" s="19">
        <v>0</v>
      </c>
      <c r="T136" s="23">
        <v>0</v>
      </c>
      <c r="U136" s="24">
        <v>0</v>
      </c>
      <c r="V136" s="33">
        <v>0</v>
      </c>
      <c r="W136" s="34">
        <v>0</v>
      </c>
      <c r="X136" s="35">
        <v>0</v>
      </c>
      <c r="Y136" s="19">
        <v>0</v>
      </c>
      <c r="Z136" s="23">
        <v>0</v>
      </c>
      <c r="AA136" s="24">
        <v>0</v>
      </c>
      <c r="AB136" s="33">
        <v>0</v>
      </c>
      <c r="AC136" s="34">
        <v>0</v>
      </c>
      <c r="AD136" s="35">
        <v>0</v>
      </c>
      <c r="AE136" s="36">
        <v>0</v>
      </c>
      <c r="AF136" s="23">
        <v>0</v>
      </c>
      <c r="AG136" s="24">
        <v>0</v>
      </c>
      <c r="AH136" s="33">
        <v>0</v>
      </c>
      <c r="AI136" s="37">
        <v>0</v>
      </c>
      <c r="AJ136" s="35">
        <v>0</v>
      </c>
      <c r="AK136" s="36">
        <v>0</v>
      </c>
      <c r="AL136" s="38">
        <v>0</v>
      </c>
      <c r="AM136" s="35">
        <v>0</v>
      </c>
      <c r="AN136" s="19">
        <v>0</v>
      </c>
      <c r="AO136" s="23">
        <v>0</v>
      </c>
      <c r="AP136" s="24">
        <v>0</v>
      </c>
      <c r="AQ136" s="58">
        <f t="shared" si="10"/>
        <v>7.92</v>
      </c>
      <c r="AR136" s="59">
        <f t="shared" si="11"/>
        <v>19800</v>
      </c>
      <c r="AS136" s="35">
        <v>11</v>
      </c>
    </row>
    <row r="137" spans="1:45" ht="16" x14ac:dyDescent="0.2">
      <c r="A137" s="53">
        <v>133</v>
      </c>
      <c r="B137" s="55" t="s">
        <v>155</v>
      </c>
      <c r="C137" s="54" t="s">
        <v>159</v>
      </c>
      <c r="D137" s="350"/>
      <c r="E137" s="53"/>
      <c r="F137" s="56"/>
      <c r="G137" s="53"/>
      <c r="H137" s="56"/>
      <c r="I137" s="57"/>
      <c r="J137" s="53"/>
      <c r="K137" s="56"/>
      <c r="L137" s="57"/>
      <c r="M137" s="58"/>
      <c r="N137" s="56"/>
      <c r="O137" s="57"/>
      <c r="P137" s="58">
        <f t="shared" si="8"/>
        <v>5.76</v>
      </c>
      <c r="Q137" s="59">
        <f t="shared" si="9"/>
        <v>14400</v>
      </c>
      <c r="R137" s="35">
        <v>8</v>
      </c>
      <c r="S137" s="19">
        <v>0</v>
      </c>
      <c r="T137" s="23">
        <v>0</v>
      </c>
      <c r="U137" s="24">
        <v>0</v>
      </c>
      <c r="V137" s="33">
        <v>0</v>
      </c>
      <c r="W137" s="34">
        <v>0</v>
      </c>
      <c r="X137" s="35">
        <v>0</v>
      </c>
      <c r="Y137" s="19">
        <v>0</v>
      </c>
      <c r="Z137" s="23">
        <v>0</v>
      </c>
      <c r="AA137" s="24">
        <v>0</v>
      </c>
      <c r="AB137" s="33">
        <v>0</v>
      </c>
      <c r="AC137" s="34">
        <v>0</v>
      </c>
      <c r="AD137" s="35">
        <v>0</v>
      </c>
      <c r="AE137" s="36">
        <v>0</v>
      </c>
      <c r="AF137" s="23">
        <v>0</v>
      </c>
      <c r="AG137" s="24">
        <v>0</v>
      </c>
      <c r="AH137" s="33">
        <v>0</v>
      </c>
      <c r="AI137" s="37">
        <v>0</v>
      </c>
      <c r="AJ137" s="35">
        <v>0</v>
      </c>
      <c r="AK137" s="36">
        <v>0</v>
      </c>
      <c r="AL137" s="38">
        <v>0</v>
      </c>
      <c r="AM137" s="35">
        <v>0</v>
      </c>
      <c r="AN137" s="19">
        <v>0</v>
      </c>
      <c r="AO137" s="23">
        <v>0</v>
      </c>
      <c r="AP137" s="24">
        <v>0</v>
      </c>
      <c r="AQ137" s="58">
        <f t="shared" si="10"/>
        <v>5.76</v>
      </c>
      <c r="AR137" s="59">
        <f t="shared" si="11"/>
        <v>14400</v>
      </c>
      <c r="AS137" s="35">
        <v>8</v>
      </c>
    </row>
    <row r="138" spans="1:45" ht="16" x14ac:dyDescent="0.2">
      <c r="A138" s="53">
        <v>134</v>
      </c>
      <c r="B138" s="55" t="s">
        <v>155</v>
      </c>
      <c r="C138" s="54" t="s">
        <v>160</v>
      </c>
      <c r="D138" s="350"/>
      <c r="E138" s="53"/>
      <c r="F138" s="56"/>
      <c r="G138" s="53"/>
      <c r="H138" s="56"/>
      <c r="I138" s="57"/>
      <c r="J138" s="53"/>
      <c r="K138" s="56"/>
      <c r="L138" s="57"/>
      <c r="M138" s="58"/>
      <c r="N138" s="56"/>
      <c r="O138" s="57"/>
      <c r="P138" s="58">
        <f t="shared" si="8"/>
        <v>7.2</v>
      </c>
      <c r="Q138" s="59">
        <f t="shared" si="9"/>
        <v>18000</v>
      </c>
      <c r="R138" s="35">
        <v>10</v>
      </c>
      <c r="S138" s="19">
        <v>0</v>
      </c>
      <c r="T138" s="23">
        <v>0</v>
      </c>
      <c r="U138" s="24">
        <v>0</v>
      </c>
      <c r="V138" s="33">
        <v>0</v>
      </c>
      <c r="W138" s="34">
        <v>0</v>
      </c>
      <c r="X138" s="35">
        <v>0</v>
      </c>
      <c r="Y138" s="19">
        <v>0</v>
      </c>
      <c r="Z138" s="23">
        <v>0</v>
      </c>
      <c r="AA138" s="24">
        <v>0</v>
      </c>
      <c r="AB138" s="33">
        <v>0</v>
      </c>
      <c r="AC138" s="34">
        <v>0</v>
      </c>
      <c r="AD138" s="35">
        <v>0</v>
      </c>
      <c r="AE138" s="36">
        <v>0</v>
      </c>
      <c r="AF138" s="23">
        <v>0</v>
      </c>
      <c r="AG138" s="24">
        <v>0</v>
      </c>
      <c r="AH138" s="33">
        <v>0</v>
      </c>
      <c r="AI138" s="37">
        <v>0</v>
      </c>
      <c r="AJ138" s="35">
        <v>0</v>
      </c>
      <c r="AK138" s="36">
        <v>0</v>
      </c>
      <c r="AL138" s="38">
        <v>0</v>
      </c>
      <c r="AM138" s="35">
        <v>0</v>
      </c>
      <c r="AN138" s="19">
        <v>0</v>
      </c>
      <c r="AO138" s="23">
        <v>0</v>
      </c>
      <c r="AP138" s="24">
        <v>0</v>
      </c>
      <c r="AQ138" s="58">
        <f t="shared" si="10"/>
        <v>7.2</v>
      </c>
      <c r="AR138" s="59">
        <f t="shared" si="11"/>
        <v>18000</v>
      </c>
      <c r="AS138" s="35">
        <v>10</v>
      </c>
    </row>
    <row r="139" spans="1:45" ht="16" x14ac:dyDescent="0.2">
      <c r="A139" s="53">
        <v>135</v>
      </c>
      <c r="B139" s="55" t="s">
        <v>155</v>
      </c>
      <c r="C139" s="54" t="s">
        <v>161</v>
      </c>
      <c r="D139" s="350"/>
      <c r="E139" s="53"/>
      <c r="F139" s="56"/>
      <c r="G139" s="53"/>
      <c r="H139" s="56"/>
      <c r="I139" s="57"/>
      <c r="J139" s="53"/>
      <c r="K139" s="56"/>
      <c r="L139" s="57"/>
      <c r="M139" s="58"/>
      <c r="N139" s="56"/>
      <c r="O139" s="57"/>
      <c r="P139" s="58">
        <f t="shared" si="8"/>
        <v>11.52</v>
      </c>
      <c r="Q139" s="59">
        <f t="shared" si="9"/>
        <v>28800</v>
      </c>
      <c r="R139" s="35">
        <v>16</v>
      </c>
      <c r="S139" s="19">
        <v>0</v>
      </c>
      <c r="T139" s="23">
        <v>0</v>
      </c>
      <c r="U139" s="24">
        <v>0</v>
      </c>
      <c r="V139" s="33">
        <v>0</v>
      </c>
      <c r="W139" s="34">
        <v>0</v>
      </c>
      <c r="X139" s="35">
        <v>0</v>
      </c>
      <c r="Y139" s="19">
        <v>0</v>
      </c>
      <c r="Z139" s="23">
        <v>0</v>
      </c>
      <c r="AA139" s="24">
        <v>0</v>
      </c>
      <c r="AB139" s="33">
        <v>0</v>
      </c>
      <c r="AC139" s="34">
        <v>0</v>
      </c>
      <c r="AD139" s="35">
        <v>0</v>
      </c>
      <c r="AE139" s="36">
        <v>0</v>
      </c>
      <c r="AF139" s="23">
        <v>0</v>
      </c>
      <c r="AG139" s="24">
        <v>0</v>
      </c>
      <c r="AH139" s="33">
        <v>0</v>
      </c>
      <c r="AI139" s="37">
        <v>0</v>
      </c>
      <c r="AJ139" s="35">
        <v>0</v>
      </c>
      <c r="AK139" s="36">
        <v>0</v>
      </c>
      <c r="AL139" s="38">
        <v>0</v>
      </c>
      <c r="AM139" s="35">
        <v>0</v>
      </c>
      <c r="AN139" s="19">
        <v>0</v>
      </c>
      <c r="AO139" s="23">
        <v>0</v>
      </c>
      <c r="AP139" s="24">
        <v>0</v>
      </c>
      <c r="AQ139" s="58">
        <f t="shared" si="10"/>
        <v>11.52</v>
      </c>
      <c r="AR139" s="59">
        <f t="shared" si="11"/>
        <v>28800</v>
      </c>
      <c r="AS139" s="35">
        <v>16</v>
      </c>
    </row>
    <row r="140" spans="1:45" ht="16" x14ac:dyDescent="0.2">
      <c r="A140" s="53">
        <v>136</v>
      </c>
      <c r="B140" s="55" t="s">
        <v>162</v>
      </c>
      <c r="C140" s="54" t="s">
        <v>163</v>
      </c>
      <c r="D140" s="350"/>
      <c r="E140" s="53"/>
      <c r="F140" s="56"/>
      <c r="G140" s="53"/>
      <c r="H140" s="56"/>
      <c r="I140" s="57"/>
      <c r="J140" s="53"/>
      <c r="K140" s="56"/>
      <c r="L140" s="57"/>
      <c r="M140" s="58"/>
      <c r="N140" s="56"/>
      <c r="O140" s="57"/>
      <c r="P140" s="58">
        <f t="shared" si="8"/>
        <v>6.48</v>
      </c>
      <c r="Q140" s="59">
        <f t="shared" si="9"/>
        <v>16200</v>
      </c>
      <c r="R140" s="35">
        <v>9</v>
      </c>
      <c r="S140" s="19">
        <v>0</v>
      </c>
      <c r="T140" s="23">
        <v>0</v>
      </c>
      <c r="U140" s="24">
        <v>0</v>
      </c>
      <c r="V140" s="33">
        <v>0</v>
      </c>
      <c r="W140" s="34">
        <v>0</v>
      </c>
      <c r="X140" s="35">
        <v>0</v>
      </c>
      <c r="Y140" s="19">
        <v>0</v>
      </c>
      <c r="Z140" s="23">
        <v>0</v>
      </c>
      <c r="AA140" s="24">
        <v>0</v>
      </c>
      <c r="AB140" s="33">
        <v>0</v>
      </c>
      <c r="AC140" s="34">
        <v>0</v>
      </c>
      <c r="AD140" s="35">
        <v>0</v>
      </c>
      <c r="AE140" s="36">
        <v>0</v>
      </c>
      <c r="AF140" s="23">
        <v>0</v>
      </c>
      <c r="AG140" s="24">
        <v>0</v>
      </c>
      <c r="AH140" s="33">
        <v>0</v>
      </c>
      <c r="AI140" s="37">
        <v>0</v>
      </c>
      <c r="AJ140" s="35">
        <v>0</v>
      </c>
      <c r="AK140" s="36">
        <v>0</v>
      </c>
      <c r="AL140" s="38">
        <v>0</v>
      </c>
      <c r="AM140" s="35">
        <v>0</v>
      </c>
      <c r="AN140" s="19">
        <v>0</v>
      </c>
      <c r="AO140" s="23">
        <v>0</v>
      </c>
      <c r="AP140" s="24">
        <v>0</v>
      </c>
      <c r="AQ140" s="58">
        <f t="shared" si="10"/>
        <v>6.48</v>
      </c>
      <c r="AR140" s="59">
        <f t="shared" si="11"/>
        <v>16200</v>
      </c>
      <c r="AS140" s="35">
        <v>9</v>
      </c>
    </row>
    <row r="141" spans="1:45" ht="16" x14ac:dyDescent="0.2">
      <c r="A141" s="53">
        <v>137</v>
      </c>
      <c r="B141" s="55" t="s">
        <v>162</v>
      </c>
      <c r="C141" s="54" t="s">
        <v>164</v>
      </c>
      <c r="D141" s="350" t="s">
        <v>25</v>
      </c>
      <c r="E141" s="53"/>
      <c r="F141" s="56"/>
      <c r="G141" s="53"/>
      <c r="H141" s="56"/>
      <c r="I141" s="57"/>
      <c r="J141" s="53"/>
      <c r="K141" s="56"/>
      <c r="L141" s="57"/>
      <c r="M141" s="58"/>
      <c r="N141" s="56"/>
      <c r="O141" s="57"/>
      <c r="P141" s="58">
        <f t="shared" si="8"/>
        <v>3.6</v>
      </c>
      <c r="Q141" s="59">
        <f t="shared" si="9"/>
        <v>9000</v>
      </c>
      <c r="R141" s="35">
        <v>5</v>
      </c>
      <c r="S141" s="19">
        <v>0</v>
      </c>
      <c r="T141" s="23">
        <v>0</v>
      </c>
      <c r="U141" s="24">
        <v>0</v>
      </c>
      <c r="V141" s="33">
        <v>0</v>
      </c>
      <c r="W141" s="34">
        <v>0</v>
      </c>
      <c r="X141" s="35">
        <v>0</v>
      </c>
      <c r="Y141" s="19">
        <v>0</v>
      </c>
      <c r="Z141" s="23">
        <v>0</v>
      </c>
      <c r="AA141" s="24">
        <v>0</v>
      </c>
      <c r="AB141" s="33">
        <v>0</v>
      </c>
      <c r="AC141" s="34">
        <v>0</v>
      </c>
      <c r="AD141" s="35">
        <v>0</v>
      </c>
      <c r="AE141" s="36">
        <v>0</v>
      </c>
      <c r="AF141" s="23">
        <v>0</v>
      </c>
      <c r="AG141" s="24">
        <v>0</v>
      </c>
      <c r="AH141" s="33">
        <v>0</v>
      </c>
      <c r="AI141" s="37">
        <v>0</v>
      </c>
      <c r="AJ141" s="35">
        <v>0</v>
      </c>
      <c r="AK141" s="36">
        <v>0</v>
      </c>
      <c r="AL141" s="38">
        <v>0</v>
      </c>
      <c r="AM141" s="35">
        <v>0</v>
      </c>
      <c r="AN141" s="19">
        <v>0</v>
      </c>
      <c r="AO141" s="23">
        <v>0</v>
      </c>
      <c r="AP141" s="24">
        <v>0</v>
      </c>
      <c r="AQ141" s="58">
        <f t="shared" si="10"/>
        <v>3.6</v>
      </c>
      <c r="AR141" s="59">
        <f t="shared" si="11"/>
        <v>9000</v>
      </c>
      <c r="AS141" s="35">
        <v>5</v>
      </c>
    </row>
    <row r="142" spans="1:45" ht="16" x14ac:dyDescent="0.2">
      <c r="A142" s="53">
        <v>138</v>
      </c>
      <c r="B142" s="55" t="s">
        <v>162</v>
      </c>
      <c r="C142" s="54" t="s">
        <v>165</v>
      </c>
      <c r="D142" s="350"/>
      <c r="E142" s="53"/>
      <c r="F142" s="56"/>
      <c r="G142" s="53"/>
      <c r="H142" s="56"/>
      <c r="I142" s="57"/>
      <c r="J142" s="53"/>
      <c r="K142" s="56"/>
      <c r="L142" s="57"/>
      <c r="M142" s="58"/>
      <c r="N142" s="56"/>
      <c r="O142" s="57"/>
      <c r="P142" s="58">
        <f t="shared" si="8"/>
        <v>12.24</v>
      </c>
      <c r="Q142" s="59">
        <f t="shared" si="9"/>
        <v>30600</v>
      </c>
      <c r="R142" s="35">
        <v>17</v>
      </c>
      <c r="S142" s="19">
        <v>0</v>
      </c>
      <c r="T142" s="23">
        <v>0</v>
      </c>
      <c r="U142" s="24">
        <v>0</v>
      </c>
      <c r="V142" s="33">
        <v>0</v>
      </c>
      <c r="W142" s="34">
        <v>0</v>
      </c>
      <c r="X142" s="35">
        <v>0</v>
      </c>
      <c r="Y142" s="19">
        <v>0</v>
      </c>
      <c r="Z142" s="23">
        <v>0</v>
      </c>
      <c r="AA142" s="24">
        <v>0</v>
      </c>
      <c r="AB142" s="33">
        <v>0</v>
      </c>
      <c r="AC142" s="34">
        <v>0</v>
      </c>
      <c r="AD142" s="35">
        <v>0</v>
      </c>
      <c r="AE142" s="36">
        <v>0</v>
      </c>
      <c r="AF142" s="23">
        <v>0</v>
      </c>
      <c r="AG142" s="24">
        <v>0</v>
      </c>
      <c r="AH142" s="33">
        <v>0</v>
      </c>
      <c r="AI142" s="37">
        <v>0</v>
      </c>
      <c r="AJ142" s="35">
        <v>0</v>
      </c>
      <c r="AK142" s="36">
        <v>0</v>
      </c>
      <c r="AL142" s="38">
        <v>0</v>
      </c>
      <c r="AM142" s="35">
        <v>0</v>
      </c>
      <c r="AN142" s="19">
        <v>0</v>
      </c>
      <c r="AO142" s="23">
        <v>0</v>
      </c>
      <c r="AP142" s="24">
        <v>0</v>
      </c>
      <c r="AQ142" s="58">
        <f t="shared" si="10"/>
        <v>12.24</v>
      </c>
      <c r="AR142" s="59">
        <f t="shared" si="11"/>
        <v>30600</v>
      </c>
      <c r="AS142" s="35">
        <v>17</v>
      </c>
    </row>
    <row r="143" spans="1:45" ht="16" x14ac:dyDescent="0.2">
      <c r="A143" s="53">
        <v>139</v>
      </c>
      <c r="B143" s="55" t="s">
        <v>162</v>
      </c>
      <c r="C143" s="54" t="s">
        <v>166</v>
      </c>
      <c r="D143" s="350"/>
      <c r="E143" s="53"/>
      <c r="F143" s="56"/>
      <c r="G143" s="53"/>
      <c r="H143" s="56"/>
      <c r="I143" s="57"/>
      <c r="J143" s="53"/>
      <c r="K143" s="56"/>
      <c r="L143" s="57"/>
      <c r="M143" s="58"/>
      <c r="N143" s="56"/>
      <c r="O143" s="57"/>
      <c r="P143" s="58">
        <f t="shared" si="8"/>
        <v>3.6</v>
      </c>
      <c r="Q143" s="59">
        <f t="shared" si="9"/>
        <v>9000</v>
      </c>
      <c r="R143" s="35">
        <v>5</v>
      </c>
      <c r="S143" s="19">
        <v>0</v>
      </c>
      <c r="T143" s="23">
        <v>0</v>
      </c>
      <c r="U143" s="24">
        <v>0</v>
      </c>
      <c r="V143" s="33">
        <v>0</v>
      </c>
      <c r="W143" s="34">
        <v>0</v>
      </c>
      <c r="X143" s="35">
        <v>0</v>
      </c>
      <c r="Y143" s="19">
        <v>0</v>
      </c>
      <c r="Z143" s="23">
        <v>0</v>
      </c>
      <c r="AA143" s="24">
        <v>0</v>
      </c>
      <c r="AB143" s="33">
        <v>0</v>
      </c>
      <c r="AC143" s="34">
        <v>0</v>
      </c>
      <c r="AD143" s="35">
        <v>0</v>
      </c>
      <c r="AE143" s="36">
        <v>0</v>
      </c>
      <c r="AF143" s="23">
        <v>0</v>
      </c>
      <c r="AG143" s="24">
        <v>0</v>
      </c>
      <c r="AH143" s="33">
        <v>0</v>
      </c>
      <c r="AI143" s="37">
        <v>0</v>
      </c>
      <c r="AJ143" s="35">
        <v>0</v>
      </c>
      <c r="AK143" s="36">
        <v>0</v>
      </c>
      <c r="AL143" s="38">
        <v>0</v>
      </c>
      <c r="AM143" s="35">
        <v>0</v>
      </c>
      <c r="AN143" s="19">
        <v>0</v>
      </c>
      <c r="AO143" s="23">
        <v>0</v>
      </c>
      <c r="AP143" s="24">
        <v>0</v>
      </c>
      <c r="AQ143" s="58">
        <f t="shared" si="10"/>
        <v>3.6</v>
      </c>
      <c r="AR143" s="59">
        <f t="shared" si="11"/>
        <v>9000</v>
      </c>
      <c r="AS143" s="35">
        <v>5</v>
      </c>
    </row>
    <row r="144" spans="1:45" ht="16" x14ac:dyDescent="0.2">
      <c r="A144" s="53">
        <v>140</v>
      </c>
      <c r="B144" s="55" t="s">
        <v>162</v>
      </c>
      <c r="C144" s="54" t="s">
        <v>167</v>
      </c>
      <c r="D144" s="350"/>
      <c r="E144" s="53"/>
      <c r="F144" s="56"/>
      <c r="G144" s="53"/>
      <c r="H144" s="56"/>
      <c r="I144" s="57"/>
      <c r="J144" s="53"/>
      <c r="K144" s="56"/>
      <c r="L144" s="57"/>
      <c r="M144" s="58"/>
      <c r="N144" s="56"/>
      <c r="O144" s="57"/>
      <c r="P144" s="58">
        <f t="shared" si="8"/>
        <v>3.6</v>
      </c>
      <c r="Q144" s="59">
        <f t="shared" si="9"/>
        <v>9000</v>
      </c>
      <c r="R144" s="35">
        <v>5</v>
      </c>
      <c r="S144" s="19">
        <v>0</v>
      </c>
      <c r="T144" s="23">
        <v>0</v>
      </c>
      <c r="U144" s="24">
        <v>0</v>
      </c>
      <c r="V144" s="33">
        <v>0</v>
      </c>
      <c r="W144" s="34">
        <v>0</v>
      </c>
      <c r="X144" s="35">
        <v>0</v>
      </c>
      <c r="Y144" s="19">
        <v>0</v>
      </c>
      <c r="Z144" s="23">
        <v>0</v>
      </c>
      <c r="AA144" s="24">
        <v>0</v>
      </c>
      <c r="AB144" s="33">
        <v>0</v>
      </c>
      <c r="AC144" s="34">
        <v>0</v>
      </c>
      <c r="AD144" s="35">
        <v>0</v>
      </c>
      <c r="AE144" s="36">
        <v>0</v>
      </c>
      <c r="AF144" s="23">
        <v>0</v>
      </c>
      <c r="AG144" s="24">
        <v>0</v>
      </c>
      <c r="AH144" s="33">
        <v>0</v>
      </c>
      <c r="AI144" s="37">
        <v>0</v>
      </c>
      <c r="AJ144" s="35">
        <v>0</v>
      </c>
      <c r="AK144" s="36">
        <v>0</v>
      </c>
      <c r="AL144" s="38">
        <v>0</v>
      </c>
      <c r="AM144" s="35">
        <v>0</v>
      </c>
      <c r="AN144" s="19">
        <v>0</v>
      </c>
      <c r="AO144" s="23">
        <v>0</v>
      </c>
      <c r="AP144" s="24">
        <v>0</v>
      </c>
      <c r="AQ144" s="58">
        <f t="shared" si="10"/>
        <v>3.6</v>
      </c>
      <c r="AR144" s="59">
        <f t="shared" si="11"/>
        <v>9000</v>
      </c>
      <c r="AS144" s="35">
        <v>5</v>
      </c>
    </row>
    <row r="145" spans="1:45" ht="16" x14ac:dyDescent="0.2">
      <c r="A145" s="53">
        <v>141</v>
      </c>
      <c r="B145" s="55" t="s">
        <v>162</v>
      </c>
      <c r="C145" s="54" t="s">
        <v>168</v>
      </c>
      <c r="D145" s="350"/>
      <c r="E145" s="53"/>
      <c r="F145" s="56"/>
      <c r="G145" s="53"/>
      <c r="H145" s="56"/>
      <c r="I145" s="57"/>
      <c r="J145" s="53"/>
      <c r="K145" s="56"/>
      <c r="L145" s="57"/>
      <c r="M145" s="58"/>
      <c r="N145" s="56"/>
      <c r="O145" s="57"/>
      <c r="P145" s="58">
        <f t="shared" si="8"/>
        <v>4.32</v>
      </c>
      <c r="Q145" s="59">
        <f t="shared" si="9"/>
        <v>10800</v>
      </c>
      <c r="R145" s="35">
        <v>6</v>
      </c>
      <c r="S145" s="19">
        <v>0</v>
      </c>
      <c r="T145" s="23">
        <v>0</v>
      </c>
      <c r="U145" s="24">
        <v>0</v>
      </c>
      <c r="V145" s="33">
        <v>0</v>
      </c>
      <c r="W145" s="34">
        <v>0</v>
      </c>
      <c r="X145" s="35">
        <v>0</v>
      </c>
      <c r="Y145" s="19">
        <v>0</v>
      </c>
      <c r="Z145" s="23">
        <v>0</v>
      </c>
      <c r="AA145" s="24">
        <v>0</v>
      </c>
      <c r="AB145" s="33">
        <v>0</v>
      </c>
      <c r="AC145" s="34">
        <v>0</v>
      </c>
      <c r="AD145" s="35">
        <v>0</v>
      </c>
      <c r="AE145" s="36">
        <v>0</v>
      </c>
      <c r="AF145" s="23">
        <v>0</v>
      </c>
      <c r="AG145" s="24">
        <v>0</v>
      </c>
      <c r="AH145" s="33">
        <v>0</v>
      </c>
      <c r="AI145" s="37">
        <v>0</v>
      </c>
      <c r="AJ145" s="35">
        <v>0</v>
      </c>
      <c r="AK145" s="36">
        <v>0</v>
      </c>
      <c r="AL145" s="38">
        <v>0</v>
      </c>
      <c r="AM145" s="35">
        <v>0</v>
      </c>
      <c r="AN145" s="19">
        <v>0</v>
      </c>
      <c r="AO145" s="23">
        <v>0</v>
      </c>
      <c r="AP145" s="24">
        <v>0</v>
      </c>
      <c r="AQ145" s="58">
        <f t="shared" si="10"/>
        <v>4.32</v>
      </c>
      <c r="AR145" s="59">
        <f t="shared" si="11"/>
        <v>10800</v>
      </c>
      <c r="AS145" s="35">
        <v>6</v>
      </c>
    </row>
    <row r="146" spans="1:45" ht="16" x14ac:dyDescent="0.2">
      <c r="A146" s="53">
        <v>142</v>
      </c>
      <c r="B146" s="55" t="s">
        <v>162</v>
      </c>
      <c r="C146" s="54" t="s">
        <v>77</v>
      </c>
      <c r="D146" s="350"/>
      <c r="E146" s="53"/>
      <c r="F146" s="56"/>
      <c r="G146" s="53"/>
      <c r="H146" s="56"/>
      <c r="I146" s="57"/>
      <c r="J146" s="53"/>
      <c r="K146" s="56"/>
      <c r="L146" s="57"/>
      <c r="M146" s="58"/>
      <c r="N146" s="56"/>
      <c r="O146" s="57"/>
      <c r="P146" s="58">
        <f t="shared" si="8"/>
        <v>2.16</v>
      </c>
      <c r="Q146" s="59">
        <f t="shared" si="9"/>
        <v>5400</v>
      </c>
      <c r="R146" s="35">
        <v>3</v>
      </c>
      <c r="S146" s="19">
        <v>0</v>
      </c>
      <c r="T146" s="23">
        <v>0</v>
      </c>
      <c r="U146" s="24">
        <v>0</v>
      </c>
      <c r="V146" s="33">
        <v>0</v>
      </c>
      <c r="W146" s="34">
        <v>0</v>
      </c>
      <c r="X146" s="35">
        <v>0</v>
      </c>
      <c r="Y146" s="19">
        <v>0</v>
      </c>
      <c r="Z146" s="23">
        <v>0</v>
      </c>
      <c r="AA146" s="24">
        <v>0</v>
      </c>
      <c r="AB146" s="33">
        <v>0</v>
      </c>
      <c r="AC146" s="34">
        <v>0</v>
      </c>
      <c r="AD146" s="35">
        <v>0</v>
      </c>
      <c r="AE146" s="36">
        <v>0</v>
      </c>
      <c r="AF146" s="23">
        <v>0</v>
      </c>
      <c r="AG146" s="24">
        <v>0</v>
      </c>
      <c r="AH146" s="33">
        <v>0</v>
      </c>
      <c r="AI146" s="37">
        <v>0</v>
      </c>
      <c r="AJ146" s="35">
        <v>0</v>
      </c>
      <c r="AK146" s="36">
        <v>0</v>
      </c>
      <c r="AL146" s="38">
        <v>0</v>
      </c>
      <c r="AM146" s="35">
        <v>0</v>
      </c>
      <c r="AN146" s="19">
        <v>0</v>
      </c>
      <c r="AO146" s="23">
        <v>0</v>
      </c>
      <c r="AP146" s="24">
        <v>0</v>
      </c>
      <c r="AQ146" s="58">
        <f t="shared" si="10"/>
        <v>2.16</v>
      </c>
      <c r="AR146" s="59">
        <f t="shared" si="11"/>
        <v>5400</v>
      </c>
      <c r="AS146" s="35">
        <v>3</v>
      </c>
    </row>
    <row r="147" spans="1:45" ht="16" x14ac:dyDescent="0.2">
      <c r="A147" s="53">
        <v>143</v>
      </c>
      <c r="B147" s="55" t="s">
        <v>162</v>
      </c>
      <c r="C147" s="54" t="s">
        <v>169</v>
      </c>
      <c r="D147" s="350"/>
      <c r="E147" s="53"/>
      <c r="F147" s="56"/>
      <c r="G147" s="53"/>
      <c r="H147" s="56"/>
      <c r="I147" s="57"/>
      <c r="J147" s="53"/>
      <c r="K147" s="56"/>
      <c r="L147" s="57"/>
      <c r="M147" s="58"/>
      <c r="N147" s="56"/>
      <c r="O147" s="57"/>
      <c r="P147" s="58">
        <f t="shared" si="8"/>
        <v>5.04</v>
      </c>
      <c r="Q147" s="59">
        <f t="shared" si="9"/>
        <v>12600</v>
      </c>
      <c r="R147" s="35">
        <v>7</v>
      </c>
      <c r="S147" s="19">
        <v>0</v>
      </c>
      <c r="T147" s="23">
        <v>0</v>
      </c>
      <c r="U147" s="24">
        <v>0</v>
      </c>
      <c r="V147" s="33">
        <v>0</v>
      </c>
      <c r="W147" s="34">
        <v>0</v>
      </c>
      <c r="X147" s="35">
        <v>0</v>
      </c>
      <c r="Y147" s="19">
        <v>0</v>
      </c>
      <c r="Z147" s="23">
        <v>0</v>
      </c>
      <c r="AA147" s="24">
        <v>0</v>
      </c>
      <c r="AB147" s="33">
        <v>0</v>
      </c>
      <c r="AC147" s="34">
        <v>0</v>
      </c>
      <c r="AD147" s="35">
        <v>0</v>
      </c>
      <c r="AE147" s="36">
        <v>0</v>
      </c>
      <c r="AF147" s="23">
        <v>0</v>
      </c>
      <c r="AG147" s="24">
        <v>0</v>
      </c>
      <c r="AH147" s="33">
        <v>0</v>
      </c>
      <c r="AI147" s="37">
        <v>0</v>
      </c>
      <c r="AJ147" s="35">
        <v>0</v>
      </c>
      <c r="AK147" s="36">
        <v>0</v>
      </c>
      <c r="AL147" s="38">
        <v>0</v>
      </c>
      <c r="AM147" s="35">
        <v>0</v>
      </c>
      <c r="AN147" s="19">
        <v>0</v>
      </c>
      <c r="AO147" s="23">
        <v>0</v>
      </c>
      <c r="AP147" s="24">
        <v>0</v>
      </c>
      <c r="AQ147" s="58">
        <f t="shared" si="10"/>
        <v>5.04</v>
      </c>
      <c r="AR147" s="59">
        <f t="shared" si="11"/>
        <v>12600</v>
      </c>
      <c r="AS147" s="35">
        <v>7</v>
      </c>
    </row>
    <row r="148" spans="1:45" ht="16" x14ac:dyDescent="0.2">
      <c r="A148" s="53">
        <v>144</v>
      </c>
      <c r="B148" s="55" t="s">
        <v>162</v>
      </c>
      <c r="C148" s="54" t="s">
        <v>170</v>
      </c>
      <c r="D148" s="350"/>
      <c r="E148" s="53"/>
      <c r="F148" s="56"/>
      <c r="G148" s="53"/>
      <c r="H148" s="56"/>
      <c r="I148" s="57"/>
      <c r="J148" s="53"/>
      <c r="K148" s="56"/>
      <c r="L148" s="57"/>
      <c r="M148" s="58"/>
      <c r="N148" s="56"/>
      <c r="O148" s="57"/>
      <c r="P148" s="58">
        <f t="shared" si="8"/>
        <v>5.76</v>
      </c>
      <c r="Q148" s="59">
        <f t="shared" si="9"/>
        <v>14400</v>
      </c>
      <c r="R148" s="35">
        <v>8</v>
      </c>
      <c r="S148" s="19">
        <v>0</v>
      </c>
      <c r="T148" s="23">
        <v>0</v>
      </c>
      <c r="U148" s="24">
        <v>0</v>
      </c>
      <c r="V148" s="33">
        <v>0</v>
      </c>
      <c r="W148" s="34">
        <v>0</v>
      </c>
      <c r="X148" s="35">
        <v>0</v>
      </c>
      <c r="Y148" s="19">
        <v>0</v>
      </c>
      <c r="Z148" s="23">
        <v>0</v>
      </c>
      <c r="AA148" s="24">
        <v>0</v>
      </c>
      <c r="AB148" s="33">
        <v>0</v>
      </c>
      <c r="AC148" s="34">
        <v>0</v>
      </c>
      <c r="AD148" s="35">
        <v>0</v>
      </c>
      <c r="AE148" s="36">
        <v>0</v>
      </c>
      <c r="AF148" s="23">
        <v>0</v>
      </c>
      <c r="AG148" s="24">
        <v>0</v>
      </c>
      <c r="AH148" s="33">
        <v>0</v>
      </c>
      <c r="AI148" s="37">
        <v>0</v>
      </c>
      <c r="AJ148" s="35">
        <v>0</v>
      </c>
      <c r="AK148" s="36">
        <v>0</v>
      </c>
      <c r="AL148" s="38">
        <v>0</v>
      </c>
      <c r="AM148" s="35">
        <v>0</v>
      </c>
      <c r="AN148" s="19">
        <v>0</v>
      </c>
      <c r="AO148" s="23">
        <v>0</v>
      </c>
      <c r="AP148" s="24">
        <v>0</v>
      </c>
      <c r="AQ148" s="58">
        <f t="shared" si="10"/>
        <v>5.76</v>
      </c>
      <c r="AR148" s="59">
        <f t="shared" si="11"/>
        <v>14400</v>
      </c>
      <c r="AS148" s="35">
        <v>8</v>
      </c>
    </row>
    <row r="149" spans="1:45" ht="16" x14ac:dyDescent="0.2">
      <c r="A149" s="53">
        <v>145</v>
      </c>
      <c r="B149" s="55" t="s">
        <v>162</v>
      </c>
      <c r="C149" s="54" t="s">
        <v>162</v>
      </c>
      <c r="D149" s="350"/>
      <c r="E149" s="53"/>
      <c r="F149" s="56"/>
      <c r="G149" s="53"/>
      <c r="H149" s="56"/>
      <c r="I149" s="57"/>
      <c r="J149" s="53"/>
      <c r="K149" s="56"/>
      <c r="L149" s="57"/>
      <c r="M149" s="58"/>
      <c r="N149" s="56"/>
      <c r="O149" s="57"/>
      <c r="P149" s="58">
        <f t="shared" si="8"/>
        <v>14.4</v>
      </c>
      <c r="Q149" s="59">
        <f t="shared" si="9"/>
        <v>36000</v>
      </c>
      <c r="R149" s="35">
        <v>20</v>
      </c>
      <c r="S149" s="19">
        <v>0</v>
      </c>
      <c r="T149" s="23">
        <v>0</v>
      </c>
      <c r="U149" s="24">
        <v>0</v>
      </c>
      <c r="V149" s="33">
        <v>0</v>
      </c>
      <c r="W149" s="34">
        <v>0</v>
      </c>
      <c r="X149" s="35">
        <v>0</v>
      </c>
      <c r="Y149" s="19">
        <v>0</v>
      </c>
      <c r="Z149" s="23">
        <v>0</v>
      </c>
      <c r="AA149" s="24">
        <v>0</v>
      </c>
      <c r="AB149" s="33">
        <v>0</v>
      </c>
      <c r="AC149" s="34">
        <v>0</v>
      </c>
      <c r="AD149" s="35">
        <v>0</v>
      </c>
      <c r="AE149" s="36">
        <v>0</v>
      </c>
      <c r="AF149" s="23">
        <v>0</v>
      </c>
      <c r="AG149" s="24">
        <v>0</v>
      </c>
      <c r="AH149" s="33">
        <v>0</v>
      </c>
      <c r="AI149" s="37">
        <v>0</v>
      </c>
      <c r="AJ149" s="35">
        <v>0</v>
      </c>
      <c r="AK149" s="36">
        <v>0</v>
      </c>
      <c r="AL149" s="38">
        <v>0</v>
      </c>
      <c r="AM149" s="35">
        <v>0</v>
      </c>
      <c r="AN149" s="19">
        <v>0</v>
      </c>
      <c r="AO149" s="23">
        <v>0</v>
      </c>
      <c r="AP149" s="24">
        <v>0</v>
      </c>
      <c r="AQ149" s="58">
        <f t="shared" si="10"/>
        <v>14.4</v>
      </c>
      <c r="AR149" s="59">
        <f t="shared" si="11"/>
        <v>36000</v>
      </c>
      <c r="AS149" s="35">
        <v>20</v>
      </c>
    </row>
    <row r="150" spans="1:45" ht="16" x14ac:dyDescent="0.2">
      <c r="A150" s="53">
        <v>146</v>
      </c>
      <c r="B150" s="55" t="s">
        <v>162</v>
      </c>
      <c r="C150" s="54" t="s">
        <v>171</v>
      </c>
      <c r="D150" s="350"/>
      <c r="E150" s="53"/>
      <c r="F150" s="56"/>
      <c r="G150" s="53"/>
      <c r="H150" s="56"/>
      <c r="I150" s="57"/>
      <c r="J150" s="53"/>
      <c r="K150" s="56"/>
      <c r="L150" s="57"/>
      <c r="M150" s="58"/>
      <c r="N150" s="56"/>
      <c r="O150" s="57"/>
      <c r="P150" s="58">
        <f t="shared" si="8"/>
        <v>0.72</v>
      </c>
      <c r="Q150" s="59">
        <f t="shared" si="9"/>
        <v>1800</v>
      </c>
      <c r="R150" s="35">
        <v>1</v>
      </c>
      <c r="S150" s="19">
        <v>0</v>
      </c>
      <c r="T150" s="23">
        <v>0</v>
      </c>
      <c r="U150" s="24">
        <v>0</v>
      </c>
      <c r="V150" s="33">
        <v>0</v>
      </c>
      <c r="W150" s="34">
        <v>0</v>
      </c>
      <c r="X150" s="35">
        <v>0</v>
      </c>
      <c r="Y150" s="19">
        <v>0</v>
      </c>
      <c r="Z150" s="23">
        <v>0</v>
      </c>
      <c r="AA150" s="24">
        <v>0</v>
      </c>
      <c r="AB150" s="33">
        <v>0</v>
      </c>
      <c r="AC150" s="34">
        <v>0</v>
      </c>
      <c r="AD150" s="35">
        <v>0</v>
      </c>
      <c r="AE150" s="36">
        <v>0</v>
      </c>
      <c r="AF150" s="23">
        <v>0</v>
      </c>
      <c r="AG150" s="24">
        <v>0</v>
      </c>
      <c r="AH150" s="33">
        <v>0</v>
      </c>
      <c r="AI150" s="37">
        <v>0</v>
      </c>
      <c r="AJ150" s="35">
        <v>0</v>
      </c>
      <c r="AK150" s="36">
        <v>0</v>
      </c>
      <c r="AL150" s="38">
        <v>0</v>
      </c>
      <c r="AM150" s="35">
        <v>0</v>
      </c>
      <c r="AN150" s="19">
        <v>0</v>
      </c>
      <c r="AO150" s="23">
        <v>0</v>
      </c>
      <c r="AP150" s="24">
        <v>0</v>
      </c>
      <c r="AQ150" s="58">
        <f t="shared" si="10"/>
        <v>0.72</v>
      </c>
      <c r="AR150" s="59">
        <f t="shared" si="11"/>
        <v>1800</v>
      </c>
      <c r="AS150" s="35">
        <v>1</v>
      </c>
    </row>
    <row r="151" spans="1:45" ht="16" x14ac:dyDescent="0.2">
      <c r="A151" s="53">
        <v>147</v>
      </c>
      <c r="B151" s="55" t="s">
        <v>162</v>
      </c>
      <c r="C151" s="54" t="s">
        <v>172</v>
      </c>
      <c r="D151" s="350"/>
      <c r="E151" s="53"/>
      <c r="F151" s="56"/>
      <c r="G151" s="53"/>
      <c r="H151" s="56"/>
      <c r="I151" s="57"/>
      <c r="J151" s="53"/>
      <c r="K151" s="56"/>
      <c r="L151" s="57"/>
      <c r="M151" s="58"/>
      <c r="N151" s="56"/>
      <c r="O151" s="57"/>
      <c r="P151" s="58">
        <f t="shared" si="8"/>
        <v>3.6</v>
      </c>
      <c r="Q151" s="59">
        <f t="shared" si="9"/>
        <v>9000</v>
      </c>
      <c r="R151" s="35">
        <v>5</v>
      </c>
      <c r="S151" s="19">
        <v>0</v>
      </c>
      <c r="T151" s="23">
        <v>0</v>
      </c>
      <c r="U151" s="24">
        <v>0</v>
      </c>
      <c r="V151" s="33">
        <v>0</v>
      </c>
      <c r="W151" s="34">
        <v>0</v>
      </c>
      <c r="X151" s="35">
        <v>0</v>
      </c>
      <c r="Y151" s="19">
        <v>0</v>
      </c>
      <c r="Z151" s="23">
        <v>0</v>
      </c>
      <c r="AA151" s="24">
        <v>0</v>
      </c>
      <c r="AB151" s="33">
        <v>0</v>
      </c>
      <c r="AC151" s="34">
        <v>0</v>
      </c>
      <c r="AD151" s="35">
        <v>0</v>
      </c>
      <c r="AE151" s="36">
        <v>0</v>
      </c>
      <c r="AF151" s="23">
        <v>0</v>
      </c>
      <c r="AG151" s="24">
        <v>0</v>
      </c>
      <c r="AH151" s="33">
        <v>0</v>
      </c>
      <c r="AI151" s="37">
        <v>0</v>
      </c>
      <c r="AJ151" s="35">
        <v>0</v>
      </c>
      <c r="AK151" s="36">
        <v>0</v>
      </c>
      <c r="AL151" s="38">
        <v>0</v>
      </c>
      <c r="AM151" s="35">
        <v>0</v>
      </c>
      <c r="AN151" s="19">
        <v>0</v>
      </c>
      <c r="AO151" s="23">
        <v>0</v>
      </c>
      <c r="AP151" s="24">
        <v>0</v>
      </c>
      <c r="AQ151" s="58">
        <f t="shared" si="10"/>
        <v>3.6</v>
      </c>
      <c r="AR151" s="59">
        <f t="shared" si="11"/>
        <v>9000</v>
      </c>
      <c r="AS151" s="35">
        <v>5</v>
      </c>
    </row>
    <row r="152" spans="1:45" ht="16" x14ac:dyDescent="0.2">
      <c r="A152" s="53">
        <v>148</v>
      </c>
      <c r="B152" s="55" t="s">
        <v>162</v>
      </c>
      <c r="C152" s="54" t="s">
        <v>173</v>
      </c>
      <c r="D152" s="350"/>
      <c r="E152" s="53"/>
      <c r="F152" s="56"/>
      <c r="G152" s="53"/>
      <c r="H152" s="56"/>
      <c r="I152" s="57"/>
      <c r="J152" s="53"/>
      <c r="K152" s="56"/>
      <c r="L152" s="57"/>
      <c r="M152" s="58"/>
      <c r="N152" s="56"/>
      <c r="O152" s="57"/>
      <c r="P152" s="58">
        <f t="shared" si="8"/>
        <v>2.88</v>
      </c>
      <c r="Q152" s="59">
        <f t="shared" si="9"/>
        <v>7200</v>
      </c>
      <c r="R152" s="35">
        <v>4</v>
      </c>
      <c r="S152" s="19">
        <v>0</v>
      </c>
      <c r="T152" s="23">
        <v>0</v>
      </c>
      <c r="U152" s="24">
        <v>0</v>
      </c>
      <c r="V152" s="33">
        <v>0</v>
      </c>
      <c r="W152" s="34">
        <v>0</v>
      </c>
      <c r="X152" s="35">
        <v>0</v>
      </c>
      <c r="Y152" s="19">
        <v>0</v>
      </c>
      <c r="Z152" s="23">
        <v>0</v>
      </c>
      <c r="AA152" s="24">
        <v>0</v>
      </c>
      <c r="AB152" s="33">
        <v>0</v>
      </c>
      <c r="AC152" s="34">
        <v>0</v>
      </c>
      <c r="AD152" s="35">
        <v>0</v>
      </c>
      <c r="AE152" s="36">
        <v>0</v>
      </c>
      <c r="AF152" s="23">
        <v>0</v>
      </c>
      <c r="AG152" s="24">
        <v>0</v>
      </c>
      <c r="AH152" s="33">
        <v>0</v>
      </c>
      <c r="AI152" s="37">
        <v>0</v>
      </c>
      <c r="AJ152" s="35">
        <v>0</v>
      </c>
      <c r="AK152" s="36">
        <v>0</v>
      </c>
      <c r="AL152" s="38">
        <v>0</v>
      </c>
      <c r="AM152" s="35">
        <v>0</v>
      </c>
      <c r="AN152" s="19">
        <v>0</v>
      </c>
      <c r="AO152" s="23">
        <v>0</v>
      </c>
      <c r="AP152" s="24">
        <v>0</v>
      </c>
      <c r="AQ152" s="58">
        <f t="shared" si="10"/>
        <v>2.88</v>
      </c>
      <c r="AR152" s="59">
        <f t="shared" si="11"/>
        <v>7200</v>
      </c>
      <c r="AS152" s="35">
        <v>4</v>
      </c>
    </row>
    <row r="153" spans="1:45" ht="16" x14ac:dyDescent="0.2">
      <c r="A153" s="53">
        <v>149</v>
      </c>
      <c r="B153" s="55" t="s">
        <v>162</v>
      </c>
      <c r="C153" s="54" t="s">
        <v>174</v>
      </c>
      <c r="D153" s="350"/>
      <c r="E153" s="53"/>
      <c r="F153" s="56"/>
      <c r="G153" s="53"/>
      <c r="H153" s="56"/>
      <c r="I153" s="57"/>
      <c r="J153" s="53"/>
      <c r="K153" s="56"/>
      <c r="L153" s="57"/>
      <c r="M153" s="58"/>
      <c r="N153" s="56"/>
      <c r="O153" s="57"/>
      <c r="P153" s="58">
        <f t="shared" si="8"/>
        <v>2.16</v>
      </c>
      <c r="Q153" s="59">
        <f t="shared" si="9"/>
        <v>5400</v>
      </c>
      <c r="R153" s="35">
        <v>3</v>
      </c>
      <c r="S153" s="19">
        <v>0</v>
      </c>
      <c r="T153" s="23">
        <v>0</v>
      </c>
      <c r="U153" s="24">
        <v>0</v>
      </c>
      <c r="V153" s="33">
        <v>0</v>
      </c>
      <c r="W153" s="34">
        <v>0</v>
      </c>
      <c r="X153" s="35">
        <v>0</v>
      </c>
      <c r="Y153" s="19">
        <v>0</v>
      </c>
      <c r="Z153" s="23">
        <v>0</v>
      </c>
      <c r="AA153" s="24">
        <v>0</v>
      </c>
      <c r="AB153" s="33">
        <v>0</v>
      </c>
      <c r="AC153" s="34">
        <v>0</v>
      </c>
      <c r="AD153" s="35">
        <v>0</v>
      </c>
      <c r="AE153" s="36">
        <v>0</v>
      </c>
      <c r="AF153" s="23">
        <v>0</v>
      </c>
      <c r="AG153" s="24">
        <v>0</v>
      </c>
      <c r="AH153" s="33">
        <v>0</v>
      </c>
      <c r="AI153" s="37">
        <v>0</v>
      </c>
      <c r="AJ153" s="35">
        <v>0</v>
      </c>
      <c r="AK153" s="36">
        <v>0</v>
      </c>
      <c r="AL153" s="38">
        <v>0</v>
      </c>
      <c r="AM153" s="35">
        <v>0</v>
      </c>
      <c r="AN153" s="19">
        <v>0</v>
      </c>
      <c r="AO153" s="23">
        <v>0</v>
      </c>
      <c r="AP153" s="24">
        <v>0</v>
      </c>
      <c r="AQ153" s="58">
        <f t="shared" si="10"/>
        <v>2.16</v>
      </c>
      <c r="AR153" s="59">
        <f t="shared" si="11"/>
        <v>5400</v>
      </c>
      <c r="AS153" s="35">
        <v>3</v>
      </c>
    </row>
    <row r="154" spans="1:45" ht="16" x14ac:dyDescent="0.2">
      <c r="A154" s="53">
        <v>150</v>
      </c>
      <c r="B154" s="55" t="s">
        <v>162</v>
      </c>
      <c r="C154" s="54" t="s">
        <v>175</v>
      </c>
      <c r="D154" s="350"/>
      <c r="E154" s="53"/>
      <c r="F154" s="56"/>
      <c r="G154" s="53"/>
      <c r="H154" s="56"/>
      <c r="I154" s="57"/>
      <c r="J154" s="53"/>
      <c r="K154" s="56"/>
      <c r="L154" s="57"/>
      <c r="M154" s="58"/>
      <c r="N154" s="56"/>
      <c r="O154" s="57"/>
      <c r="P154" s="58">
        <f t="shared" si="8"/>
        <v>1.44</v>
      </c>
      <c r="Q154" s="59">
        <f t="shared" si="9"/>
        <v>3600</v>
      </c>
      <c r="R154" s="35">
        <v>2</v>
      </c>
      <c r="S154" s="19">
        <v>0</v>
      </c>
      <c r="T154" s="23">
        <v>0</v>
      </c>
      <c r="U154" s="24">
        <v>0</v>
      </c>
      <c r="V154" s="33">
        <v>0</v>
      </c>
      <c r="W154" s="34">
        <v>0</v>
      </c>
      <c r="X154" s="35">
        <v>0</v>
      </c>
      <c r="Y154" s="19">
        <v>0</v>
      </c>
      <c r="Z154" s="23">
        <v>0</v>
      </c>
      <c r="AA154" s="24">
        <v>0</v>
      </c>
      <c r="AB154" s="33">
        <v>0</v>
      </c>
      <c r="AC154" s="34">
        <v>0</v>
      </c>
      <c r="AD154" s="35">
        <v>0</v>
      </c>
      <c r="AE154" s="36">
        <v>0</v>
      </c>
      <c r="AF154" s="23">
        <v>0</v>
      </c>
      <c r="AG154" s="24">
        <v>0</v>
      </c>
      <c r="AH154" s="33">
        <v>0</v>
      </c>
      <c r="AI154" s="37">
        <v>0</v>
      </c>
      <c r="AJ154" s="35">
        <v>0</v>
      </c>
      <c r="AK154" s="36">
        <v>0</v>
      </c>
      <c r="AL154" s="38">
        <v>0</v>
      </c>
      <c r="AM154" s="35">
        <v>0</v>
      </c>
      <c r="AN154" s="19">
        <v>0</v>
      </c>
      <c r="AO154" s="23">
        <v>0</v>
      </c>
      <c r="AP154" s="24">
        <v>0</v>
      </c>
      <c r="AQ154" s="58">
        <f t="shared" si="10"/>
        <v>1.44</v>
      </c>
      <c r="AR154" s="59">
        <f t="shared" si="11"/>
        <v>3600</v>
      </c>
      <c r="AS154" s="35">
        <v>2</v>
      </c>
    </row>
    <row r="155" spans="1:45" ht="16" x14ac:dyDescent="0.2">
      <c r="A155" s="53">
        <v>151</v>
      </c>
      <c r="B155" s="55" t="s">
        <v>162</v>
      </c>
      <c r="C155" s="54" t="s">
        <v>176</v>
      </c>
      <c r="D155" s="350"/>
      <c r="E155" s="53"/>
      <c r="F155" s="56"/>
      <c r="G155" s="53"/>
      <c r="H155" s="56"/>
      <c r="I155" s="57"/>
      <c r="J155" s="53"/>
      <c r="K155" s="56"/>
      <c r="L155" s="57"/>
      <c r="M155" s="58"/>
      <c r="N155" s="56"/>
      <c r="O155" s="57"/>
      <c r="P155" s="58">
        <f t="shared" si="8"/>
        <v>2.88</v>
      </c>
      <c r="Q155" s="59">
        <f t="shared" si="9"/>
        <v>7200</v>
      </c>
      <c r="R155" s="35">
        <v>4</v>
      </c>
      <c r="S155" s="19">
        <v>0</v>
      </c>
      <c r="T155" s="23">
        <v>0</v>
      </c>
      <c r="U155" s="24">
        <v>0</v>
      </c>
      <c r="V155" s="33">
        <v>0</v>
      </c>
      <c r="W155" s="34">
        <v>0</v>
      </c>
      <c r="X155" s="35">
        <v>0</v>
      </c>
      <c r="Y155" s="19">
        <v>0</v>
      </c>
      <c r="Z155" s="23">
        <v>0</v>
      </c>
      <c r="AA155" s="24">
        <v>0</v>
      </c>
      <c r="AB155" s="33">
        <v>0</v>
      </c>
      <c r="AC155" s="34">
        <v>0</v>
      </c>
      <c r="AD155" s="35">
        <v>0</v>
      </c>
      <c r="AE155" s="36">
        <v>0</v>
      </c>
      <c r="AF155" s="23">
        <v>0</v>
      </c>
      <c r="AG155" s="24">
        <v>0</v>
      </c>
      <c r="AH155" s="33">
        <v>0</v>
      </c>
      <c r="AI155" s="37">
        <v>0</v>
      </c>
      <c r="AJ155" s="35">
        <v>0</v>
      </c>
      <c r="AK155" s="36">
        <v>0</v>
      </c>
      <c r="AL155" s="38">
        <v>0</v>
      </c>
      <c r="AM155" s="35">
        <v>0</v>
      </c>
      <c r="AN155" s="19">
        <v>0</v>
      </c>
      <c r="AO155" s="23">
        <v>0</v>
      </c>
      <c r="AP155" s="24">
        <v>0</v>
      </c>
      <c r="AQ155" s="58">
        <f t="shared" si="10"/>
        <v>2.88</v>
      </c>
      <c r="AR155" s="59">
        <f t="shared" si="11"/>
        <v>7200</v>
      </c>
      <c r="AS155" s="35">
        <v>4</v>
      </c>
    </row>
    <row r="156" spans="1:45" ht="16" x14ac:dyDescent="0.2">
      <c r="A156" s="53">
        <v>152</v>
      </c>
      <c r="B156" s="55" t="s">
        <v>162</v>
      </c>
      <c r="C156" s="54" t="s">
        <v>177</v>
      </c>
      <c r="D156" s="350"/>
      <c r="E156" s="53"/>
      <c r="F156" s="56"/>
      <c r="G156" s="53"/>
      <c r="H156" s="56"/>
      <c r="I156" s="57"/>
      <c r="J156" s="53"/>
      <c r="K156" s="56"/>
      <c r="L156" s="57"/>
      <c r="M156" s="58"/>
      <c r="N156" s="56"/>
      <c r="O156" s="57"/>
      <c r="P156" s="58">
        <f t="shared" si="8"/>
        <v>5.04</v>
      </c>
      <c r="Q156" s="59">
        <f t="shared" si="9"/>
        <v>12600</v>
      </c>
      <c r="R156" s="35">
        <v>7</v>
      </c>
      <c r="S156" s="19">
        <v>0</v>
      </c>
      <c r="T156" s="23">
        <v>0</v>
      </c>
      <c r="U156" s="24">
        <v>0</v>
      </c>
      <c r="V156" s="33">
        <v>0</v>
      </c>
      <c r="W156" s="34">
        <v>0</v>
      </c>
      <c r="X156" s="35">
        <v>0</v>
      </c>
      <c r="Y156" s="19">
        <v>0</v>
      </c>
      <c r="Z156" s="23">
        <v>0</v>
      </c>
      <c r="AA156" s="24">
        <v>0</v>
      </c>
      <c r="AB156" s="33">
        <v>0</v>
      </c>
      <c r="AC156" s="34">
        <v>0</v>
      </c>
      <c r="AD156" s="35">
        <v>0</v>
      </c>
      <c r="AE156" s="36">
        <v>0</v>
      </c>
      <c r="AF156" s="23">
        <v>0</v>
      </c>
      <c r="AG156" s="24">
        <v>0</v>
      </c>
      <c r="AH156" s="33">
        <v>0</v>
      </c>
      <c r="AI156" s="37">
        <v>0</v>
      </c>
      <c r="AJ156" s="35">
        <v>0</v>
      </c>
      <c r="AK156" s="36">
        <v>0</v>
      </c>
      <c r="AL156" s="38">
        <v>0</v>
      </c>
      <c r="AM156" s="35">
        <v>0</v>
      </c>
      <c r="AN156" s="19">
        <v>0</v>
      </c>
      <c r="AO156" s="23">
        <v>0</v>
      </c>
      <c r="AP156" s="24">
        <v>0</v>
      </c>
      <c r="AQ156" s="58">
        <f t="shared" si="10"/>
        <v>5.04</v>
      </c>
      <c r="AR156" s="59">
        <f t="shared" si="11"/>
        <v>12600</v>
      </c>
      <c r="AS156" s="35">
        <v>7</v>
      </c>
    </row>
    <row r="157" spans="1:45" ht="16" x14ac:dyDescent="0.2">
      <c r="A157" s="53">
        <v>153</v>
      </c>
      <c r="B157" s="55" t="s">
        <v>178</v>
      </c>
      <c r="C157" s="54" t="s">
        <v>179</v>
      </c>
      <c r="D157" s="350"/>
      <c r="E157" s="53"/>
      <c r="F157" s="56"/>
      <c r="G157" s="53"/>
      <c r="H157" s="56"/>
      <c r="I157" s="57"/>
      <c r="J157" s="53"/>
      <c r="K157" s="56"/>
      <c r="L157" s="57"/>
      <c r="M157" s="58"/>
      <c r="N157" s="56"/>
      <c r="O157" s="57"/>
      <c r="P157" s="58">
        <f t="shared" si="8"/>
        <v>4.32</v>
      </c>
      <c r="Q157" s="59">
        <f t="shared" si="9"/>
        <v>10800</v>
      </c>
      <c r="R157" s="35">
        <v>6</v>
      </c>
      <c r="S157" s="19">
        <v>0</v>
      </c>
      <c r="T157" s="23">
        <v>0</v>
      </c>
      <c r="U157" s="24">
        <v>0</v>
      </c>
      <c r="V157" s="33">
        <v>0</v>
      </c>
      <c r="W157" s="34">
        <v>0</v>
      </c>
      <c r="X157" s="35">
        <v>0</v>
      </c>
      <c r="Y157" s="19">
        <v>0</v>
      </c>
      <c r="Z157" s="23">
        <v>0</v>
      </c>
      <c r="AA157" s="24">
        <v>0</v>
      </c>
      <c r="AB157" s="33">
        <v>0</v>
      </c>
      <c r="AC157" s="34">
        <v>0</v>
      </c>
      <c r="AD157" s="35">
        <v>0</v>
      </c>
      <c r="AE157" s="36">
        <v>0</v>
      </c>
      <c r="AF157" s="23">
        <v>0</v>
      </c>
      <c r="AG157" s="24">
        <v>0</v>
      </c>
      <c r="AH157" s="33">
        <v>0</v>
      </c>
      <c r="AI157" s="37">
        <v>0</v>
      </c>
      <c r="AJ157" s="35">
        <v>0</v>
      </c>
      <c r="AK157" s="36">
        <v>0</v>
      </c>
      <c r="AL157" s="38">
        <v>0</v>
      </c>
      <c r="AM157" s="35">
        <v>0</v>
      </c>
      <c r="AN157" s="19">
        <v>0</v>
      </c>
      <c r="AO157" s="23">
        <v>0</v>
      </c>
      <c r="AP157" s="24">
        <v>0</v>
      </c>
      <c r="AQ157" s="58">
        <f t="shared" si="10"/>
        <v>4.32</v>
      </c>
      <c r="AR157" s="59">
        <f t="shared" si="11"/>
        <v>10800</v>
      </c>
      <c r="AS157" s="35">
        <v>6</v>
      </c>
    </row>
    <row r="158" spans="1:45" ht="16" x14ac:dyDescent="0.2">
      <c r="A158" s="53">
        <v>154</v>
      </c>
      <c r="B158" s="55" t="s">
        <v>178</v>
      </c>
      <c r="C158" s="54" t="s">
        <v>180</v>
      </c>
      <c r="D158" s="350" t="s">
        <v>25</v>
      </c>
      <c r="E158" s="53"/>
      <c r="F158" s="56"/>
      <c r="G158" s="53"/>
      <c r="H158" s="56"/>
      <c r="I158" s="57"/>
      <c r="J158" s="53"/>
      <c r="K158" s="56"/>
      <c r="L158" s="57"/>
      <c r="M158" s="58"/>
      <c r="N158" s="56"/>
      <c r="O158" s="57"/>
      <c r="P158" s="58">
        <f t="shared" si="8"/>
        <v>1.44</v>
      </c>
      <c r="Q158" s="59">
        <f t="shared" si="9"/>
        <v>3600</v>
      </c>
      <c r="R158" s="35">
        <v>2</v>
      </c>
      <c r="S158" s="19">
        <v>0</v>
      </c>
      <c r="T158" s="23">
        <v>0</v>
      </c>
      <c r="U158" s="24">
        <v>0</v>
      </c>
      <c r="V158" s="33">
        <v>0</v>
      </c>
      <c r="W158" s="34">
        <v>0</v>
      </c>
      <c r="X158" s="35">
        <v>0</v>
      </c>
      <c r="Y158" s="19">
        <v>0</v>
      </c>
      <c r="Z158" s="23">
        <v>0</v>
      </c>
      <c r="AA158" s="24">
        <v>0</v>
      </c>
      <c r="AB158" s="33">
        <v>0</v>
      </c>
      <c r="AC158" s="34">
        <v>0</v>
      </c>
      <c r="AD158" s="35">
        <v>0</v>
      </c>
      <c r="AE158" s="36">
        <v>0</v>
      </c>
      <c r="AF158" s="23">
        <v>0</v>
      </c>
      <c r="AG158" s="24">
        <v>0</v>
      </c>
      <c r="AH158" s="33">
        <v>0</v>
      </c>
      <c r="AI158" s="37">
        <v>0</v>
      </c>
      <c r="AJ158" s="35">
        <v>0</v>
      </c>
      <c r="AK158" s="36">
        <v>0</v>
      </c>
      <c r="AL158" s="38">
        <v>0</v>
      </c>
      <c r="AM158" s="35">
        <v>0</v>
      </c>
      <c r="AN158" s="19">
        <v>0</v>
      </c>
      <c r="AO158" s="23">
        <v>0</v>
      </c>
      <c r="AP158" s="24">
        <v>0</v>
      </c>
      <c r="AQ158" s="58">
        <f t="shared" si="10"/>
        <v>1.44</v>
      </c>
      <c r="AR158" s="59">
        <f t="shared" si="11"/>
        <v>3600</v>
      </c>
      <c r="AS158" s="35">
        <v>2</v>
      </c>
    </row>
    <row r="159" spans="1:45" ht="16" x14ac:dyDescent="0.2">
      <c r="A159" s="53">
        <v>155</v>
      </c>
      <c r="B159" s="55" t="s">
        <v>178</v>
      </c>
      <c r="C159" s="54" t="s">
        <v>181</v>
      </c>
      <c r="D159" s="350"/>
      <c r="E159" s="53"/>
      <c r="F159" s="56"/>
      <c r="G159" s="53"/>
      <c r="H159" s="56"/>
      <c r="I159" s="57"/>
      <c r="J159" s="53"/>
      <c r="K159" s="56"/>
      <c r="L159" s="57"/>
      <c r="M159" s="58"/>
      <c r="N159" s="56"/>
      <c r="O159" s="57"/>
      <c r="P159" s="58">
        <f t="shared" si="8"/>
        <v>4.32</v>
      </c>
      <c r="Q159" s="59">
        <f t="shared" si="9"/>
        <v>10800</v>
      </c>
      <c r="R159" s="35">
        <v>6</v>
      </c>
      <c r="S159" s="19">
        <v>0</v>
      </c>
      <c r="T159" s="23">
        <v>0</v>
      </c>
      <c r="U159" s="24">
        <v>0</v>
      </c>
      <c r="V159" s="33">
        <v>0</v>
      </c>
      <c r="W159" s="34">
        <v>0</v>
      </c>
      <c r="X159" s="35">
        <v>0</v>
      </c>
      <c r="Y159" s="19">
        <v>0</v>
      </c>
      <c r="Z159" s="23">
        <v>0</v>
      </c>
      <c r="AA159" s="24">
        <v>0</v>
      </c>
      <c r="AB159" s="33">
        <v>0</v>
      </c>
      <c r="AC159" s="34">
        <v>0</v>
      </c>
      <c r="AD159" s="35">
        <v>0</v>
      </c>
      <c r="AE159" s="36">
        <v>0</v>
      </c>
      <c r="AF159" s="23">
        <v>0</v>
      </c>
      <c r="AG159" s="24">
        <v>0</v>
      </c>
      <c r="AH159" s="33">
        <v>0</v>
      </c>
      <c r="AI159" s="37">
        <v>0</v>
      </c>
      <c r="AJ159" s="35">
        <v>0</v>
      </c>
      <c r="AK159" s="36">
        <v>0</v>
      </c>
      <c r="AL159" s="38">
        <v>0</v>
      </c>
      <c r="AM159" s="35">
        <v>0</v>
      </c>
      <c r="AN159" s="19">
        <v>0</v>
      </c>
      <c r="AO159" s="23">
        <v>0</v>
      </c>
      <c r="AP159" s="24">
        <v>0</v>
      </c>
      <c r="AQ159" s="58">
        <f t="shared" si="10"/>
        <v>4.32</v>
      </c>
      <c r="AR159" s="59">
        <f t="shared" si="11"/>
        <v>10800</v>
      </c>
      <c r="AS159" s="35">
        <v>6</v>
      </c>
    </row>
    <row r="160" spans="1:45" ht="16" x14ac:dyDescent="0.2">
      <c r="A160" s="53">
        <v>156</v>
      </c>
      <c r="B160" s="55" t="s">
        <v>178</v>
      </c>
      <c r="C160" s="54" t="s">
        <v>125</v>
      </c>
      <c r="D160" s="350"/>
      <c r="E160" s="53"/>
      <c r="F160" s="56"/>
      <c r="G160" s="53"/>
      <c r="H160" s="56"/>
      <c r="I160" s="57"/>
      <c r="J160" s="53"/>
      <c r="K160" s="56"/>
      <c r="L160" s="57"/>
      <c r="M160" s="58"/>
      <c r="N160" s="56"/>
      <c r="O160" s="57"/>
      <c r="P160" s="58">
        <f t="shared" si="8"/>
        <v>5.76</v>
      </c>
      <c r="Q160" s="59">
        <f t="shared" si="9"/>
        <v>14400</v>
      </c>
      <c r="R160" s="35">
        <v>8</v>
      </c>
      <c r="S160" s="19">
        <v>0</v>
      </c>
      <c r="T160" s="23">
        <v>0</v>
      </c>
      <c r="U160" s="24">
        <v>0</v>
      </c>
      <c r="V160" s="33">
        <v>0</v>
      </c>
      <c r="W160" s="34">
        <v>0</v>
      </c>
      <c r="X160" s="35">
        <v>0</v>
      </c>
      <c r="Y160" s="19">
        <v>0</v>
      </c>
      <c r="Z160" s="23">
        <v>0</v>
      </c>
      <c r="AA160" s="24">
        <v>0</v>
      </c>
      <c r="AB160" s="33">
        <v>0</v>
      </c>
      <c r="AC160" s="34">
        <v>0</v>
      </c>
      <c r="AD160" s="35">
        <v>0</v>
      </c>
      <c r="AE160" s="36">
        <v>0</v>
      </c>
      <c r="AF160" s="23">
        <v>0</v>
      </c>
      <c r="AG160" s="24">
        <v>0</v>
      </c>
      <c r="AH160" s="33">
        <v>0</v>
      </c>
      <c r="AI160" s="37">
        <v>0</v>
      </c>
      <c r="AJ160" s="35">
        <v>0</v>
      </c>
      <c r="AK160" s="36">
        <v>0</v>
      </c>
      <c r="AL160" s="38">
        <v>0</v>
      </c>
      <c r="AM160" s="35">
        <v>0</v>
      </c>
      <c r="AN160" s="19">
        <v>0</v>
      </c>
      <c r="AO160" s="23">
        <v>0</v>
      </c>
      <c r="AP160" s="24">
        <v>0</v>
      </c>
      <c r="AQ160" s="58">
        <f t="shared" si="10"/>
        <v>5.76</v>
      </c>
      <c r="AR160" s="59">
        <f t="shared" si="11"/>
        <v>14400</v>
      </c>
      <c r="AS160" s="35">
        <v>8</v>
      </c>
    </row>
    <row r="161" spans="1:45" ht="16" x14ac:dyDescent="0.2">
      <c r="A161" s="53">
        <v>157</v>
      </c>
      <c r="B161" s="55" t="s">
        <v>178</v>
      </c>
      <c r="C161" s="54" t="s">
        <v>182</v>
      </c>
      <c r="D161" s="350"/>
      <c r="E161" s="53"/>
      <c r="F161" s="56"/>
      <c r="G161" s="53"/>
      <c r="H161" s="56"/>
      <c r="I161" s="57"/>
      <c r="J161" s="53"/>
      <c r="K161" s="56"/>
      <c r="L161" s="57"/>
      <c r="M161" s="58"/>
      <c r="N161" s="56"/>
      <c r="O161" s="57"/>
      <c r="P161" s="58">
        <f t="shared" si="8"/>
        <v>1.44</v>
      </c>
      <c r="Q161" s="59">
        <f t="shared" si="9"/>
        <v>3600</v>
      </c>
      <c r="R161" s="35">
        <v>2</v>
      </c>
      <c r="S161" s="19">
        <v>0</v>
      </c>
      <c r="T161" s="23">
        <v>0</v>
      </c>
      <c r="U161" s="24">
        <v>0</v>
      </c>
      <c r="V161" s="33">
        <v>0</v>
      </c>
      <c r="W161" s="34">
        <v>0</v>
      </c>
      <c r="X161" s="35">
        <v>0</v>
      </c>
      <c r="Y161" s="19">
        <v>0</v>
      </c>
      <c r="Z161" s="23">
        <v>0</v>
      </c>
      <c r="AA161" s="24">
        <v>0</v>
      </c>
      <c r="AB161" s="33">
        <v>0</v>
      </c>
      <c r="AC161" s="34">
        <v>0</v>
      </c>
      <c r="AD161" s="35">
        <v>0</v>
      </c>
      <c r="AE161" s="36">
        <v>0</v>
      </c>
      <c r="AF161" s="23">
        <v>0</v>
      </c>
      <c r="AG161" s="24">
        <v>0</v>
      </c>
      <c r="AH161" s="33">
        <v>0</v>
      </c>
      <c r="AI161" s="37">
        <v>0</v>
      </c>
      <c r="AJ161" s="35">
        <v>0</v>
      </c>
      <c r="AK161" s="36">
        <v>0</v>
      </c>
      <c r="AL161" s="38">
        <v>0</v>
      </c>
      <c r="AM161" s="35">
        <v>0</v>
      </c>
      <c r="AN161" s="19">
        <v>0</v>
      </c>
      <c r="AO161" s="23">
        <v>0</v>
      </c>
      <c r="AP161" s="24">
        <v>0</v>
      </c>
      <c r="AQ161" s="58">
        <f t="shared" si="10"/>
        <v>1.44</v>
      </c>
      <c r="AR161" s="59">
        <f t="shared" si="11"/>
        <v>3600</v>
      </c>
      <c r="AS161" s="35">
        <v>2</v>
      </c>
    </row>
    <row r="162" spans="1:45" ht="16" x14ac:dyDescent="0.2">
      <c r="A162" s="53">
        <v>158</v>
      </c>
      <c r="B162" s="55" t="s">
        <v>178</v>
      </c>
      <c r="C162" s="54" t="s">
        <v>183</v>
      </c>
      <c r="D162" s="350"/>
      <c r="E162" s="53"/>
      <c r="F162" s="56"/>
      <c r="G162" s="53"/>
      <c r="H162" s="56"/>
      <c r="I162" s="57"/>
      <c r="J162" s="53"/>
      <c r="K162" s="56"/>
      <c r="L162" s="57"/>
      <c r="M162" s="58"/>
      <c r="N162" s="56"/>
      <c r="O162" s="57"/>
      <c r="P162" s="58">
        <f t="shared" si="8"/>
        <v>3.6</v>
      </c>
      <c r="Q162" s="59">
        <f t="shared" si="9"/>
        <v>9000</v>
      </c>
      <c r="R162" s="35">
        <v>5</v>
      </c>
      <c r="S162" s="19">
        <v>0</v>
      </c>
      <c r="T162" s="23">
        <v>0</v>
      </c>
      <c r="U162" s="24">
        <v>0</v>
      </c>
      <c r="V162" s="33">
        <v>0</v>
      </c>
      <c r="W162" s="34">
        <v>0</v>
      </c>
      <c r="X162" s="35">
        <v>0</v>
      </c>
      <c r="Y162" s="19">
        <v>0</v>
      </c>
      <c r="Z162" s="23">
        <v>0</v>
      </c>
      <c r="AA162" s="24">
        <v>0</v>
      </c>
      <c r="AB162" s="33">
        <v>0</v>
      </c>
      <c r="AC162" s="34">
        <v>0</v>
      </c>
      <c r="AD162" s="35">
        <v>0</v>
      </c>
      <c r="AE162" s="36">
        <v>0</v>
      </c>
      <c r="AF162" s="23">
        <v>0</v>
      </c>
      <c r="AG162" s="24">
        <v>0</v>
      </c>
      <c r="AH162" s="33">
        <v>0</v>
      </c>
      <c r="AI162" s="37">
        <v>0</v>
      </c>
      <c r="AJ162" s="35">
        <v>0</v>
      </c>
      <c r="AK162" s="36">
        <v>0</v>
      </c>
      <c r="AL162" s="38">
        <v>0</v>
      </c>
      <c r="AM162" s="35">
        <v>0</v>
      </c>
      <c r="AN162" s="19">
        <v>0</v>
      </c>
      <c r="AO162" s="23">
        <v>0</v>
      </c>
      <c r="AP162" s="24">
        <v>0</v>
      </c>
      <c r="AQ162" s="58">
        <f t="shared" si="10"/>
        <v>3.6</v>
      </c>
      <c r="AR162" s="59">
        <f t="shared" si="11"/>
        <v>9000</v>
      </c>
      <c r="AS162" s="35">
        <v>5</v>
      </c>
    </row>
    <row r="163" spans="1:45" ht="16" x14ac:dyDescent="0.2">
      <c r="A163" s="53">
        <v>159</v>
      </c>
      <c r="B163" s="55" t="s">
        <v>178</v>
      </c>
      <c r="C163" s="54" t="s">
        <v>184</v>
      </c>
      <c r="D163" s="350"/>
      <c r="E163" s="53"/>
      <c r="F163" s="56"/>
      <c r="G163" s="53"/>
      <c r="H163" s="56"/>
      <c r="I163" s="57"/>
      <c r="J163" s="53"/>
      <c r="K163" s="56"/>
      <c r="L163" s="57"/>
      <c r="M163" s="58"/>
      <c r="N163" s="56"/>
      <c r="O163" s="57"/>
      <c r="P163" s="58">
        <f t="shared" si="8"/>
        <v>6.48</v>
      </c>
      <c r="Q163" s="59">
        <f t="shared" si="9"/>
        <v>16200</v>
      </c>
      <c r="R163" s="35">
        <v>9</v>
      </c>
      <c r="S163" s="19">
        <v>0</v>
      </c>
      <c r="T163" s="23">
        <v>0</v>
      </c>
      <c r="U163" s="24">
        <v>0</v>
      </c>
      <c r="V163" s="33">
        <v>0</v>
      </c>
      <c r="W163" s="34">
        <v>0</v>
      </c>
      <c r="X163" s="35">
        <v>0</v>
      </c>
      <c r="Y163" s="19">
        <v>0</v>
      </c>
      <c r="Z163" s="23">
        <v>0</v>
      </c>
      <c r="AA163" s="24">
        <v>0</v>
      </c>
      <c r="AB163" s="33">
        <v>0</v>
      </c>
      <c r="AC163" s="34">
        <v>0</v>
      </c>
      <c r="AD163" s="35">
        <v>0</v>
      </c>
      <c r="AE163" s="36">
        <v>0</v>
      </c>
      <c r="AF163" s="23">
        <v>0</v>
      </c>
      <c r="AG163" s="24">
        <v>0</v>
      </c>
      <c r="AH163" s="33">
        <v>0</v>
      </c>
      <c r="AI163" s="37">
        <v>0</v>
      </c>
      <c r="AJ163" s="35">
        <v>0</v>
      </c>
      <c r="AK163" s="36">
        <v>0</v>
      </c>
      <c r="AL163" s="38">
        <v>0</v>
      </c>
      <c r="AM163" s="35">
        <v>0</v>
      </c>
      <c r="AN163" s="19">
        <v>0</v>
      </c>
      <c r="AO163" s="23">
        <v>0</v>
      </c>
      <c r="AP163" s="24">
        <v>0</v>
      </c>
      <c r="AQ163" s="58">
        <f t="shared" si="10"/>
        <v>6.48</v>
      </c>
      <c r="AR163" s="59">
        <f t="shared" si="11"/>
        <v>16200</v>
      </c>
      <c r="AS163" s="35">
        <v>9</v>
      </c>
    </row>
    <row r="164" spans="1:45" ht="16" x14ac:dyDescent="0.2">
      <c r="A164" s="53">
        <v>160</v>
      </c>
      <c r="B164" s="55" t="s">
        <v>178</v>
      </c>
      <c r="C164" s="54" t="s">
        <v>185</v>
      </c>
      <c r="D164" s="350"/>
      <c r="E164" s="53"/>
      <c r="F164" s="56"/>
      <c r="G164" s="53"/>
      <c r="H164" s="56"/>
      <c r="I164" s="57"/>
      <c r="J164" s="53"/>
      <c r="K164" s="56"/>
      <c r="L164" s="57"/>
      <c r="M164" s="58"/>
      <c r="N164" s="56"/>
      <c r="O164" s="57"/>
      <c r="P164" s="58">
        <f t="shared" si="8"/>
        <v>0.72</v>
      </c>
      <c r="Q164" s="59">
        <f t="shared" si="9"/>
        <v>1800</v>
      </c>
      <c r="R164" s="35">
        <v>1</v>
      </c>
      <c r="S164" s="19">
        <v>0</v>
      </c>
      <c r="T164" s="23">
        <v>0</v>
      </c>
      <c r="U164" s="24">
        <v>0</v>
      </c>
      <c r="V164" s="33">
        <v>0</v>
      </c>
      <c r="W164" s="34">
        <v>0</v>
      </c>
      <c r="X164" s="35">
        <v>0</v>
      </c>
      <c r="Y164" s="19">
        <v>0</v>
      </c>
      <c r="Z164" s="23">
        <v>0</v>
      </c>
      <c r="AA164" s="24">
        <v>0</v>
      </c>
      <c r="AB164" s="33">
        <v>0</v>
      </c>
      <c r="AC164" s="34">
        <v>0</v>
      </c>
      <c r="AD164" s="35">
        <v>0</v>
      </c>
      <c r="AE164" s="36">
        <v>0</v>
      </c>
      <c r="AF164" s="23">
        <v>0</v>
      </c>
      <c r="AG164" s="24">
        <v>0</v>
      </c>
      <c r="AH164" s="33">
        <v>0</v>
      </c>
      <c r="AI164" s="37">
        <v>0</v>
      </c>
      <c r="AJ164" s="35">
        <v>0</v>
      </c>
      <c r="AK164" s="36">
        <v>0</v>
      </c>
      <c r="AL164" s="38">
        <v>0</v>
      </c>
      <c r="AM164" s="35">
        <v>0</v>
      </c>
      <c r="AN164" s="19">
        <v>0</v>
      </c>
      <c r="AO164" s="23">
        <v>0</v>
      </c>
      <c r="AP164" s="24">
        <v>0</v>
      </c>
      <c r="AQ164" s="58">
        <f t="shared" si="10"/>
        <v>0.72</v>
      </c>
      <c r="AR164" s="59">
        <f t="shared" si="11"/>
        <v>1800</v>
      </c>
      <c r="AS164" s="35">
        <v>1</v>
      </c>
    </row>
    <row r="165" spans="1:45" ht="16" x14ac:dyDescent="0.2">
      <c r="A165" s="53">
        <v>161</v>
      </c>
      <c r="B165" s="55" t="s">
        <v>178</v>
      </c>
      <c r="C165" s="54" t="s">
        <v>186</v>
      </c>
      <c r="D165" s="350"/>
      <c r="E165" s="53"/>
      <c r="F165" s="56"/>
      <c r="G165" s="53"/>
      <c r="H165" s="56"/>
      <c r="I165" s="57"/>
      <c r="J165" s="53"/>
      <c r="K165" s="56"/>
      <c r="L165" s="57"/>
      <c r="M165" s="58"/>
      <c r="N165" s="56"/>
      <c r="O165" s="57"/>
      <c r="P165" s="58">
        <f t="shared" si="8"/>
        <v>7.2</v>
      </c>
      <c r="Q165" s="59">
        <f t="shared" si="9"/>
        <v>18000</v>
      </c>
      <c r="R165" s="35">
        <v>10</v>
      </c>
      <c r="S165" s="19">
        <v>0</v>
      </c>
      <c r="T165" s="23">
        <v>0</v>
      </c>
      <c r="U165" s="24">
        <v>0</v>
      </c>
      <c r="V165" s="33">
        <v>0</v>
      </c>
      <c r="W165" s="34">
        <v>0</v>
      </c>
      <c r="X165" s="35">
        <v>0</v>
      </c>
      <c r="Y165" s="19">
        <v>0</v>
      </c>
      <c r="Z165" s="23">
        <v>0</v>
      </c>
      <c r="AA165" s="24">
        <v>0</v>
      </c>
      <c r="AB165" s="33">
        <v>0</v>
      </c>
      <c r="AC165" s="34">
        <v>0</v>
      </c>
      <c r="AD165" s="35">
        <v>0</v>
      </c>
      <c r="AE165" s="36">
        <v>0</v>
      </c>
      <c r="AF165" s="23">
        <v>0</v>
      </c>
      <c r="AG165" s="24">
        <v>0</v>
      </c>
      <c r="AH165" s="33">
        <v>0</v>
      </c>
      <c r="AI165" s="37">
        <v>0</v>
      </c>
      <c r="AJ165" s="35">
        <v>0</v>
      </c>
      <c r="AK165" s="36">
        <v>0</v>
      </c>
      <c r="AL165" s="38">
        <v>0</v>
      </c>
      <c r="AM165" s="35">
        <v>0</v>
      </c>
      <c r="AN165" s="19">
        <v>0</v>
      </c>
      <c r="AO165" s="23">
        <v>0</v>
      </c>
      <c r="AP165" s="24">
        <v>0</v>
      </c>
      <c r="AQ165" s="58">
        <f t="shared" si="10"/>
        <v>7.2</v>
      </c>
      <c r="AR165" s="59">
        <f t="shared" si="11"/>
        <v>18000</v>
      </c>
      <c r="AS165" s="35">
        <v>10</v>
      </c>
    </row>
    <row r="166" spans="1:45" ht="16" x14ac:dyDescent="0.2">
      <c r="A166" s="53">
        <v>162</v>
      </c>
      <c r="B166" s="55" t="s">
        <v>178</v>
      </c>
      <c r="C166" s="54" t="s">
        <v>187</v>
      </c>
      <c r="D166" s="350"/>
      <c r="E166" s="53"/>
      <c r="F166" s="56"/>
      <c r="G166" s="53"/>
      <c r="H166" s="56"/>
      <c r="I166" s="57"/>
      <c r="J166" s="53"/>
      <c r="K166" s="56"/>
      <c r="L166" s="57"/>
      <c r="M166" s="58"/>
      <c r="N166" s="56"/>
      <c r="O166" s="57"/>
      <c r="P166" s="58">
        <f t="shared" si="8"/>
        <v>5.04</v>
      </c>
      <c r="Q166" s="59">
        <f t="shared" si="9"/>
        <v>12600</v>
      </c>
      <c r="R166" s="35">
        <v>7</v>
      </c>
      <c r="S166" s="19">
        <v>0</v>
      </c>
      <c r="T166" s="23">
        <v>0</v>
      </c>
      <c r="U166" s="24">
        <v>0</v>
      </c>
      <c r="V166" s="33">
        <v>0</v>
      </c>
      <c r="W166" s="34">
        <v>0</v>
      </c>
      <c r="X166" s="35">
        <v>0</v>
      </c>
      <c r="Y166" s="19">
        <v>0</v>
      </c>
      <c r="Z166" s="23">
        <v>0</v>
      </c>
      <c r="AA166" s="24">
        <v>0</v>
      </c>
      <c r="AB166" s="33">
        <v>0</v>
      </c>
      <c r="AC166" s="34">
        <v>0</v>
      </c>
      <c r="AD166" s="35">
        <v>0</v>
      </c>
      <c r="AE166" s="36">
        <v>0</v>
      </c>
      <c r="AF166" s="23">
        <v>0</v>
      </c>
      <c r="AG166" s="24">
        <v>0</v>
      </c>
      <c r="AH166" s="33">
        <v>0</v>
      </c>
      <c r="AI166" s="37">
        <v>0</v>
      </c>
      <c r="AJ166" s="35">
        <v>0</v>
      </c>
      <c r="AK166" s="36">
        <v>0</v>
      </c>
      <c r="AL166" s="38">
        <v>0</v>
      </c>
      <c r="AM166" s="35">
        <v>0</v>
      </c>
      <c r="AN166" s="19">
        <v>0</v>
      </c>
      <c r="AO166" s="23">
        <v>0</v>
      </c>
      <c r="AP166" s="24">
        <v>0</v>
      </c>
      <c r="AQ166" s="58">
        <f t="shared" si="10"/>
        <v>5.04</v>
      </c>
      <c r="AR166" s="59">
        <f t="shared" si="11"/>
        <v>12600</v>
      </c>
      <c r="AS166" s="35">
        <v>7</v>
      </c>
    </row>
    <row r="167" spans="1:45" ht="16" x14ac:dyDescent="0.2">
      <c r="A167" s="53">
        <v>163</v>
      </c>
      <c r="B167" s="55" t="s">
        <v>178</v>
      </c>
      <c r="C167" s="54" t="s">
        <v>94</v>
      </c>
      <c r="D167" s="350"/>
      <c r="E167" s="53"/>
      <c r="F167" s="56"/>
      <c r="G167" s="53"/>
      <c r="H167" s="56"/>
      <c r="I167" s="57"/>
      <c r="J167" s="53"/>
      <c r="K167" s="56"/>
      <c r="L167" s="57"/>
      <c r="M167" s="58"/>
      <c r="N167" s="56"/>
      <c r="O167" s="57"/>
      <c r="P167" s="58">
        <f t="shared" si="8"/>
        <v>0</v>
      </c>
      <c r="Q167" s="59">
        <f t="shared" si="9"/>
        <v>0</v>
      </c>
      <c r="R167" s="35">
        <v>0</v>
      </c>
      <c r="S167" s="19">
        <v>0</v>
      </c>
      <c r="T167" s="23">
        <v>0</v>
      </c>
      <c r="U167" s="24">
        <v>0</v>
      </c>
      <c r="V167" s="33">
        <v>0</v>
      </c>
      <c r="W167" s="34">
        <v>0</v>
      </c>
      <c r="X167" s="35">
        <v>0</v>
      </c>
      <c r="Y167" s="19">
        <v>0</v>
      </c>
      <c r="Z167" s="23">
        <v>0</v>
      </c>
      <c r="AA167" s="24">
        <v>0</v>
      </c>
      <c r="AB167" s="33">
        <v>0</v>
      </c>
      <c r="AC167" s="34">
        <v>0</v>
      </c>
      <c r="AD167" s="35">
        <v>0</v>
      </c>
      <c r="AE167" s="36">
        <v>0</v>
      </c>
      <c r="AF167" s="23">
        <v>0</v>
      </c>
      <c r="AG167" s="24">
        <v>0</v>
      </c>
      <c r="AH167" s="33">
        <v>0</v>
      </c>
      <c r="AI167" s="37">
        <v>0</v>
      </c>
      <c r="AJ167" s="35">
        <v>0</v>
      </c>
      <c r="AK167" s="36">
        <v>0</v>
      </c>
      <c r="AL167" s="38">
        <v>0</v>
      </c>
      <c r="AM167" s="35">
        <v>0</v>
      </c>
      <c r="AN167" s="19">
        <v>0</v>
      </c>
      <c r="AO167" s="23">
        <v>0</v>
      </c>
      <c r="AP167" s="24">
        <v>0</v>
      </c>
      <c r="AQ167" s="58">
        <f t="shared" si="10"/>
        <v>0</v>
      </c>
      <c r="AR167" s="59">
        <f t="shared" si="11"/>
        <v>0</v>
      </c>
      <c r="AS167" s="35">
        <v>0</v>
      </c>
    </row>
    <row r="168" spans="1:45" ht="16" x14ac:dyDescent="0.2">
      <c r="A168" s="53">
        <v>164</v>
      </c>
      <c r="B168" s="55" t="s">
        <v>178</v>
      </c>
      <c r="C168" s="54" t="s">
        <v>188</v>
      </c>
      <c r="D168" s="350"/>
      <c r="E168" s="53"/>
      <c r="F168" s="56"/>
      <c r="G168" s="53"/>
      <c r="H168" s="56"/>
      <c r="I168" s="57"/>
      <c r="J168" s="53"/>
      <c r="K168" s="56"/>
      <c r="L168" s="57"/>
      <c r="M168" s="58"/>
      <c r="N168" s="56"/>
      <c r="O168" s="57"/>
      <c r="P168" s="58">
        <f t="shared" si="8"/>
        <v>11.52</v>
      </c>
      <c r="Q168" s="59">
        <f t="shared" si="9"/>
        <v>28800</v>
      </c>
      <c r="R168" s="35">
        <v>16</v>
      </c>
      <c r="S168" s="19">
        <v>0</v>
      </c>
      <c r="T168" s="23">
        <v>0</v>
      </c>
      <c r="U168" s="24">
        <v>0</v>
      </c>
      <c r="V168" s="33">
        <v>0</v>
      </c>
      <c r="W168" s="34">
        <v>0</v>
      </c>
      <c r="X168" s="35">
        <v>0</v>
      </c>
      <c r="Y168" s="19">
        <v>0</v>
      </c>
      <c r="Z168" s="23">
        <v>0</v>
      </c>
      <c r="AA168" s="24">
        <v>0</v>
      </c>
      <c r="AB168" s="33">
        <v>0</v>
      </c>
      <c r="AC168" s="34">
        <v>0</v>
      </c>
      <c r="AD168" s="35">
        <v>0</v>
      </c>
      <c r="AE168" s="36">
        <v>0</v>
      </c>
      <c r="AF168" s="23">
        <v>0</v>
      </c>
      <c r="AG168" s="24">
        <v>0</v>
      </c>
      <c r="AH168" s="33">
        <v>0</v>
      </c>
      <c r="AI168" s="37">
        <v>0</v>
      </c>
      <c r="AJ168" s="35">
        <v>0</v>
      </c>
      <c r="AK168" s="36">
        <v>0</v>
      </c>
      <c r="AL168" s="38">
        <v>0</v>
      </c>
      <c r="AM168" s="35">
        <v>0</v>
      </c>
      <c r="AN168" s="19">
        <v>0</v>
      </c>
      <c r="AO168" s="23">
        <v>0</v>
      </c>
      <c r="AP168" s="24">
        <v>0</v>
      </c>
      <c r="AQ168" s="58">
        <f t="shared" si="10"/>
        <v>11.52</v>
      </c>
      <c r="AR168" s="59">
        <f t="shared" si="11"/>
        <v>28800</v>
      </c>
      <c r="AS168" s="35">
        <v>16</v>
      </c>
    </row>
    <row r="169" spans="1:45" ht="16" x14ac:dyDescent="0.2">
      <c r="A169" s="53">
        <v>165</v>
      </c>
      <c r="B169" s="55" t="s">
        <v>178</v>
      </c>
      <c r="C169" s="54" t="s">
        <v>189</v>
      </c>
      <c r="D169" s="350"/>
      <c r="E169" s="53"/>
      <c r="F169" s="56"/>
      <c r="G169" s="53"/>
      <c r="H169" s="56"/>
      <c r="I169" s="57"/>
      <c r="J169" s="53"/>
      <c r="K169" s="56"/>
      <c r="L169" s="57"/>
      <c r="M169" s="58"/>
      <c r="N169" s="56"/>
      <c r="O169" s="57"/>
      <c r="P169" s="58">
        <f t="shared" si="8"/>
        <v>0.72</v>
      </c>
      <c r="Q169" s="59">
        <f t="shared" si="9"/>
        <v>1800</v>
      </c>
      <c r="R169" s="35">
        <v>1</v>
      </c>
      <c r="S169" s="19">
        <v>0</v>
      </c>
      <c r="T169" s="23">
        <v>0</v>
      </c>
      <c r="U169" s="24">
        <v>0</v>
      </c>
      <c r="V169" s="33">
        <v>0</v>
      </c>
      <c r="W169" s="34">
        <v>0</v>
      </c>
      <c r="X169" s="35">
        <v>0</v>
      </c>
      <c r="Y169" s="19">
        <v>0</v>
      </c>
      <c r="Z169" s="23">
        <v>0</v>
      </c>
      <c r="AA169" s="24">
        <v>0</v>
      </c>
      <c r="AB169" s="33">
        <v>0</v>
      </c>
      <c r="AC169" s="34">
        <v>0</v>
      </c>
      <c r="AD169" s="35">
        <v>0</v>
      </c>
      <c r="AE169" s="36">
        <v>0</v>
      </c>
      <c r="AF169" s="23">
        <v>0</v>
      </c>
      <c r="AG169" s="24">
        <v>0</v>
      </c>
      <c r="AH169" s="33">
        <v>0</v>
      </c>
      <c r="AI169" s="37">
        <v>0</v>
      </c>
      <c r="AJ169" s="35">
        <v>0</v>
      </c>
      <c r="AK169" s="36">
        <v>0</v>
      </c>
      <c r="AL169" s="38">
        <v>0</v>
      </c>
      <c r="AM169" s="35">
        <v>0</v>
      </c>
      <c r="AN169" s="19">
        <v>0</v>
      </c>
      <c r="AO169" s="23">
        <v>0</v>
      </c>
      <c r="AP169" s="24">
        <v>0</v>
      </c>
      <c r="AQ169" s="58">
        <f t="shared" si="10"/>
        <v>0.72</v>
      </c>
      <c r="AR169" s="59">
        <f t="shared" si="11"/>
        <v>1800</v>
      </c>
      <c r="AS169" s="35">
        <v>1</v>
      </c>
    </row>
    <row r="170" spans="1:45" ht="16" x14ac:dyDescent="0.2">
      <c r="A170" s="53">
        <v>166</v>
      </c>
      <c r="B170" s="55" t="s">
        <v>178</v>
      </c>
      <c r="C170" s="54" t="s">
        <v>190</v>
      </c>
      <c r="D170" s="350"/>
      <c r="E170" s="53"/>
      <c r="F170" s="56"/>
      <c r="G170" s="53"/>
      <c r="H170" s="56"/>
      <c r="I170" s="57"/>
      <c r="J170" s="53"/>
      <c r="K170" s="56"/>
      <c r="L170" s="57"/>
      <c r="M170" s="58"/>
      <c r="N170" s="56"/>
      <c r="O170" s="57"/>
      <c r="P170" s="58">
        <f t="shared" si="8"/>
        <v>2.16</v>
      </c>
      <c r="Q170" s="59">
        <f t="shared" si="9"/>
        <v>5400</v>
      </c>
      <c r="R170" s="35">
        <v>3</v>
      </c>
      <c r="S170" s="19">
        <v>0</v>
      </c>
      <c r="T170" s="23">
        <v>0</v>
      </c>
      <c r="U170" s="24">
        <v>0</v>
      </c>
      <c r="V170" s="33">
        <v>0</v>
      </c>
      <c r="W170" s="34">
        <v>0</v>
      </c>
      <c r="X170" s="35">
        <v>0</v>
      </c>
      <c r="Y170" s="19">
        <v>0</v>
      </c>
      <c r="Z170" s="23">
        <v>0</v>
      </c>
      <c r="AA170" s="24">
        <v>0</v>
      </c>
      <c r="AB170" s="33">
        <v>0</v>
      </c>
      <c r="AC170" s="34">
        <v>0</v>
      </c>
      <c r="AD170" s="35">
        <v>0</v>
      </c>
      <c r="AE170" s="36">
        <v>0</v>
      </c>
      <c r="AF170" s="23">
        <v>0</v>
      </c>
      <c r="AG170" s="24">
        <v>0</v>
      </c>
      <c r="AH170" s="33">
        <v>0</v>
      </c>
      <c r="AI170" s="37">
        <v>0</v>
      </c>
      <c r="AJ170" s="35">
        <v>0</v>
      </c>
      <c r="AK170" s="36">
        <v>0</v>
      </c>
      <c r="AL170" s="38">
        <v>0</v>
      </c>
      <c r="AM170" s="35">
        <v>0</v>
      </c>
      <c r="AN170" s="19">
        <v>0</v>
      </c>
      <c r="AO170" s="23">
        <v>0</v>
      </c>
      <c r="AP170" s="24">
        <v>0</v>
      </c>
      <c r="AQ170" s="58">
        <f t="shared" si="10"/>
        <v>2.16</v>
      </c>
      <c r="AR170" s="59">
        <f t="shared" si="11"/>
        <v>5400</v>
      </c>
      <c r="AS170" s="35">
        <v>3</v>
      </c>
    </row>
    <row r="171" spans="1:45" ht="16" x14ac:dyDescent="0.2">
      <c r="A171" s="53">
        <v>167</v>
      </c>
      <c r="B171" s="55" t="s">
        <v>191</v>
      </c>
      <c r="C171" s="54" t="s">
        <v>192</v>
      </c>
      <c r="D171" s="350"/>
      <c r="E171" s="53"/>
      <c r="F171" s="56"/>
      <c r="G171" s="53"/>
      <c r="H171" s="56"/>
      <c r="I171" s="57"/>
      <c r="J171" s="53"/>
      <c r="K171" s="56"/>
      <c r="L171" s="57"/>
      <c r="M171" s="58"/>
      <c r="N171" s="56"/>
      <c r="O171" s="57"/>
      <c r="P171" s="58">
        <f t="shared" si="8"/>
        <v>0</v>
      </c>
      <c r="Q171" s="59">
        <f t="shared" si="9"/>
        <v>0</v>
      </c>
      <c r="R171" s="35">
        <v>0</v>
      </c>
      <c r="S171" s="19">
        <v>0</v>
      </c>
      <c r="T171" s="23">
        <v>0</v>
      </c>
      <c r="U171" s="24">
        <v>0</v>
      </c>
      <c r="V171" s="33">
        <v>0</v>
      </c>
      <c r="W171" s="34">
        <v>0</v>
      </c>
      <c r="X171" s="35">
        <v>0</v>
      </c>
      <c r="Y171" s="19">
        <v>0</v>
      </c>
      <c r="Z171" s="23">
        <v>0</v>
      </c>
      <c r="AA171" s="24">
        <v>0</v>
      </c>
      <c r="AB171" s="33">
        <v>0</v>
      </c>
      <c r="AC171" s="34">
        <v>0</v>
      </c>
      <c r="AD171" s="35">
        <v>0</v>
      </c>
      <c r="AE171" s="36">
        <v>0</v>
      </c>
      <c r="AF171" s="23">
        <v>0</v>
      </c>
      <c r="AG171" s="24">
        <v>0</v>
      </c>
      <c r="AH171" s="33">
        <v>0</v>
      </c>
      <c r="AI171" s="37">
        <v>0</v>
      </c>
      <c r="AJ171" s="35">
        <v>0</v>
      </c>
      <c r="AK171" s="36">
        <v>0</v>
      </c>
      <c r="AL171" s="38">
        <v>0</v>
      </c>
      <c r="AM171" s="35">
        <v>0</v>
      </c>
      <c r="AN171" s="19">
        <v>0</v>
      </c>
      <c r="AO171" s="23">
        <v>0</v>
      </c>
      <c r="AP171" s="24">
        <v>0</v>
      </c>
      <c r="AQ171" s="58">
        <f t="shared" si="10"/>
        <v>0</v>
      </c>
      <c r="AR171" s="59">
        <f t="shared" si="11"/>
        <v>0</v>
      </c>
      <c r="AS171" s="35">
        <v>0</v>
      </c>
    </row>
    <row r="172" spans="1:45" ht="16" x14ac:dyDescent="0.2">
      <c r="A172" s="53">
        <v>168</v>
      </c>
      <c r="B172" s="55" t="s">
        <v>191</v>
      </c>
      <c r="C172" s="54" t="s">
        <v>193</v>
      </c>
      <c r="D172" s="350"/>
      <c r="E172" s="53"/>
      <c r="F172" s="56"/>
      <c r="G172" s="53"/>
      <c r="H172" s="56"/>
      <c r="I172" s="57"/>
      <c r="J172" s="53"/>
      <c r="K172" s="56"/>
      <c r="L172" s="57"/>
      <c r="M172" s="58"/>
      <c r="N172" s="56"/>
      <c r="O172" s="57"/>
      <c r="P172" s="58">
        <f t="shared" si="8"/>
        <v>0</v>
      </c>
      <c r="Q172" s="59">
        <f t="shared" si="9"/>
        <v>0</v>
      </c>
      <c r="R172" s="35">
        <v>0</v>
      </c>
      <c r="S172" s="19">
        <v>0</v>
      </c>
      <c r="T172" s="23">
        <v>0</v>
      </c>
      <c r="U172" s="24">
        <v>0</v>
      </c>
      <c r="V172" s="33">
        <v>0</v>
      </c>
      <c r="W172" s="34">
        <v>0</v>
      </c>
      <c r="X172" s="35">
        <v>0</v>
      </c>
      <c r="Y172" s="19">
        <v>0</v>
      </c>
      <c r="Z172" s="23">
        <v>0</v>
      </c>
      <c r="AA172" s="24">
        <v>0</v>
      </c>
      <c r="AB172" s="33">
        <v>0</v>
      </c>
      <c r="AC172" s="34">
        <v>0</v>
      </c>
      <c r="AD172" s="35">
        <v>0</v>
      </c>
      <c r="AE172" s="36">
        <v>0</v>
      </c>
      <c r="AF172" s="23">
        <v>0</v>
      </c>
      <c r="AG172" s="24">
        <v>0</v>
      </c>
      <c r="AH172" s="33">
        <v>0</v>
      </c>
      <c r="AI172" s="37">
        <v>0</v>
      </c>
      <c r="AJ172" s="35">
        <v>0</v>
      </c>
      <c r="AK172" s="36">
        <v>0</v>
      </c>
      <c r="AL172" s="38">
        <v>0</v>
      </c>
      <c r="AM172" s="35">
        <v>0</v>
      </c>
      <c r="AN172" s="19">
        <v>0</v>
      </c>
      <c r="AO172" s="23">
        <v>0</v>
      </c>
      <c r="AP172" s="24">
        <v>0</v>
      </c>
      <c r="AQ172" s="58">
        <f t="shared" si="10"/>
        <v>0</v>
      </c>
      <c r="AR172" s="59">
        <f t="shared" si="11"/>
        <v>0</v>
      </c>
      <c r="AS172" s="35">
        <v>0</v>
      </c>
    </row>
    <row r="173" spans="1:45" ht="16" x14ac:dyDescent="0.2">
      <c r="A173" s="53">
        <v>169</v>
      </c>
      <c r="B173" s="55" t="s">
        <v>191</v>
      </c>
      <c r="C173" s="54" t="s">
        <v>194</v>
      </c>
      <c r="D173" s="350"/>
      <c r="E173" s="53"/>
      <c r="F173" s="56"/>
      <c r="G173" s="53"/>
      <c r="H173" s="56"/>
      <c r="I173" s="57"/>
      <c r="J173" s="53"/>
      <c r="K173" s="56"/>
      <c r="L173" s="57"/>
      <c r="M173" s="58"/>
      <c r="N173" s="56"/>
      <c r="O173" s="57"/>
      <c r="P173" s="58">
        <f t="shared" si="8"/>
        <v>0.72</v>
      </c>
      <c r="Q173" s="59">
        <f t="shared" si="9"/>
        <v>1800</v>
      </c>
      <c r="R173" s="35">
        <v>1</v>
      </c>
      <c r="S173" s="19">
        <v>0</v>
      </c>
      <c r="T173" s="23">
        <v>0</v>
      </c>
      <c r="U173" s="24">
        <v>0</v>
      </c>
      <c r="V173" s="33">
        <v>0</v>
      </c>
      <c r="W173" s="34">
        <v>0</v>
      </c>
      <c r="X173" s="35">
        <v>0</v>
      </c>
      <c r="Y173" s="19">
        <v>0</v>
      </c>
      <c r="Z173" s="23">
        <v>0</v>
      </c>
      <c r="AA173" s="24">
        <v>0</v>
      </c>
      <c r="AB173" s="33">
        <v>0</v>
      </c>
      <c r="AC173" s="34">
        <v>0</v>
      </c>
      <c r="AD173" s="35">
        <v>0</v>
      </c>
      <c r="AE173" s="36">
        <v>0</v>
      </c>
      <c r="AF173" s="23">
        <v>0</v>
      </c>
      <c r="AG173" s="24">
        <v>0</v>
      </c>
      <c r="AH173" s="33">
        <v>0</v>
      </c>
      <c r="AI173" s="37">
        <v>0</v>
      </c>
      <c r="AJ173" s="35">
        <v>0</v>
      </c>
      <c r="AK173" s="36">
        <v>0</v>
      </c>
      <c r="AL173" s="38">
        <v>0</v>
      </c>
      <c r="AM173" s="35">
        <v>0</v>
      </c>
      <c r="AN173" s="19">
        <v>0</v>
      </c>
      <c r="AO173" s="23">
        <v>0</v>
      </c>
      <c r="AP173" s="24">
        <v>0</v>
      </c>
      <c r="AQ173" s="58">
        <f t="shared" si="10"/>
        <v>0.72</v>
      </c>
      <c r="AR173" s="59">
        <f t="shared" si="11"/>
        <v>1800</v>
      </c>
      <c r="AS173" s="35">
        <v>1</v>
      </c>
    </row>
    <row r="174" spans="1:45" ht="16" x14ac:dyDescent="0.2">
      <c r="A174" s="53">
        <v>170</v>
      </c>
      <c r="B174" s="55" t="s">
        <v>191</v>
      </c>
      <c r="C174" s="54" t="s">
        <v>195</v>
      </c>
      <c r="D174" s="350"/>
      <c r="E174" s="53"/>
      <c r="F174" s="56"/>
      <c r="G174" s="53"/>
      <c r="H174" s="56"/>
      <c r="I174" s="57"/>
      <c r="J174" s="53"/>
      <c r="K174" s="56"/>
      <c r="L174" s="57"/>
      <c r="M174" s="58"/>
      <c r="N174" s="56"/>
      <c r="O174" s="57"/>
      <c r="P174" s="58">
        <f t="shared" si="8"/>
        <v>2.88</v>
      </c>
      <c r="Q174" s="59">
        <f t="shared" si="9"/>
        <v>7200</v>
      </c>
      <c r="R174" s="35">
        <v>4</v>
      </c>
      <c r="S174" s="19">
        <v>0</v>
      </c>
      <c r="T174" s="23">
        <v>0</v>
      </c>
      <c r="U174" s="24">
        <v>0</v>
      </c>
      <c r="V174" s="33">
        <v>0</v>
      </c>
      <c r="W174" s="34">
        <v>0</v>
      </c>
      <c r="X174" s="35">
        <v>0</v>
      </c>
      <c r="Y174" s="19">
        <v>0</v>
      </c>
      <c r="Z174" s="23">
        <v>0</v>
      </c>
      <c r="AA174" s="24">
        <v>0</v>
      </c>
      <c r="AB174" s="33">
        <v>0</v>
      </c>
      <c r="AC174" s="34">
        <v>0</v>
      </c>
      <c r="AD174" s="35">
        <v>0</v>
      </c>
      <c r="AE174" s="36">
        <v>0</v>
      </c>
      <c r="AF174" s="23">
        <v>0</v>
      </c>
      <c r="AG174" s="24">
        <v>0</v>
      </c>
      <c r="AH174" s="33">
        <v>0</v>
      </c>
      <c r="AI174" s="37">
        <v>0</v>
      </c>
      <c r="AJ174" s="35">
        <v>0</v>
      </c>
      <c r="AK174" s="36">
        <v>0</v>
      </c>
      <c r="AL174" s="38">
        <v>0</v>
      </c>
      <c r="AM174" s="35">
        <v>0</v>
      </c>
      <c r="AN174" s="19">
        <v>0</v>
      </c>
      <c r="AO174" s="23">
        <v>0</v>
      </c>
      <c r="AP174" s="24">
        <v>0</v>
      </c>
      <c r="AQ174" s="58">
        <f t="shared" si="10"/>
        <v>2.88</v>
      </c>
      <c r="AR174" s="59">
        <f t="shared" si="11"/>
        <v>7200</v>
      </c>
      <c r="AS174" s="35">
        <v>4</v>
      </c>
    </row>
    <row r="175" spans="1:45" ht="16" x14ac:dyDescent="0.2">
      <c r="A175" s="53">
        <v>171</v>
      </c>
      <c r="B175" s="55" t="s">
        <v>191</v>
      </c>
      <c r="C175" s="54" t="s">
        <v>196</v>
      </c>
      <c r="D175" s="350" t="s">
        <v>25</v>
      </c>
      <c r="E175" s="53"/>
      <c r="F175" s="56"/>
      <c r="G175" s="53"/>
      <c r="H175" s="56"/>
      <c r="I175" s="57"/>
      <c r="J175" s="53"/>
      <c r="K175" s="56"/>
      <c r="L175" s="57"/>
      <c r="M175" s="58"/>
      <c r="N175" s="56"/>
      <c r="O175" s="57"/>
      <c r="P175" s="58">
        <f t="shared" si="8"/>
        <v>7.2</v>
      </c>
      <c r="Q175" s="59">
        <f t="shared" si="9"/>
        <v>18000</v>
      </c>
      <c r="R175" s="35">
        <v>10</v>
      </c>
      <c r="S175" s="19">
        <v>0</v>
      </c>
      <c r="T175" s="23">
        <v>0</v>
      </c>
      <c r="U175" s="24">
        <v>0</v>
      </c>
      <c r="V175" s="33">
        <v>0</v>
      </c>
      <c r="W175" s="34">
        <v>0</v>
      </c>
      <c r="X175" s="35">
        <v>0</v>
      </c>
      <c r="Y175" s="19">
        <v>0</v>
      </c>
      <c r="Z175" s="23">
        <v>0</v>
      </c>
      <c r="AA175" s="24">
        <v>0</v>
      </c>
      <c r="AB175" s="33">
        <v>0</v>
      </c>
      <c r="AC175" s="34">
        <v>0</v>
      </c>
      <c r="AD175" s="35">
        <v>0</v>
      </c>
      <c r="AE175" s="36">
        <v>0</v>
      </c>
      <c r="AF175" s="23">
        <v>0</v>
      </c>
      <c r="AG175" s="24">
        <v>0</v>
      </c>
      <c r="AH175" s="33">
        <v>0</v>
      </c>
      <c r="AI175" s="37">
        <v>0</v>
      </c>
      <c r="AJ175" s="35">
        <v>0</v>
      </c>
      <c r="AK175" s="36">
        <v>0</v>
      </c>
      <c r="AL175" s="38">
        <v>0</v>
      </c>
      <c r="AM175" s="35">
        <v>0</v>
      </c>
      <c r="AN175" s="19">
        <v>0</v>
      </c>
      <c r="AO175" s="23">
        <v>0</v>
      </c>
      <c r="AP175" s="24">
        <v>0</v>
      </c>
      <c r="AQ175" s="58">
        <f t="shared" si="10"/>
        <v>7.2</v>
      </c>
      <c r="AR175" s="59">
        <f t="shared" si="11"/>
        <v>18000</v>
      </c>
      <c r="AS175" s="35">
        <v>10</v>
      </c>
    </row>
    <row r="176" spans="1:45" ht="16" x14ac:dyDescent="0.2">
      <c r="A176" s="53">
        <v>172</v>
      </c>
      <c r="B176" s="55" t="s">
        <v>191</v>
      </c>
      <c r="C176" s="54" t="s">
        <v>197</v>
      </c>
      <c r="D176" s="350"/>
      <c r="E176" s="53"/>
      <c r="F176" s="56"/>
      <c r="G176" s="53"/>
      <c r="H176" s="56"/>
      <c r="I176" s="57"/>
      <c r="J176" s="53"/>
      <c r="K176" s="56"/>
      <c r="L176" s="57"/>
      <c r="M176" s="58"/>
      <c r="N176" s="56"/>
      <c r="O176" s="57"/>
      <c r="P176" s="58">
        <f t="shared" si="8"/>
        <v>3.6</v>
      </c>
      <c r="Q176" s="59">
        <f t="shared" si="9"/>
        <v>9000</v>
      </c>
      <c r="R176" s="35">
        <v>5</v>
      </c>
      <c r="S176" s="19">
        <v>0</v>
      </c>
      <c r="T176" s="23">
        <v>0</v>
      </c>
      <c r="U176" s="24">
        <v>0</v>
      </c>
      <c r="V176" s="33">
        <v>0</v>
      </c>
      <c r="W176" s="34">
        <v>0</v>
      </c>
      <c r="X176" s="35">
        <v>0</v>
      </c>
      <c r="Y176" s="19">
        <v>0</v>
      </c>
      <c r="Z176" s="23">
        <v>0</v>
      </c>
      <c r="AA176" s="24">
        <v>0</v>
      </c>
      <c r="AB176" s="33">
        <v>0</v>
      </c>
      <c r="AC176" s="34">
        <v>0</v>
      </c>
      <c r="AD176" s="35">
        <v>0</v>
      </c>
      <c r="AE176" s="36">
        <v>0</v>
      </c>
      <c r="AF176" s="23">
        <v>0</v>
      </c>
      <c r="AG176" s="24">
        <v>0</v>
      </c>
      <c r="AH176" s="33">
        <v>0</v>
      </c>
      <c r="AI176" s="37">
        <v>0</v>
      </c>
      <c r="AJ176" s="35">
        <v>0</v>
      </c>
      <c r="AK176" s="36">
        <v>0</v>
      </c>
      <c r="AL176" s="38">
        <v>0</v>
      </c>
      <c r="AM176" s="35">
        <v>0</v>
      </c>
      <c r="AN176" s="19">
        <v>0</v>
      </c>
      <c r="AO176" s="23">
        <v>0</v>
      </c>
      <c r="AP176" s="24">
        <v>0</v>
      </c>
      <c r="AQ176" s="58">
        <f t="shared" si="10"/>
        <v>3.6</v>
      </c>
      <c r="AR176" s="59">
        <f t="shared" si="11"/>
        <v>9000</v>
      </c>
      <c r="AS176" s="35">
        <v>5</v>
      </c>
    </row>
    <row r="177" spans="1:45" ht="16" x14ac:dyDescent="0.2">
      <c r="A177" s="53">
        <v>173</v>
      </c>
      <c r="B177" s="55" t="s">
        <v>191</v>
      </c>
      <c r="C177" s="54" t="s">
        <v>198</v>
      </c>
      <c r="D177" s="350"/>
      <c r="E177" s="53"/>
      <c r="F177" s="56"/>
      <c r="G177" s="53"/>
      <c r="H177" s="56"/>
      <c r="I177" s="57"/>
      <c r="J177" s="53"/>
      <c r="K177" s="56"/>
      <c r="L177" s="57"/>
      <c r="M177" s="58"/>
      <c r="N177" s="56"/>
      <c r="O177" s="57"/>
      <c r="P177" s="58">
        <f t="shared" si="8"/>
        <v>0</v>
      </c>
      <c r="Q177" s="59">
        <f t="shared" si="9"/>
        <v>0</v>
      </c>
      <c r="R177" s="35">
        <v>0</v>
      </c>
      <c r="S177" s="19">
        <v>0</v>
      </c>
      <c r="T177" s="23">
        <v>0</v>
      </c>
      <c r="U177" s="24">
        <v>0</v>
      </c>
      <c r="V177" s="33">
        <v>0</v>
      </c>
      <c r="W177" s="34">
        <v>0</v>
      </c>
      <c r="X177" s="35">
        <v>0</v>
      </c>
      <c r="Y177" s="19">
        <v>0</v>
      </c>
      <c r="Z177" s="23">
        <v>0</v>
      </c>
      <c r="AA177" s="24">
        <v>0</v>
      </c>
      <c r="AB177" s="33">
        <v>0</v>
      </c>
      <c r="AC177" s="34">
        <v>0</v>
      </c>
      <c r="AD177" s="35">
        <v>0</v>
      </c>
      <c r="AE177" s="36">
        <v>0</v>
      </c>
      <c r="AF177" s="23">
        <v>0</v>
      </c>
      <c r="AG177" s="24">
        <v>0</v>
      </c>
      <c r="AH177" s="33">
        <v>0</v>
      </c>
      <c r="AI177" s="37">
        <v>0</v>
      </c>
      <c r="AJ177" s="35">
        <v>0</v>
      </c>
      <c r="AK177" s="36">
        <v>0</v>
      </c>
      <c r="AL177" s="38">
        <v>0</v>
      </c>
      <c r="AM177" s="35">
        <v>0</v>
      </c>
      <c r="AN177" s="19">
        <v>0</v>
      </c>
      <c r="AO177" s="23">
        <v>0</v>
      </c>
      <c r="AP177" s="24">
        <v>0</v>
      </c>
      <c r="AQ177" s="58">
        <f t="shared" si="10"/>
        <v>0</v>
      </c>
      <c r="AR177" s="59">
        <f t="shared" si="11"/>
        <v>0</v>
      </c>
      <c r="AS177" s="35">
        <v>0</v>
      </c>
    </row>
    <row r="178" spans="1:45" ht="16" x14ac:dyDescent="0.2">
      <c r="A178" s="53">
        <v>174</v>
      </c>
      <c r="B178" s="55" t="s">
        <v>191</v>
      </c>
      <c r="C178" s="54" t="s">
        <v>199</v>
      </c>
      <c r="D178" s="350"/>
      <c r="E178" s="53"/>
      <c r="F178" s="56"/>
      <c r="G178" s="53"/>
      <c r="H178" s="56"/>
      <c r="I178" s="57"/>
      <c r="J178" s="53"/>
      <c r="K178" s="56"/>
      <c r="L178" s="57"/>
      <c r="M178" s="58"/>
      <c r="N178" s="56"/>
      <c r="O178" s="57"/>
      <c r="P178" s="58">
        <f t="shared" si="8"/>
        <v>10.8</v>
      </c>
      <c r="Q178" s="59">
        <f t="shared" si="9"/>
        <v>27000</v>
      </c>
      <c r="R178" s="35">
        <v>15</v>
      </c>
      <c r="S178" s="19">
        <v>0</v>
      </c>
      <c r="T178" s="23">
        <v>0</v>
      </c>
      <c r="U178" s="24">
        <v>0</v>
      </c>
      <c r="V178" s="33">
        <v>0</v>
      </c>
      <c r="W178" s="34">
        <v>0</v>
      </c>
      <c r="X178" s="35">
        <v>0</v>
      </c>
      <c r="Y178" s="19">
        <v>0</v>
      </c>
      <c r="Z178" s="23">
        <v>0</v>
      </c>
      <c r="AA178" s="24">
        <v>0</v>
      </c>
      <c r="AB178" s="33">
        <v>0</v>
      </c>
      <c r="AC178" s="34">
        <v>0</v>
      </c>
      <c r="AD178" s="35">
        <v>0</v>
      </c>
      <c r="AE178" s="36">
        <v>0</v>
      </c>
      <c r="AF178" s="23">
        <v>0</v>
      </c>
      <c r="AG178" s="24">
        <v>0</v>
      </c>
      <c r="AH178" s="33">
        <v>0</v>
      </c>
      <c r="AI178" s="37">
        <v>0</v>
      </c>
      <c r="AJ178" s="35">
        <v>0</v>
      </c>
      <c r="AK178" s="36">
        <v>0</v>
      </c>
      <c r="AL178" s="38">
        <v>0</v>
      </c>
      <c r="AM178" s="35">
        <v>0</v>
      </c>
      <c r="AN178" s="19">
        <v>0</v>
      </c>
      <c r="AO178" s="23">
        <v>0</v>
      </c>
      <c r="AP178" s="24">
        <v>0</v>
      </c>
      <c r="AQ178" s="58">
        <f t="shared" si="10"/>
        <v>10.8</v>
      </c>
      <c r="AR178" s="59">
        <f t="shared" si="11"/>
        <v>27000</v>
      </c>
      <c r="AS178" s="35">
        <v>15</v>
      </c>
    </row>
    <row r="179" spans="1:45" ht="16" x14ac:dyDescent="0.2">
      <c r="A179" s="53">
        <v>175</v>
      </c>
      <c r="B179" s="55" t="s">
        <v>191</v>
      </c>
      <c r="C179" s="54" t="s">
        <v>200</v>
      </c>
      <c r="D179" s="350"/>
      <c r="E179" s="53"/>
      <c r="F179" s="56"/>
      <c r="G179" s="53"/>
      <c r="H179" s="56"/>
      <c r="I179" s="57"/>
      <c r="J179" s="53"/>
      <c r="K179" s="56"/>
      <c r="L179" s="57"/>
      <c r="M179" s="58"/>
      <c r="N179" s="56"/>
      <c r="O179" s="57"/>
      <c r="P179" s="58">
        <f t="shared" si="8"/>
        <v>2.16</v>
      </c>
      <c r="Q179" s="59">
        <f t="shared" si="9"/>
        <v>5400</v>
      </c>
      <c r="R179" s="35">
        <v>3</v>
      </c>
      <c r="S179" s="19">
        <v>0</v>
      </c>
      <c r="T179" s="23">
        <v>0</v>
      </c>
      <c r="U179" s="24">
        <v>0</v>
      </c>
      <c r="V179" s="33">
        <v>0</v>
      </c>
      <c r="W179" s="34">
        <v>0</v>
      </c>
      <c r="X179" s="35">
        <v>0</v>
      </c>
      <c r="Y179" s="19">
        <v>0</v>
      </c>
      <c r="Z179" s="23">
        <v>0</v>
      </c>
      <c r="AA179" s="24">
        <v>0</v>
      </c>
      <c r="AB179" s="33">
        <v>0</v>
      </c>
      <c r="AC179" s="34">
        <v>0</v>
      </c>
      <c r="AD179" s="35">
        <v>0</v>
      </c>
      <c r="AE179" s="36">
        <v>0</v>
      </c>
      <c r="AF179" s="23">
        <v>0</v>
      </c>
      <c r="AG179" s="24">
        <v>0</v>
      </c>
      <c r="AH179" s="33">
        <v>0</v>
      </c>
      <c r="AI179" s="37">
        <v>0</v>
      </c>
      <c r="AJ179" s="35">
        <v>0</v>
      </c>
      <c r="AK179" s="36">
        <v>0</v>
      </c>
      <c r="AL179" s="38">
        <v>0</v>
      </c>
      <c r="AM179" s="35">
        <v>0</v>
      </c>
      <c r="AN179" s="19">
        <v>0</v>
      </c>
      <c r="AO179" s="23">
        <v>0</v>
      </c>
      <c r="AP179" s="24">
        <v>0</v>
      </c>
      <c r="AQ179" s="58">
        <f t="shared" si="10"/>
        <v>2.16</v>
      </c>
      <c r="AR179" s="59">
        <f t="shared" si="11"/>
        <v>5400</v>
      </c>
      <c r="AS179" s="35">
        <v>3</v>
      </c>
    </row>
    <row r="180" spans="1:45" ht="16" x14ac:dyDescent="0.2">
      <c r="A180" s="53">
        <v>176</v>
      </c>
      <c r="B180" s="55" t="s">
        <v>191</v>
      </c>
      <c r="C180" s="54" t="s">
        <v>201</v>
      </c>
      <c r="D180" s="350"/>
      <c r="E180" s="53"/>
      <c r="F180" s="56"/>
      <c r="G180" s="53"/>
      <c r="H180" s="56"/>
      <c r="I180" s="57"/>
      <c r="J180" s="53"/>
      <c r="K180" s="56"/>
      <c r="L180" s="57"/>
      <c r="M180" s="58"/>
      <c r="N180" s="56"/>
      <c r="O180" s="57"/>
      <c r="P180" s="58">
        <f t="shared" si="8"/>
        <v>3.6</v>
      </c>
      <c r="Q180" s="59">
        <f t="shared" si="9"/>
        <v>9000</v>
      </c>
      <c r="R180" s="35">
        <v>5</v>
      </c>
      <c r="S180" s="19">
        <v>0</v>
      </c>
      <c r="T180" s="23">
        <v>0</v>
      </c>
      <c r="U180" s="24">
        <v>0</v>
      </c>
      <c r="V180" s="33">
        <v>0</v>
      </c>
      <c r="W180" s="34">
        <v>0</v>
      </c>
      <c r="X180" s="35">
        <v>0</v>
      </c>
      <c r="Y180" s="19">
        <v>0</v>
      </c>
      <c r="Z180" s="23">
        <v>0</v>
      </c>
      <c r="AA180" s="24">
        <v>0</v>
      </c>
      <c r="AB180" s="33">
        <v>0</v>
      </c>
      <c r="AC180" s="34">
        <v>0</v>
      </c>
      <c r="AD180" s="35">
        <v>0</v>
      </c>
      <c r="AE180" s="36">
        <v>0</v>
      </c>
      <c r="AF180" s="23">
        <v>0</v>
      </c>
      <c r="AG180" s="24">
        <v>0</v>
      </c>
      <c r="AH180" s="33">
        <v>0</v>
      </c>
      <c r="AI180" s="37">
        <v>0</v>
      </c>
      <c r="AJ180" s="35">
        <v>0</v>
      </c>
      <c r="AK180" s="36">
        <v>0</v>
      </c>
      <c r="AL180" s="38">
        <v>0</v>
      </c>
      <c r="AM180" s="35">
        <v>0</v>
      </c>
      <c r="AN180" s="19">
        <v>0</v>
      </c>
      <c r="AO180" s="23">
        <v>0</v>
      </c>
      <c r="AP180" s="24">
        <v>0</v>
      </c>
      <c r="AQ180" s="58">
        <f t="shared" si="10"/>
        <v>3.6</v>
      </c>
      <c r="AR180" s="59">
        <f t="shared" si="11"/>
        <v>9000</v>
      </c>
      <c r="AS180" s="35">
        <v>5</v>
      </c>
    </row>
    <row r="181" spans="1:45" ht="16" x14ac:dyDescent="0.2">
      <c r="A181" s="53">
        <v>177</v>
      </c>
      <c r="B181" s="55" t="s">
        <v>191</v>
      </c>
      <c r="C181" s="54" t="s">
        <v>202</v>
      </c>
      <c r="D181" s="350"/>
      <c r="E181" s="53"/>
      <c r="F181" s="56"/>
      <c r="G181" s="53"/>
      <c r="H181" s="56"/>
      <c r="I181" s="57"/>
      <c r="J181" s="53"/>
      <c r="K181" s="56"/>
      <c r="L181" s="57"/>
      <c r="M181" s="58"/>
      <c r="N181" s="56"/>
      <c r="O181" s="57"/>
      <c r="P181" s="58">
        <f t="shared" si="8"/>
        <v>0</v>
      </c>
      <c r="Q181" s="59">
        <f t="shared" si="9"/>
        <v>0</v>
      </c>
      <c r="R181" s="35">
        <v>0</v>
      </c>
      <c r="S181" s="19">
        <v>0</v>
      </c>
      <c r="T181" s="23">
        <v>0</v>
      </c>
      <c r="U181" s="24">
        <v>0</v>
      </c>
      <c r="V181" s="33">
        <v>0</v>
      </c>
      <c r="W181" s="34">
        <v>0</v>
      </c>
      <c r="X181" s="35">
        <v>0</v>
      </c>
      <c r="Y181" s="19">
        <v>0</v>
      </c>
      <c r="Z181" s="23">
        <v>0</v>
      </c>
      <c r="AA181" s="24">
        <v>0</v>
      </c>
      <c r="AB181" s="33">
        <v>0</v>
      </c>
      <c r="AC181" s="34">
        <v>0</v>
      </c>
      <c r="AD181" s="35">
        <v>0</v>
      </c>
      <c r="AE181" s="36">
        <v>0</v>
      </c>
      <c r="AF181" s="23">
        <v>0</v>
      </c>
      <c r="AG181" s="24">
        <v>0</v>
      </c>
      <c r="AH181" s="33">
        <v>0</v>
      </c>
      <c r="AI181" s="37">
        <v>0</v>
      </c>
      <c r="AJ181" s="35">
        <v>0</v>
      </c>
      <c r="AK181" s="36">
        <v>0</v>
      </c>
      <c r="AL181" s="38">
        <v>0</v>
      </c>
      <c r="AM181" s="35">
        <v>0</v>
      </c>
      <c r="AN181" s="19">
        <v>0</v>
      </c>
      <c r="AO181" s="23">
        <v>0</v>
      </c>
      <c r="AP181" s="24">
        <v>0</v>
      </c>
      <c r="AQ181" s="58">
        <f t="shared" si="10"/>
        <v>0</v>
      </c>
      <c r="AR181" s="59">
        <f t="shared" si="11"/>
        <v>0</v>
      </c>
      <c r="AS181" s="35">
        <v>0</v>
      </c>
    </row>
    <row r="182" spans="1:45" ht="16" x14ac:dyDescent="0.2">
      <c r="A182" s="53">
        <v>178</v>
      </c>
      <c r="B182" s="55" t="s">
        <v>191</v>
      </c>
      <c r="C182" s="54" t="s">
        <v>203</v>
      </c>
      <c r="D182" s="350"/>
      <c r="E182" s="53"/>
      <c r="F182" s="56"/>
      <c r="G182" s="53"/>
      <c r="H182" s="56"/>
      <c r="I182" s="57"/>
      <c r="J182" s="53"/>
      <c r="K182" s="56"/>
      <c r="L182" s="57"/>
      <c r="M182" s="58"/>
      <c r="N182" s="56"/>
      <c r="O182" s="57"/>
      <c r="P182" s="58">
        <f t="shared" si="8"/>
        <v>0.72</v>
      </c>
      <c r="Q182" s="59">
        <f t="shared" si="9"/>
        <v>1800</v>
      </c>
      <c r="R182" s="35">
        <v>1</v>
      </c>
      <c r="S182" s="19">
        <v>0</v>
      </c>
      <c r="T182" s="23">
        <v>0</v>
      </c>
      <c r="U182" s="24">
        <v>0</v>
      </c>
      <c r="V182" s="33">
        <v>0</v>
      </c>
      <c r="W182" s="34">
        <v>0</v>
      </c>
      <c r="X182" s="35">
        <v>0</v>
      </c>
      <c r="Y182" s="19">
        <v>0</v>
      </c>
      <c r="Z182" s="23">
        <v>0</v>
      </c>
      <c r="AA182" s="24">
        <v>0</v>
      </c>
      <c r="AB182" s="33">
        <v>0</v>
      </c>
      <c r="AC182" s="34">
        <v>0</v>
      </c>
      <c r="AD182" s="35">
        <v>0</v>
      </c>
      <c r="AE182" s="36">
        <v>0</v>
      </c>
      <c r="AF182" s="23">
        <v>0</v>
      </c>
      <c r="AG182" s="24">
        <v>0</v>
      </c>
      <c r="AH182" s="33">
        <v>0</v>
      </c>
      <c r="AI182" s="37">
        <v>0</v>
      </c>
      <c r="AJ182" s="35">
        <v>0</v>
      </c>
      <c r="AK182" s="36">
        <v>0</v>
      </c>
      <c r="AL182" s="38">
        <v>0</v>
      </c>
      <c r="AM182" s="35">
        <v>0</v>
      </c>
      <c r="AN182" s="19">
        <v>0</v>
      </c>
      <c r="AO182" s="23">
        <v>0</v>
      </c>
      <c r="AP182" s="24">
        <v>0</v>
      </c>
      <c r="AQ182" s="58">
        <f t="shared" si="10"/>
        <v>0.72</v>
      </c>
      <c r="AR182" s="59">
        <f t="shared" si="11"/>
        <v>1800</v>
      </c>
      <c r="AS182" s="35">
        <v>1</v>
      </c>
    </row>
    <row r="183" spans="1:45" ht="16" x14ac:dyDescent="0.2">
      <c r="A183" s="53">
        <v>179</v>
      </c>
      <c r="B183" s="55" t="s">
        <v>191</v>
      </c>
      <c r="C183" s="54" t="s">
        <v>204</v>
      </c>
      <c r="D183" s="350"/>
      <c r="E183" s="53"/>
      <c r="F183" s="56"/>
      <c r="G183" s="53"/>
      <c r="H183" s="56"/>
      <c r="I183" s="57"/>
      <c r="J183" s="53"/>
      <c r="K183" s="56"/>
      <c r="L183" s="57"/>
      <c r="M183" s="58"/>
      <c r="N183" s="56"/>
      <c r="O183" s="57"/>
      <c r="P183" s="58">
        <f t="shared" si="8"/>
        <v>0.72</v>
      </c>
      <c r="Q183" s="59">
        <f t="shared" si="9"/>
        <v>1800</v>
      </c>
      <c r="R183" s="35">
        <v>1</v>
      </c>
      <c r="S183" s="19">
        <v>0</v>
      </c>
      <c r="T183" s="23">
        <v>0</v>
      </c>
      <c r="U183" s="24">
        <v>0</v>
      </c>
      <c r="V183" s="33">
        <v>0</v>
      </c>
      <c r="W183" s="34">
        <v>0</v>
      </c>
      <c r="X183" s="35">
        <v>0</v>
      </c>
      <c r="Y183" s="19">
        <v>0</v>
      </c>
      <c r="Z183" s="23">
        <v>0</v>
      </c>
      <c r="AA183" s="24">
        <v>0</v>
      </c>
      <c r="AB183" s="33">
        <v>0</v>
      </c>
      <c r="AC183" s="34">
        <v>0</v>
      </c>
      <c r="AD183" s="35">
        <v>0</v>
      </c>
      <c r="AE183" s="36">
        <v>0</v>
      </c>
      <c r="AF183" s="23">
        <v>0</v>
      </c>
      <c r="AG183" s="24">
        <v>0</v>
      </c>
      <c r="AH183" s="33">
        <v>0</v>
      </c>
      <c r="AI183" s="37">
        <v>0</v>
      </c>
      <c r="AJ183" s="35">
        <v>0</v>
      </c>
      <c r="AK183" s="36">
        <v>0</v>
      </c>
      <c r="AL183" s="38">
        <v>0</v>
      </c>
      <c r="AM183" s="35">
        <v>0</v>
      </c>
      <c r="AN183" s="19">
        <v>0</v>
      </c>
      <c r="AO183" s="23">
        <v>0</v>
      </c>
      <c r="AP183" s="24">
        <v>0</v>
      </c>
      <c r="AQ183" s="58">
        <f t="shared" si="10"/>
        <v>0.72</v>
      </c>
      <c r="AR183" s="59">
        <f t="shared" si="11"/>
        <v>1800</v>
      </c>
      <c r="AS183" s="35">
        <v>1</v>
      </c>
    </row>
    <row r="184" spans="1:45" ht="16" x14ac:dyDescent="0.2">
      <c r="A184" s="53">
        <v>180</v>
      </c>
      <c r="B184" s="55" t="s">
        <v>191</v>
      </c>
      <c r="C184" s="54" t="s">
        <v>205</v>
      </c>
      <c r="D184" s="350"/>
      <c r="E184" s="53"/>
      <c r="F184" s="56"/>
      <c r="G184" s="53"/>
      <c r="H184" s="56"/>
      <c r="I184" s="57"/>
      <c r="J184" s="53"/>
      <c r="K184" s="56"/>
      <c r="L184" s="57"/>
      <c r="M184" s="58"/>
      <c r="N184" s="56"/>
      <c r="O184" s="57"/>
      <c r="P184" s="58">
        <f t="shared" si="8"/>
        <v>0</v>
      </c>
      <c r="Q184" s="59">
        <f t="shared" si="9"/>
        <v>0</v>
      </c>
      <c r="R184" s="35">
        <v>0</v>
      </c>
      <c r="S184" s="19">
        <v>0</v>
      </c>
      <c r="T184" s="23">
        <v>0</v>
      </c>
      <c r="U184" s="24">
        <v>0</v>
      </c>
      <c r="V184" s="33">
        <v>0</v>
      </c>
      <c r="W184" s="34">
        <v>0</v>
      </c>
      <c r="X184" s="35">
        <v>0</v>
      </c>
      <c r="Y184" s="19">
        <v>0</v>
      </c>
      <c r="Z184" s="23">
        <v>0</v>
      </c>
      <c r="AA184" s="24">
        <v>0</v>
      </c>
      <c r="AB184" s="33">
        <v>0</v>
      </c>
      <c r="AC184" s="34">
        <v>0</v>
      </c>
      <c r="AD184" s="35">
        <v>0</v>
      </c>
      <c r="AE184" s="36">
        <v>0</v>
      </c>
      <c r="AF184" s="23">
        <v>0</v>
      </c>
      <c r="AG184" s="24">
        <v>0</v>
      </c>
      <c r="AH184" s="33">
        <v>0</v>
      </c>
      <c r="AI184" s="37">
        <v>0</v>
      </c>
      <c r="AJ184" s="35">
        <v>0</v>
      </c>
      <c r="AK184" s="36">
        <v>0</v>
      </c>
      <c r="AL184" s="38">
        <v>0</v>
      </c>
      <c r="AM184" s="35">
        <v>0</v>
      </c>
      <c r="AN184" s="19">
        <v>0</v>
      </c>
      <c r="AO184" s="23">
        <v>0</v>
      </c>
      <c r="AP184" s="24">
        <v>0</v>
      </c>
      <c r="AQ184" s="58">
        <f t="shared" si="10"/>
        <v>0</v>
      </c>
      <c r="AR184" s="59">
        <f t="shared" si="11"/>
        <v>0</v>
      </c>
      <c r="AS184" s="35">
        <v>0</v>
      </c>
    </row>
    <row r="185" spans="1:45" ht="16" x14ac:dyDescent="0.2">
      <c r="A185" s="53">
        <v>181</v>
      </c>
      <c r="B185" s="55" t="s">
        <v>191</v>
      </c>
      <c r="C185" s="54" t="s">
        <v>191</v>
      </c>
      <c r="D185" s="350"/>
      <c r="E185" s="53"/>
      <c r="F185" s="56"/>
      <c r="G185" s="53"/>
      <c r="H185" s="56"/>
      <c r="I185" s="57"/>
      <c r="J185" s="53"/>
      <c r="K185" s="56"/>
      <c r="L185" s="57"/>
      <c r="M185" s="58"/>
      <c r="N185" s="56"/>
      <c r="O185" s="57"/>
      <c r="P185" s="58">
        <f t="shared" si="8"/>
        <v>5.76</v>
      </c>
      <c r="Q185" s="59">
        <f t="shared" si="9"/>
        <v>14400</v>
      </c>
      <c r="R185" s="35">
        <v>8</v>
      </c>
      <c r="S185" s="19">
        <v>0</v>
      </c>
      <c r="T185" s="23">
        <v>0</v>
      </c>
      <c r="U185" s="24">
        <v>0</v>
      </c>
      <c r="V185" s="33">
        <v>0</v>
      </c>
      <c r="W185" s="34">
        <v>0</v>
      </c>
      <c r="X185" s="35">
        <v>0</v>
      </c>
      <c r="Y185" s="19">
        <v>0</v>
      </c>
      <c r="Z185" s="23">
        <v>0</v>
      </c>
      <c r="AA185" s="24">
        <v>0</v>
      </c>
      <c r="AB185" s="33">
        <v>0</v>
      </c>
      <c r="AC185" s="34">
        <v>0</v>
      </c>
      <c r="AD185" s="35">
        <v>0</v>
      </c>
      <c r="AE185" s="36">
        <v>0</v>
      </c>
      <c r="AF185" s="23">
        <v>0</v>
      </c>
      <c r="AG185" s="24">
        <v>0</v>
      </c>
      <c r="AH185" s="33">
        <v>0</v>
      </c>
      <c r="AI185" s="37">
        <v>0</v>
      </c>
      <c r="AJ185" s="35">
        <v>0</v>
      </c>
      <c r="AK185" s="36">
        <v>0</v>
      </c>
      <c r="AL185" s="38">
        <v>0</v>
      </c>
      <c r="AM185" s="35">
        <v>0</v>
      </c>
      <c r="AN185" s="19">
        <v>0</v>
      </c>
      <c r="AO185" s="23">
        <v>0</v>
      </c>
      <c r="AP185" s="24">
        <v>0</v>
      </c>
      <c r="AQ185" s="58">
        <f t="shared" si="10"/>
        <v>5.76</v>
      </c>
      <c r="AR185" s="59">
        <f t="shared" si="11"/>
        <v>14400</v>
      </c>
      <c r="AS185" s="35">
        <v>8</v>
      </c>
    </row>
    <row r="186" spans="1:45" ht="16" x14ac:dyDescent="0.2">
      <c r="A186" s="53">
        <v>182</v>
      </c>
      <c r="B186" s="55" t="s">
        <v>191</v>
      </c>
      <c r="C186" s="54" t="s">
        <v>206</v>
      </c>
      <c r="D186" s="350"/>
      <c r="E186" s="53"/>
      <c r="F186" s="56"/>
      <c r="G186" s="53"/>
      <c r="H186" s="56"/>
      <c r="I186" s="57"/>
      <c r="J186" s="53"/>
      <c r="K186" s="56"/>
      <c r="L186" s="57"/>
      <c r="M186" s="58"/>
      <c r="N186" s="56"/>
      <c r="O186" s="57"/>
      <c r="P186" s="58">
        <f t="shared" si="8"/>
        <v>4.32</v>
      </c>
      <c r="Q186" s="59">
        <f t="shared" si="9"/>
        <v>10800</v>
      </c>
      <c r="R186" s="35">
        <v>6</v>
      </c>
      <c r="S186" s="19">
        <v>0</v>
      </c>
      <c r="T186" s="23">
        <v>0</v>
      </c>
      <c r="U186" s="24">
        <v>0</v>
      </c>
      <c r="V186" s="33">
        <v>0</v>
      </c>
      <c r="W186" s="34">
        <v>0</v>
      </c>
      <c r="X186" s="35">
        <v>0</v>
      </c>
      <c r="Y186" s="19">
        <v>0</v>
      </c>
      <c r="Z186" s="23">
        <v>0</v>
      </c>
      <c r="AA186" s="24">
        <v>0</v>
      </c>
      <c r="AB186" s="33">
        <v>0</v>
      </c>
      <c r="AC186" s="34">
        <v>0</v>
      </c>
      <c r="AD186" s="35">
        <v>0</v>
      </c>
      <c r="AE186" s="36">
        <v>0</v>
      </c>
      <c r="AF186" s="23">
        <v>0</v>
      </c>
      <c r="AG186" s="24">
        <v>0</v>
      </c>
      <c r="AH186" s="33">
        <v>0</v>
      </c>
      <c r="AI186" s="37">
        <v>0</v>
      </c>
      <c r="AJ186" s="35">
        <v>0</v>
      </c>
      <c r="AK186" s="36">
        <v>0</v>
      </c>
      <c r="AL186" s="38">
        <v>0</v>
      </c>
      <c r="AM186" s="35">
        <v>0</v>
      </c>
      <c r="AN186" s="19">
        <v>0</v>
      </c>
      <c r="AO186" s="23">
        <v>0</v>
      </c>
      <c r="AP186" s="24">
        <v>0</v>
      </c>
      <c r="AQ186" s="58">
        <f t="shared" si="10"/>
        <v>4.32</v>
      </c>
      <c r="AR186" s="59">
        <f t="shared" si="11"/>
        <v>10800</v>
      </c>
      <c r="AS186" s="35">
        <v>6</v>
      </c>
    </row>
    <row r="187" spans="1:45" ht="16" x14ac:dyDescent="0.2">
      <c r="A187" s="53">
        <v>183</v>
      </c>
      <c r="B187" s="55" t="s">
        <v>191</v>
      </c>
      <c r="C187" s="54" t="s">
        <v>207</v>
      </c>
      <c r="D187" s="350"/>
      <c r="E187" s="53"/>
      <c r="F187" s="56"/>
      <c r="G187" s="53"/>
      <c r="H187" s="56"/>
      <c r="I187" s="57"/>
      <c r="J187" s="53"/>
      <c r="K187" s="56"/>
      <c r="L187" s="57"/>
      <c r="M187" s="58"/>
      <c r="N187" s="56"/>
      <c r="O187" s="57"/>
      <c r="P187" s="58">
        <f t="shared" si="8"/>
        <v>2.16</v>
      </c>
      <c r="Q187" s="59">
        <f t="shared" si="9"/>
        <v>5400</v>
      </c>
      <c r="R187" s="35">
        <v>3</v>
      </c>
      <c r="S187" s="19">
        <v>0</v>
      </c>
      <c r="T187" s="23">
        <v>0</v>
      </c>
      <c r="U187" s="24">
        <v>0</v>
      </c>
      <c r="V187" s="33">
        <v>0</v>
      </c>
      <c r="W187" s="34">
        <v>0</v>
      </c>
      <c r="X187" s="35">
        <v>0</v>
      </c>
      <c r="Y187" s="19">
        <v>0</v>
      </c>
      <c r="Z187" s="23">
        <v>0</v>
      </c>
      <c r="AA187" s="24">
        <v>0</v>
      </c>
      <c r="AB187" s="33">
        <v>0</v>
      </c>
      <c r="AC187" s="34">
        <v>0</v>
      </c>
      <c r="AD187" s="35">
        <v>0</v>
      </c>
      <c r="AE187" s="36">
        <v>0</v>
      </c>
      <c r="AF187" s="23">
        <v>0</v>
      </c>
      <c r="AG187" s="24">
        <v>0</v>
      </c>
      <c r="AH187" s="33">
        <v>0</v>
      </c>
      <c r="AI187" s="37">
        <v>0</v>
      </c>
      <c r="AJ187" s="35">
        <v>0</v>
      </c>
      <c r="AK187" s="36">
        <v>0</v>
      </c>
      <c r="AL187" s="38">
        <v>0</v>
      </c>
      <c r="AM187" s="35">
        <v>0</v>
      </c>
      <c r="AN187" s="19">
        <v>0</v>
      </c>
      <c r="AO187" s="23">
        <v>0</v>
      </c>
      <c r="AP187" s="24">
        <v>0</v>
      </c>
      <c r="AQ187" s="58">
        <f t="shared" si="10"/>
        <v>2.16</v>
      </c>
      <c r="AR187" s="59">
        <f t="shared" si="11"/>
        <v>5400</v>
      </c>
      <c r="AS187" s="35">
        <v>3</v>
      </c>
    </row>
    <row r="188" spans="1:45" ht="16" x14ac:dyDescent="0.2">
      <c r="A188" s="53">
        <v>184</v>
      </c>
      <c r="B188" s="55" t="s">
        <v>191</v>
      </c>
      <c r="C188" s="54" t="s">
        <v>208</v>
      </c>
      <c r="D188" s="350"/>
      <c r="E188" s="53"/>
      <c r="F188" s="56"/>
      <c r="G188" s="53"/>
      <c r="H188" s="56"/>
      <c r="I188" s="57"/>
      <c r="J188" s="53"/>
      <c r="K188" s="56"/>
      <c r="L188" s="57"/>
      <c r="M188" s="58"/>
      <c r="N188" s="56"/>
      <c r="O188" s="57"/>
      <c r="P188" s="58">
        <f t="shared" si="8"/>
        <v>0</v>
      </c>
      <c r="Q188" s="59">
        <f t="shared" si="9"/>
        <v>0</v>
      </c>
      <c r="R188" s="35">
        <v>0</v>
      </c>
      <c r="S188" s="19">
        <v>0</v>
      </c>
      <c r="T188" s="23">
        <v>0</v>
      </c>
      <c r="U188" s="24">
        <v>0</v>
      </c>
      <c r="V188" s="33">
        <v>0</v>
      </c>
      <c r="W188" s="34">
        <v>0</v>
      </c>
      <c r="X188" s="35">
        <v>0</v>
      </c>
      <c r="Y188" s="19">
        <v>0</v>
      </c>
      <c r="Z188" s="23">
        <v>0</v>
      </c>
      <c r="AA188" s="24">
        <v>0</v>
      </c>
      <c r="AB188" s="33">
        <v>0</v>
      </c>
      <c r="AC188" s="34">
        <v>0</v>
      </c>
      <c r="AD188" s="35">
        <v>0</v>
      </c>
      <c r="AE188" s="36">
        <v>0</v>
      </c>
      <c r="AF188" s="23">
        <v>0</v>
      </c>
      <c r="AG188" s="24">
        <v>0</v>
      </c>
      <c r="AH188" s="33">
        <v>0</v>
      </c>
      <c r="AI188" s="37">
        <v>0</v>
      </c>
      <c r="AJ188" s="35">
        <v>0</v>
      </c>
      <c r="AK188" s="36">
        <v>0</v>
      </c>
      <c r="AL188" s="38">
        <v>0</v>
      </c>
      <c r="AM188" s="35">
        <v>0</v>
      </c>
      <c r="AN188" s="19">
        <v>0</v>
      </c>
      <c r="AO188" s="23">
        <v>0</v>
      </c>
      <c r="AP188" s="24">
        <v>0</v>
      </c>
      <c r="AQ188" s="58">
        <f t="shared" si="10"/>
        <v>0</v>
      </c>
      <c r="AR188" s="59">
        <f t="shared" si="11"/>
        <v>0</v>
      </c>
      <c r="AS188" s="35">
        <v>0</v>
      </c>
    </row>
    <row r="189" spans="1:45" ht="16" x14ac:dyDescent="0.2">
      <c r="A189" s="53">
        <v>185</v>
      </c>
      <c r="B189" s="55" t="s">
        <v>191</v>
      </c>
      <c r="C189" s="54" t="s">
        <v>209</v>
      </c>
      <c r="D189" s="350"/>
      <c r="E189" s="53"/>
      <c r="F189" s="56"/>
      <c r="G189" s="53"/>
      <c r="H189" s="56"/>
      <c r="I189" s="57"/>
      <c r="J189" s="53"/>
      <c r="K189" s="56"/>
      <c r="L189" s="57"/>
      <c r="M189" s="58"/>
      <c r="N189" s="56"/>
      <c r="O189" s="57"/>
      <c r="P189" s="58">
        <f t="shared" si="8"/>
        <v>2.88</v>
      </c>
      <c r="Q189" s="59">
        <f t="shared" si="9"/>
        <v>7200</v>
      </c>
      <c r="R189" s="35">
        <v>4</v>
      </c>
      <c r="S189" s="19">
        <v>0</v>
      </c>
      <c r="T189" s="23">
        <v>0</v>
      </c>
      <c r="U189" s="24">
        <v>0</v>
      </c>
      <c r="V189" s="33">
        <v>0</v>
      </c>
      <c r="W189" s="34">
        <v>0</v>
      </c>
      <c r="X189" s="35">
        <v>0</v>
      </c>
      <c r="Y189" s="19">
        <v>0</v>
      </c>
      <c r="Z189" s="23">
        <v>0</v>
      </c>
      <c r="AA189" s="24">
        <v>0</v>
      </c>
      <c r="AB189" s="33">
        <v>0</v>
      </c>
      <c r="AC189" s="34">
        <v>0</v>
      </c>
      <c r="AD189" s="35">
        <v>0</v>
      </c>
      <c r="AE189" s="36">
        <v>0</v>
      </c>
      <c r="AF189" s="23">
        <v>0</v>
      </c>
      <c r="AG189" s="24">
        <v>0</v>
      </c>
      <c r="AH189" s="33">
        <v>0</v>
      </c>
      <c r="AI189" s="37">
        <v>0</v>
      </c>
      <c r="AJ189" s="35">
        <v>0</v>
      </c>
      <c r="AK189" s="36">
        <v>0</v>
      </c>
      <c r="AL189" s="38">
        <v>0</v>
      </c>
      <c r="AM189" s="35">
        <v>0</v>
      </c>
      <c r="AN189" s="19">
        <v>0</v>
      </c>
      <c r="AO189" s="23">
        <v>0</v>
      </c>
      <c r="AP189" s="24">
        <v>0</v>
      </c>
      <c r="AQ189" s="58">
        <f t="shared" si="10"/>
        <v>2.88</v>
      </c>
      <c r="AR189" s="59">
        <f t="shared" si="11"/>
        <v>7200</v>
      </c>
      <c r="AS189" s="35">
        <v>4</v>
      </c>
    </row>
    <row r="190" spans="1:45" ht="16" x14ac:dyDescent="0.2">
      <c r="A190" s="53">
        <v>186</v>
      </c>
      <c r="B190" s="55" t="s">
        <v>191</v>
      </c>
      <c r="C190" s="54" t="s">
        <v>210</v>
      </c>
      <c r="D190" s="350"/>
      <c r="E190" s="53"/>
      <c r="F190" s="56"/>
      <c r="G190" s="53"/>
      <c r="H190" s="56"/>
      <c r="I190" s="57"/>
      <c r="J190" s="53"/>
      <c r="K190" s="56"/>
      <c r="L190" s="57"/>
      <c r="M190" s="58"/>
      <c r="N190" s="56"/>
      <c r="O190" s="57"/>
      <c r="P190" s="58">
        <f t="shared" si="8"/>
        <v>0</v>
      </c>
      <c r="Q190" s="59">
        <f t="shared" si="9"/>
        <v>0</v>
      </c>
      <c r="R190" s="35">
        <v>0</v>
      </c>
      <c r="S190" s="19">
        <v>0</v>
      </c>
      <c r="T190" s="23">
        <v>0</v>
      </c>
      <c r="U190" s="24">
        <v>0</v>
      </c>
      <c r="V190" s="33">
        <v>0</v>
      </c>
      <c r="W190" s="34">
        <v>0</v>
      </c>
      <c r="X190" s="35">
        <v>0</v>
      </c>
      <c r="Y190" s="19">
        <v>0</v>
      </c>
      <c r="Z190" s="23">
        <v>0</v>
      </c>
      <c r="AA190" s="24">
        <v>0</v>
      </c>
      <c r="AB190" s="33">
        <v>0</v>
      </c>
      <c r="AC190" s="34">
        <v>0</v>
      </c>
      <c r="AD190" s="35">
        <v>0</v>
      </c>
      <c r="AE190" s="36">
        <v>0</v>
      </c>
      <c r="AF190" s="23">
        <v>0</v>
      </c>
      <c r="AG190" s="24">
        <v>0</v>
      </c>
      <c r="AH190" s="33">
        <v>0</v>
      </c>
      <c r="AI190" s="37">
        <v>0</v>
      </c>
      <c r="AJ190" s="35">
        <v>0</v>
      </c>
      <c r="AK190" s="36">
        <v>0</v>
      </c>
      <c r="AL190" s="38">
        <v>0</v>
      </c>
      <c r="AM190" s="35">
        <v>0</v>
      </c>
      <c r="AN190" s="19">
        <v>0</v>
      </c>
      <c r="AO190" s="23">
        <v>0</v>
      </c>
      <c r="AP190" s="24">
        <v>0</v>
      </c>
      <c r="AQ190" s="58">
        <f t="shared" si="10"/>
        <v>0</v>
      </c>
      <c r="AR190" s="59">
        <f t="shared" si="11"/>
        <v>0</v>
      </c>
      <c r="AS190" s="35">
        <v>0</v>
      </c>
    </row>
    <row r="191" spans="1:45" ht="16" x14ac:dyDescent="0.2">
      <c r="A191" s="53">
        <v>187</v>
      </c>
      <c r="B191" s="55" t="s">
        <v>191</v>
      </c>
      <c r="C191" s="54" t="s">
        <v>211</v>
      </c>
      <c r="D191" s="350"/>
      <c r="E191" s="53"/>
      <c r="F191" s="56"/>
      <c r="G191" s="53"/>
      <c r="H191" s="56"/>
      <c r="I191" s="57"/>
      <c r="J191" s="53"/>
      <c r="K191" s="56"/>
      <c r="L191" s="57"/>
      <c r="M191" s="58"/>
      <c r="N191" s="56"/>
      <c r="O191" s="57"/>
      <c r="P191" s="58">
        <f t="shared" si="8"/>
        <v>0</v>
      </c>
      <c r="Q191" s="59">
        <f t="shared" si="9"/>
        <v>0</v>
      </c>
      <c r="R191" s="35">
        <v>0</v>
      </c>
      <c r="S191" s="19">
        <v>0</v>
      </c>
      <c r="T191" s="23">
        <v>0</v>
      </c>
      <c r="U191" s="24">
        <v>0</v>
      </c>
      <c r="V191" s="33">
        <v>0</v>
      </c>
      <c r="W191" s="34">
        <v>0</v>
      </c>
      <c r="X191" s="35">
        <v>0</v>
      </c>
      <c r="Y191" s="19">
        <v>0</v>
      </c>
      <c r="Z191" s="23">
        <v>0</v>
      </c>
      <c r="AA191" s="24">
        <v>0</v>
      </c>
      <c r="AB191" s="33">
        <v>0</v>
      </c>
      <c r="AC191" s="34">
        <v>0</v>
      </c>
      <c r="AD191" s="35">
        <v>0</v>
      </c>
      <c r="AE191" s="36">
        <v>0</v>
      </c>
      <c r="AF191" s="23">
        <v>0</v>
      </c>
      <c r="AG191" s="24">
        <v>0</v>
      </c>
      <c r="AH191" s="33">
        <v>0</v>
      </c>
      <c r="AI191" s="37">
        <v>0</v>
      </c>
      <c r="AJ191" s="35">
        <v>0</v>
      </c>
      <c r="AK191" s="36">
        <v>0</v>
      </c>
      <c r="AL191" s="38">
        <v>0</v>
      </c>
      <c r="AM191" s="35">
        <v>0</v>
      </c>
      <c r="AN191" s="19">
        <v>0</v>
      </c>
      <c r="AO191" s="23">
        <v>0</v>
      </c>
      <c r="AP191" s="24">
        <v>0</v>
      </c>
      <c r="AQ191" s="58">
        <f t="shared" si="10"/>
        <v>0</v>
      </c>
      <c r="AR191" s="59">
        <f t="shared" si="11"/>
        <v>0</v>
      </c>
      <c r="AS191" s="35">
        <v>0</v>
      </c>
    </row>
    <row r="192" spans="1:45" ht="16" x14ac:dyDescent="0.2">
      <c r="A192" s="53">
        <v>188</v>
      </c>
      <c r="B192" s="55" t="s">
        <v>191</v>
      </c>
      <c r="C192" s="54" t="s">
        <v>212</v>
      </c>
      <c r="D192" s="350" t="s">
        <v>25</v>
      </c>
      <c r="E192" s="53"/>
      <c r="F192" s="56"/>
      <c r="G192" s="53"/>
      <c r="H192" s="56"/>
      <c r="I192" s="57"/>
      <c r="J192" s="53"/>
      <c r="K192" s="56"/>
      <c r="L192" s="57"/>
      <c r="M192" s="58"/>
      <c r="N192" s="56"/>
      <c r="O192" s="57"/>
      <c r="P192" s="58">
        <f t="shared" si="8"/>
        <v>0</v>
      </c>
      <c r="Q192" s="59">
        <f t="shared" si="9"/>
        <v>0</v>
      </c>
      <c r="R192" s="35">
        <v>0</v>
      </c>
      <c r="S192" s="19">
        <v>0</v>
      </c>
      <c r="T192" s="23">
        <v>0</v>
      </c>
      <c r="U192" s="24">
        <v>0</v>
      </c>
      <c r="V192" s="33">
        <v>0</v>
      </c>
      <c r="W192" s="34">
        <v>0</v>
      </c>
      <c r="X192" s="35">
        <v>0</v>
      </c>
      <c r="Y192" s="19">
        <v>0</v>
      </c>
      <c r="Z192" s="23">
        <v>0</v>
      </c>
      <c r="AA192" s="24">
        <v>0</v>
      </c>
      <c r="AB192" s="33">
        <v>0</v>
      </c>
      <c r="AC192" s="34">
        <v>0</v>
      </c>
      <c r="AD192" s="35">
        <v>0</v>
      </c>
      <c r="AE192" s="36">
        <v>0</v>
      </c>
      <c r="AF192" s="23">
        <v>0</v>
      </c>
      <c r="AG192" s="24">
        <v>0</v>
      </c>
      <c r="AH192" s="33">
        <v>0</v>
      </c>
      <c r="AI192" s="37">
        <v>0</v>
      </c>
      <c r="AJ192" s="35">
        <v>0</v>
      </c>
      <c r="AK192" s="36">
        <v>0</v>
      </c>
      <c r="AL192" s="38">
        <v>0</v>
      </c>
      <c r="AM192" s="35">
        <v>0</v>
      </c>
      <c r="AN192" s="19">
        <v>0</v>
      </c>
      <c r="AO192" s="23">
        <v>0</v>
      </c>
      <c r="AP192" s="24">
        <v>0</v>
      </c>
      <c r="AQ192" s="58">
        <f t="shared" si="10"/>
        <v>0</v>
      </c>
      <c r="AR192" s="59">
        <f t="shared" si="11"/>
        <v>0</v>
      </c>
      <c r="AS192" s="35">
        <v>0</v>
      </c>
    </row>
    <row r="193" spans="1:45" ht="16" x14ac:dyDescent="0.2">
      <c r="A193" s="53">
        <v>189</v>
      </c>
      <c r="B193" s="55" t="s">
        <v>191</v>
      </c>
      <c r="C193" s="54" t="s">
        <v>213</v>
      </c>
      <c r="D193" s="350"/>
      <c r="E193" s="53"/>
      <c r="F193" s="56"/>
      <c r="G193" s="53"/>
      <c r="H193" s="56"/>
      <c r="I193" s="57"/>
      <c r="J193" s="53"/>
      <c r="K193" s="56"/>
      <c r="L193" s="57"/>
      <c r="M193" s="58"/>
      <c r="N193" s="56"/>
      <c r="O193" s="57"/>
      <c r="P193" s="58">
        <f t="shared" si="8"/>
        <v>0</v>
      </c>
      <c r="Q193" s="59">
        <f t="shared" si="9"/>
        <v>0</v>
      </c>
      <c r="R193" s="35">
        <v>0</v>
      </c>
      <c r="S193" s="19">
        <v>0</v>
      </c>
      <c r="T193" s="23">
        <v>0</v>
      </c>
      <c r="U193" s="24">
        <v>0</v>
      </c>
      <c r="V193" s="33">
        <v>0</v>
      </c>
      <c r="W193" s="34">
        <v>0</v>
      </c>
      <c r="X193" s="35">
        <v>0</v>
      </c>
      <c r="Y193" s="19">
        <v>0</v>
      </c>
      <c r="Z193" s="23">
        <v>0</v>
      </c>
      <c r="AA193" s="24">
        <v>0</v>
      </c>
      <c r="AB193" s="33">
        <v>0</v>
      </c>
      <c r="AC193" s="34">
        <v>0</v>
      </c>
      <c r="AD193" s="35">
        <v>0</v>
      </c>
      <c r="AE193" s="36">
        <v>0</v>
      </c>
      <c r="AF193" s="23">
        <v>0</v>
      </c>
      <c r="AG193" s="24">
        <v>0</v>
      </c>
      <c r="AH193" s="33">
        <v>0</v>
      </c>
      <c r="AI193" s="37">
        <v>0</v>
      </c>
      <c r="AJ193" s="35">
        <v>0</v>
      </c>
      <c r="AK193" s="36">
        <v>0</v>
      </c>
      <c r="AL193" s="38">
        <v>0</v>
      </c>
      <c r="AM193" s="35">
        <v>0</v>
      </c>
      <c r="AN193" s="19">
        <v>0</v>
      </c>
      <c r="AO193" s="23">
        <v>0</v>
      </c>
      <c r="AP193" s="24">
        <v>0</v>
      </c>
      <c r="AQ193" s="58">
        <f t="shared" si="10"/>
        <v>0</v>
      </c>
      <c r="AR193" s="59">
        <f t="shared" si="11"/>
        <v>0</v>
      </c>
      <c r="AS193" s="35">
        <v>0</v>
      </c>
    </row>
    <row r="194" spans="1:45" ht="16" x14ac:dyDescent="0.2">
      <c r="A194" s="53">
        <v>190</v>
      </c>
      <c r="B194" s="55" t="s">
        <v>191</v>
      </c>
      <c r="C194" s="54" t="s">
        <v>214</v>
      </c>
      <c r="D194" s="350"/>
      <c r="E194" s="53"/>
      <c r="F194" s="56"/>
      <c r="G194" s="53"/>
      <c r="H194" s="56"/>
      <c r="I194" s="57"/>
      <c r="J194" s="53"/>
      <c r="K194" s="56"/>
      <c r="L194" s="57"/>
      <c r="M194" s="58"/>
      <c r="N194" s="56"/>
      <c r="O194" s="57"/>
      <c r="P194" s="58">
        <f t="shared" si="8"/>
        <v>0.72</v>
      </c>
      <c r="Q194" s="59">
        <f t="shared" si="9"/>
        <v>1800</v>
      </c>
      <c r="R194" s="35">
        <v>1</v>
      </c>
      <c r="S194" s="19">
        <v>0</v>
      </c>
      <c r="T194" s="23">
        <v>0</v>
      </c>
      <c r="U194" s="24">
        <v>0</v>
      </c>
      <c r="V194" s="33">
        <v>0</v>
      </c>
      <c r="W194" s="34">
        <v>0</v>
      </c>
      <c r="X194" s="35">
        <v>0</v>
      </c>
      <c r="Y194" s="19">
        <v>0</v>
      </c>
      <c r="Z194" s="23">
        <v>0</v>
      </c>
      <c r="AA194" s="24">
        <v>0</v>
      </c>
      <c r="AB194" s="33">
        <v>0</v>
      </c>
      <c r="AC194" s="34">
        <v>0</v>
      </c>
      <c r="AD194" s="35">
        <v>0</v>
      </c>
      <c r="AE194" s="36">
        <v>0</v>
      </c>
      <c r="AF194" s="23">
        <v>0</v>
      </c>
      <c r="AG194" s="24">
        <v>0</v>
      </c>
      <c r="AH194" s="33">
        <v>0</v>
      </c>
      <c r="AI194" s="37">
        <v>0</v>
      </c>
      <c r="AJ194" s="35">
        <v>0</v>
      </c>
      <c r="AK194" s="36">
        <v>0</v>
      </c>
      <c r="AL194" s="38">
        <v>0</v>
      </c>
      <c r="AM194" s="35">
        <v>0</v>
      </c>
      <c r="AN194" s="19">
        <v>0</v>
      </c>
      <c r="AO194" s="23">
        <v>0</v>
      </c>
      <c r="AP194" s="24">
        <v>0</v>
      </c>
      <c r="AQ194" s="58">
        <f t="shared" si="10"/>
        <v>0.72</v>
      </c>
      <c r="AR194" s="59">
        <f t="shared" si="11"/>
        <v>1800</v>
      </c>
      <c r="AS194" s="35">
        <v>1</v>
      </c>
    </row>
    <row r="195" spans="1:45" ht="16" x14ac:dyDescent="0.2">
      <c r="A195" s="53">
        <v>191</v>
      </c>
      <c r="B195" s="55" t="s">
        <v>215</v>
      </c>
      <c r="C195" s="54" t="s">
        <v>216</v>
      </c>
      <c r="D195" s="350"/>
      <c r="E195" s="53"/>
      <c r="F195" s="56"/>
      <c r="G195" s="53"/>
      <c r="H195" s="56"/>
      <c r="I195" s="57"/>
      <c r="J195" s="53"/>
      <c r="K195" s="56"/>
      <c r="L195" s="57"/>
      <c r="M195" s="58"/>
      <c r="N195" s="56"/>
      <c r="O195" s="57"/>
      <c r="P195" s="58">
        <f t="shared" si="8"/>
        <v>2.16</v>
      </c>
      <c r="Q195" s="59">
        <f t="shared" si="9"/>
        <v>5400</v>
      </c>
      <c r="R195" s="35">
        <v>3</v>
      </c>
      <c r="S195" s="19">
        <v>0</v>
      </c>
      <c r="T195" s="23">
        <v>0</v>
      </c>
      <c r="U195" s="24">
        <v>0</v>
      </c>
      <c r="V195" s="33">
        <v>0</v>
      </c>
      <c r="W195" s="34">
        <v>0</v>
      </c>
      <c r="X195" s="35">
        <v>0</v>
      </c>
      <c r="Y195" s="19">
        <v>0</v>
      </c>
      <c r="Z195" s="23">
        <v>0</v>
      </c>
      <c r="AA195" s="24">
        <v>0</v>
      </c>
      <c r="AB195" s="33">
        <v>0</v>
      </c>
      <c r="AC195" s="34">
        <v>0</v>
      </c>
      <c r="AD195" s="35">
        <v>0</v>
      </c>
      <c r="AE195" s="36">
        <v>0</v>
      </c>
      <c r="AF195" s="23">
        <v>0</v>
      </c>
      <c r="AG195" s="24">
        <v>0</v>
      </c>
      <c r="AH195" s="33">
        <v>0</v>
      </c>
      <c r="AI195" s="37">
        <v>0</v>
      </c>
      <c r="AJ195" s="35">
        <v>0</v>
      </c>
      <c r="AK195" s="36">
        <v>0</v>
      </c>
      <c r="AL195" s="38">
        <v>0</v>
      </c>
      <c r="AM195" s="35">
        <v>0</v>
      </c>
      <c r="AN195" s="19">
        <v>0</v>
      </c>
      <c r="AO195" s="23">
        <v>0</v>
      </c>
      <c r="AP195" s="24">
        <v>0</v>
      </c>
      <c r="AQ195" s="58">
        <f t="shared" si="10"/>
        <v>2.16</v>
      </c>
      <c r="AR195" s="59">
        <f t="shared" si="11"/>
        <v>5400</v>
      </c>
      <c r="AS195" s="35">
        <v>3</v>
      </c>
    </row>
    <row r="196" spans="1:45" ht="16" x14ac:dyDescent="0.2">
      <c r="A196" s="53">
        <v>192</v>
      </c>
      <c r="B196" s="55" t="s">
        <v>215</v>
      </c>
      <c r="C196" s="54" t="s">
        <v>217</v>
      </c>
      <c r="D196" s="350"/>
      <c r="E196" s="53"/>
      <c r="F196" s="56"/>
      <c r="G196" s="53"/>
      <c r="H196" s="56"/>
      <c r="I196" s="57"/>
      <c r="J196" s="53"/>
      <c r="K196" s="56"/>
      <c r="L196" s="57"/>
      <c r="M196" s="58"/>
      <c r="N196" s="56"/>
      <c r="O196" s="57"/>
      <c r="P196" s="58">
        <f t="shared" si="8"/>
        <v>0</v>
      </c>
      <c r="Q196" s="59">
        <f t="shared" si="9"/>
        <v>0</v>
      </c>
      <c r="R196" s="35">
        <v>0</v>
      </c>
      <c r="S196" s="19">
        <v>0</v>
      </c>
      <c r="T196" s="23">
        <v>0</v>
      </c>
      <c r="U196" s="24">
        <v>0</v>
      </c>
      <c r="V196" s="33">
        <v>0</v>
      </c>
      <c r="W196" s="34">
        <v>0</v>
      </c>
      <c r="X196" s="35">
        <v>0</v>
      </c>
      <c r="Y196" s="19">
        <v>0</v>
      </c>
      <c r="Z196" s="23">
        <v>0</v>
      </c>
      <c r="AA196" s="24">
        <v>0</v>
      </c>
      <c r="AB196" s="33">
        <v>0</v>
      </c>
      <c r="AC196" s="34">
        <v>0</v>
      </c>
      <c r="AD196" s="35">
        <v>0</v>
      </c>
      <c r="AE196" s="36">
        <v>0</v>
      </c>
      <c r="AF196" s="23">
        <v>0</v>
      </c>
      <c r="AG196" s="24">
        <v>0</v>
      </c>
      <c r="AH196" s="33">
        <v>0</v>
      </c>
      <c r="AI196" s="37">
        <v>0</v>
      </c>
      <c r="AJ196" s="35">
        <v>0</v>
      </c>
      <c r="AK196" s="36">
        <v>0</v>
      </c>
      <c r="AL196" s="38">
        <v>0</v>
      </c>
      <c r="AM196" s="35">
        <v>0</v>
      </c>
      <c r="AN196" s="19">
        <v>0</v>
      </c>
      <c r="AO196" s="23">
        <v>0</v>
      </c>
      <c r="AP196" s="24">
        <v>0</v>
      </c>
      <c r="AQ196" s="58">
        <f t="shared" si="10"/>
        <v>0</v>
      </c>
      <c r="AR196" s="59">
        <f t="shared" si="11"/>
        <v>0</v>
      </c>
      <c r="AS196" s="35">
        <v>0</v>
      </c>
    </row>
    <row r="197" spans="1:45" ht="16" x14ac:dyDescent="0.2">
      <c r="A197" s="53">
        <v>193</v>
      </c>
      <c r="B197" s="55" t="s">
        <v>215</v>
      </c>
      <c r="C197" s="54" t="s">
        <v>218</v>
      </c>
      <c r="D197" s="350"/>
      <c r="E197" s="53"/>
      <c r="F197" s="56"/>
      <c r="G197" s="53"/>
      <c r="H197" s="56"/>
      <c r="I197" s="57"/>
      <c r="J197" s="53"/>
      <c r="K197" s="56"/>
      <c r="L197" s="57"/>
      <c r="M197" s="58"/>
      <c r="N197" s="56"/>
      <c r="O197" s="57"/>
      <c r="P197" s="58">
        <f t="shared" ref="P197:P260" si="12">Q197/2500</f>
        <v>5.04</v>
      </c>
      <c r="Q197" s="59">
        <f t="shared" ref="Q197:Q260" si="13">R197*1800</f>
        <v>12600</v>
      </c>
      <c r="R197" s="35">
        <v>7</v>
      </c>
      <c r="S197" s="19">
        <v>0</v>
      </c>
      <c r="T197" s="23">
        <v>0</v>
      </c>
      <c r="U197" s="24">
        <v>0</v>
      </c>
      <c r="V197" s="33">
        <v>0</v>
      </c>
      <c r="W197" s="34">
        <v>0</v>
      </c>
      <c r="X197" s="35">
        <v>0</v>
      </c>
      <c r="Y197" s="19">
        <v>0</v>
      </c>
      <c r="Z197" s="23">
        <v>0</v>
      </c>
      <c r="AA197" s="24">
        <v>0</v>
      </c>
      <c r="AB197" s="33">
        <v>0</v>
      </c>
      <c r="AC197" s="34">
        <v>0</v>
      </c>
      <c r="AD197" s="35">
        <v>0</v>
      </c>
      <c r="AE197" s="36">
        <v>0</v>
      </c>
      <c r="AF197" s="23">
        <v>0</v>
      </c>
      <c r="AG197" s="24">
        <v>0</v>
      </c>
      <c r="AH197" s="33">
        <v>0</v>
      </c>
      <c r="AI197" s="37">
        <v>0</v>
      </c>
      <c r="AJ197" s="35">
        <v>0</v>
      </c>
      <c r="AK197" s="36">
        <v>0</v>
      </c>
      <c r="AL197" s="38">
        <v>0</v>
      </c>
      <c r="AM197" s="35">
        <v>0</v>
      </c>
      <c r="AN197" s="19">
        <v>0</v>
      </c>
      <c r="AO197" s="23">
        <v>0</v>
      </c>
      <c r="AP197" s="24">
        <v>0</v>
      </c>
      <c r="AQ197" s="58">
        <f t="shared" ref="AQ197:AQ260" si="14">AR197/2500</f>
        <v>5.04</v>
      </c>
      <c r="AR197" s="59">
        <f t="shared" ref="AR197:AR260" si="15">AS197*1800</f>
        <v>12600</v>
      </c>
      <c r="AS197" s="35">
        <v>7</v>
      </c>
    </row>
    <row r="198" spans="1:45" ht="16" x14ac:dyDescent="0.2">
      <c r="A198" s="53">
        <v>194</v>
      </c>
      <c r="B198" s="55" t="s">
        <v>215</v>
      </c>
      <c r="C198" s="54" t="s">
        <v>219</v>
      </c>
      <c r="D198" s="350"/>
      <c r="E198" s="53"/>
      <c r="F198" s="56"/>
      <c r="G198" s="53"/>
      <c r="H198" s="56"/>
      <c r="I198" s="57"/>
      <c r="J198" s="53"/>
      <c r="K198" s="56"/>
      <c r="L198" s="57"/>
      <c r="M198" s="58"/>
      <c r="N198" s="56"/>
      <c r="O198" s="57"/>
      <c r="P198" s="58">
        <f t="shared" si="12"/>
        <v>1.44</v>
      </c>
      <c r="Q198" s="59">
        <f t="shared" si="13"/>
        <v>3600</v>
      </c>
      <c r="R198" s="35">
        <v>2</v>
      </c>
      <c r="S198" s="19">
        <v>0</v>
      </c>
      <c r="T198" s="23">
        <v>0</v>
      </c>
      <c r="U198" s="24">
        <v>0</v>
      </c>
      <c r="V198" s="33">
        <v>0</v>
      </c>
      <c r="W198" s="34">
        <v>0</v>
      </c>
      <c r="X198" s="35">
        <v>0</v>
      </c>
      <c r="Y198" s="19">
        <v>0</v>
      </c>
      <c r="Z198" s="23">
        <v>0</v>
      </c>
      <c r="AA198" s="24">
        <v>0</v>
      </c>
      <c r="AB198" s="33">
        <v>0</v>
      </c>
      <c r="AC198" s="34">
        <v>0</v>
      </c>
      <c r="AD198" s="35">
        <v>0</v>
      </c>
      <c r="AE198" s="36">
        <v>0</v>
      </c>
      <c r="AF198" s="23">
        <v>0</v>
      </c>
      <c r="AG198" s="24">
        <v>0</v>
      </c>
      <c r="AH198" s="33">
        <v>0</v>
      </c>
      <c r="AI198" s="37">
        <v>0</v>
      </c>
      <c r="AJ198" s="35">
        <v>0</v>
      </c>
      <c r="AK198" s="36">
        <v>0</v>
      </c>
      <c r="AL198" s="38">
        <v>0</v>
      </c>
      <c r="AM198" s="35">
        <v>0</v>
      </c>
      <c r="AN198" s="19">
        <v>0</v>
      </c>
      <c r="AO198" s="23">
        <v>0</v>
      </c>
      <c r="AP198" s="24">
        <v>0</v>
      </c>
      <c r="AQ198" s="58">
        <f t="shared" si="14"/>
        <v>1.44</v>
      </c>
      <c r="AR198" s="59">
        <f t="shared" si="15"/>
        <v>3600</v>
      </c>
      <c r="AS198" s="35">
        <v>2</v>
      </c>
    </row>
    <row r="199" spans="1:45" ht="16" x14ac:dyDescent="0.2">
      <c r="A199" s="53">
        <v>195</v>
      </c>
      <c r="B199" s="55" t="s">
        <v>215</v>
      </c>
      <c r="C199" s="54" t="s">
        <v>220</v>
      </c>
      <c r="D199" s="350"/>
      <c r="E199" s="53"/>
      <c r="F199" s="56"/>
      <c r="G199" s="53"/>
      <c r="H199" s="56"/>
      <c r="I199" s="57"/>
      <c r="J199" s="53"/>
      <c r="K199" s="56"/>
      <c r="L199" s="57"/>
      <c r="M199" s="58"/>
      <c r="N199" s="56"/>
      <c r="O199" s="57"/>
      <c r="P199" s="58">
        <f t="shared" si="12"/>
        <v>3.6</v>
      </c>
      <c r="Q199" s="59">
        <f t="shared" si="13"/>
        <v>9000</v>
      </c>
      <c r="R199" s="35">
        <v>5</v>
      </c>
      <c r="S199" s="19">
        <v>0</v>
      </c>
      <c r="T199" s="23">
        <v>0</v>
      </c>
      <c r="U199" s="24">
        <v>0</v>
      </c>
      <c r="V199" s="33">
        <v>0</v>
      </c>
      <c r="W199" s="34">
        <v>0</v>
      </c>
      <c r="X199" s="35">
        <v>0</v>
      </c>
      <c r="Y199" s="19">
        <v>0</v>
      </c>
      <c r="Z199" s="23">
        <v>0</v>
      </c>
      <c r="AA199" s="24">
        <v>0</v>
      </c>
      <c r="AB199" s="33">
        <v>0</v>
      </c>
      <c r="AC199" s="34">
        <v>0</v>
      </c>
      <c r="AD199" s="35">
        <v>0</v>
      </c>
      <c r="AE199" s="36">
        <v>0</v>
      </c>
      <c r="AF199" s="23">
        <v>0</v>
      </c>
      <c r="AG199" s="24">
        <v>0</v>
      </c>
      <c r="AH199" s="33">
        <v>0</v>
      </c>
      <c r="AI199" s="37">
        <v>0</v>
      </c>
      <c r="AJ199" s="35">
        <v>0</v>
      </c>
      <c r="AK199" s="36">
        <v>0</v>
      </c>
      <c r="AL199" s="38">
        <v>0</v>
      </c>
      <c r="AM199" s="35">
        <v>0</v>
      </c>
      <c r="AN199" s="19">
        <v>0</v>
      </c>
      <c r="AO199" s="23">
        <v>0</v>
      </c>
      <c r="AP199" s="24">
        <v>0</v>
      </c>
      <c r="AQ199" s="58">
        <f t="shared" si="14"/>
        <v>3.6</v>
      </c>
      <c r="AR199" s="59">
        <f t="shared" si="15"/>
        <v>9000</v>
      </c>
      <c r="AS199" s="35">
        <v>5</v>
      </c>
    </row>
    <row r="200" spans="1:45" ht="16" x14ac:dyDescent="0.2">
      <c r="A200" s="53">
        <v>196</v>
      </c>
      <c r="B200" s="55" t="s">
        <v>215</v>
      </c>
      <c r="C200" s="54" t="s">
        <v>221</v>
      </c>
      <c r="D200" s="350"/>
      <c r="E200" s="53"/>
      <c r="F200" s="56"/>
      <c r="G200" s="53"/>
      <c r="H200" s="56"/>
      <c r="I200" s="57"/>
      <c r="J200" s="53"/>
      <c r="K200" s="56"/>
      <c r="L200" s="57"/>
      <c r="M200" s="58"/>
      <c r="N200" s="56"/>
      <c r="O200" s="57"/>
      <c r="P200" s="58">
        <f t="shared" si="12"/>
        <v>0</v>
      </c>
      <c r="Q200" s="59">
        <f t="shared" si="13"/>
        <v>0</v>
      </c>
      <c r="R200" s="35">
        <v>0</v>
      </c>
      <c r="S200" s="19">
        <v>0</v>
      </c>
      <c r="T200" s="23">
        <v>0</v>
      </c>
      <c r="U200" s="24">
        <v>0</v>
      </c>
      <c r="V200" s="33">
        <v>0</v>
      </c>
      <c r="W200" s="34">
        <v>0</v>
      </c>
      <c r="X200" s="35">
        <v>0</v>
      </c>
      <c r="Y200" s="19">
        <v>0</v>
      </c>
      <c r="Z200" s="23">
        <v>0</v>
      </c>
      <c r="AA200" s="24">
        <v>0</v>
      </c>
      <c r="AB200" s="33">
        <v>0</v>
      </c>
      <c r="AC200" s="34">
        <v>0</v>
      </c>
      <c r="AD200" s="35">
        <v>0</v>
      </c>
      <c r="AE200" s="36">
        <v>0</v>
      </c>
      <c r="AF200" s="23">
        <v>0</v>
      </c>
      <c r="AG200" s="24">
        <v>0</v>
      </c>
      <c r="AH200" s="33">
        <v>0</v>
      </c>
      <c r="AI200" s="37">
        <v>0</v>
      </c>
      <c r="AJ200" s="35">
        <v>0</v>
      </c>
      <c r="AK200" s="36">
        <v>0</v>
      </c>
      <c r="AL200" s="38">
        <v>0</v>
      </c>
      <c r="AM200" s="35">
        <v>0</v>
      </c>
      <c r="AN200" s="19">
        <v>0</v>
      </c>
      <c r="AO200" s="23">
        <v>0</v>
      </c>
      <c r="AP200" s="24">
        <v>0</v>
      </c>
      <c r="AQ200" s="58">
        <f t="shared" si="14"/>
        <v>0</v>
      </c>
      <c r="AR200" s="59">
        <f t="shared" si="15"/>
        <v>0</v>
      </c>
      <c r="AS200" s="35">
        <v>0</v>
      </c>
    </row>
    <row r="201" spans="1:45" ht="16" x14ac:dyDescent="0.2">
      <c r="A201" s="53">
        <v>197</v>
      </c>
      <c r="B201" s="55" t="s">
        <v>215</v>
      </c>
      <c r="C201" s="54" t="s">
        <v>222</v>
      </c>
      <c r="D201" s="350"/>
      <c r="E201" s="53"/>
      <c r="F201" s="56"/>
      <c r="G201" s="53"/>
      <c r="H201" s="56"/>
      <c r="I201" s="57"/>
      <c r="J201" s="53"/>
      <c r="K201" s="56"/>
      <c r="L201" s="57"/>
      <c r="M201" s="58"/>
      <c r="N201" s="56"/>
      <c r="O201" s="57"/>
      <c r="P201" s="58">
        <f t="shared" si="12"/>
        <v>1.44</v>
      </c>
      <c r="Q201" s="59">
        <f t="shared" si="13"/>
        <v>3600</v>
      </c>
      <c r="R201" s="35">
        <v>2</v>
      </c>
      <c r="S201" s="19">
        <v>0</v>
      </c>
      <c r="T201" s="23">
        <v>0</v>
      </c>
      <c r="U201" s="24">
        <v>0</v>
      </c>
      <c r="V201" s="33">
        <v>0</v>
      </c>
      <c r="W201" s="34">
        <v>0</v>
      </c>
      <c r="X201" s="35">
        <v>0</v>
      </c>
      <c r="Y201" s="19">
        <v>0</v>
      </c>
      <c r="Z201" s="23">
        <v>0</v>
      </c>
      <c r="AA201" s="24">
        <v>0</v>
      </c>
      <c r="AB201" s="33">
        <v>0</v>
      </c>
      <c r="AC201" s="34">
        <v>0</v>
      </c>
      <c r="AD201" s="35">
        <v>0</v>
      </c>
      <c r="AE201" s="36">
        <v>0</v>
      </c>
      <c r="AF201" s="23">
        <v>0</v>
      </c>
      <c r="AG201" s="24">
        <v>0</v>
      </c>
      <c r="AH201" s="33">
        <v>0</v>
      </c>
      <c r="AI201" s="37">
        <v>0</v>
      </c>
      <c r="AJ201" s="35">
        <v>0</v>
      </c>
      <c r="AK201" s="36">
        <v>0</v>
      </c>
      <c r="AL201" s="38">
        <v>0</v>
      </c>
      <c r="AM201" s="35">
        <v>0</v>
      </c>
      <c r="AN201" s="19">
        <v>0</v>
      </c>
      <c r="AO201" s="23">
        <v>0</v>
      </c>
      <c r="AP201" s="24">
        <v>0</v>
      </c>
      <c r="AQ201" s="58">
        <f t="shared" si="14"/>
        <v>1.44</v>
      </c>
      <c r="AR201" s="59">
        <f t="shared" si="15"/>
        <v>3600</v>
      </c>
      <c r="AS201" s="35">
        <v>2</v>
      </c>
    </row>
    <row r="202" spans="1:45" ht="16" x14ac:dyDescent="0.2">
      <c r="A202" s="53">
        <v>198</v>
      </c>
      <c r="B202" s="55" t="s">
        <v>215</v>
      </c>
      <c r="C202" s="54" t="s">
        <v>223</v>
      </c>
      <c r="D202" s="350"/>
      <c r="E202" s="53"/>
      <c r="F202" s="56"/>
      <c r="G202" s="53"/>
      <c r="H202" s="56"/>
      <c r="I202" s="57"/>
      <c r="J202" s="53"/>
      <c r="K202" s="56"/>
      <c r="L202" s="57"/>
      <c r="M202" s="58"/>
      <c r="N202" s="56"/>
      <c r="O202" s="57"/>
      <c r="P202" s="58">
        <f t="shared" si="12"/>
        <v>10.08</v>
      </c>
      <c r="Q202" s="59">
        <f t="shared" si="13"/>
        <v>25200</v>
      </c>
      <c r="R202" s="35">
        <v>14</v>
      </c>
      <c r="S202" s="19">
        <v>0</v>
      </c>
      <c r="T202" s="23">
        <v>0</v>
      </c>
      <c r="U202" s="24">
        <v>0</v>
      </c>
      <c r="V202" s="33">
        <v>0</v>
      </c>
      <c r="W202" s="34">
        <v>0</v>
      </c>
      <c r="X202" s="35">
        <v>0</v>
      </c>
      <c r="Y202" s="19">
        <v>0</v>
      </c>
      <c r="Z202" s="23">
        <v>0</v>
      </c>
      <c r="AA202" s="24">
        <v>0</v>
      </c>
      <c r="AB202" s="33">
        <v>0</v>
      </c>
      <c r="AC202" s="34">
        <v>0</v>
      </c>
      <c r="AD202" s="35">
        <v>0</v>
      </c>
      <c r="AE202" s="36">
        <v>0</v>
      </c>
      <c r="AF202" s="23">
        <v>0</v>
      </c>
      <c r="AG202" s="24">
        <v>0</v>
      </c>
      <c r="AH202" s="33">
        <v>0</v>
      </c>
      <c r="AI202" s="37">
        <v>0</v>
      </c>
      <c r="AJ202" s="35">
        <v>0</v>
      </c>
      <c r="AK202" s="36">
        <v>0</v>
      </c>
      <c r="AL202" s="38">
        <v>0</v>
      </c>
      <c r="AM202" s="35">
        <v>0</v>
      </c>
      <c r="AN202" s="19">
        <v>0</v>
      </c>
      <c r="AO202" s="23">
        <v>0</v>
      </c>
      <c r="AP202" s="24">
        <v>0</v>
      </c>
      <c r="AQ202" s="58">
        <f t="shared" si="14"/>
        <v>10.08</v>
      </c>
      <c r="AR202" s="59">
        <f t="shared" si="15"/>
        <v>25200</v>
      </c>
      <c r="AS202" s="35">
        <v>14</v>
      </c>
    </row>
    <row r="203" spans="1:45" ht="16" x14ac:dyDescent="0.2">
      <c r="A203" s="53">
        <v>199</v>
      </c>
      <c r="B203" s="55" t="s">
        <v>215</v>
      </c>
      <c r="C203" s="54" t="s">
        <v>224</v>
      </c>
      <c r="D203" s="350"/>
      <c r="E203" s="53"/>
      <c r="F203" s="56"/>
      <c r="G203" s="53"/>
      <c r="H203" s="56"/>
      <c r="I203" s="57"/>
      <c r="J203" s="53"/>
      <c r="K203" s="56"/>
      <c r="L203" s="57"/>
      <c r="M203" s="58"/>
      <c r="N203" s="56"/>
      <c r="O203" s="57"/>
      <c r="P203" s="58">
        <f t="shared" si="12"/>
        <v>5.76</v>
      </c>
      <c r="Q203" s="59">
        <f t="shared" si="13"/>
        <v>14400</v>
      </c>
      <c r="R203" s="35">
        <v>8</v>
      </c>
      <c r="S203" s="19">
        <v>0</v>
      </c>
      <c r="T203" s="23">
        <v>0</v>
      </c>
      <c r="U203" s="24">
        <v>0</v>
      </c>
      <c r="V203" s="33">
        <v>0</v>
      </c>
      <c r="W203" s="34">
        <v>0</v>
      </c>
      <c r="X203" s="35">
        <v>0</v>
      </c>
      <c r="Y203" s="19">
        <v>0</v>
      </c>
      <c r="Z203" s="23">
        <v>0</v>
      </c>
      <c r="AA203" s="24">
        <v>0</v>
      </c>
      <c r="AB203" s="33">
        <v>0</v>
      </c>
      <c r="AC203" s="34">
        <v>0</v>
      </c>
      <c r="AD203" s="35">
        <v>0</v>
      </c>
      <c r="AE203" s="36">
        <v>0</v>
      </c>
      <c r="AF203" s="23">
        <v>0</v>
      </c>
      <c r="AG203" s="24">
        <v>0</v>
      </c>
      <c r="AH203" s="33">
        <v>0</v>
      </c>
      <c r="AI203" s="37">
        <v>0</v>
      </c>
      <c r="AJ203" s="35">
        <v>0</v>
      </c>
      <c r="AK203" s="36">
        <v>0</v>
      </c>
      <c r="AL203" s="38">
        <v>0</v>
      </c>
      <c r="AM203" s="35">
        <v>0</v>
      </c>
      <c r="AN203" s="19">
        <v>0</v>
      </c>
      <c r="AO203" s="23">
        <v>0</v>
      </c>
      <c r="AP203" s="24">
        <v>0</v>
      </c>
      <c r="AQ203" s="58">
        <f t="shared" si="14"/>
        <v>5.76</v>
      </c>
      <c r="AR203" s="59">
        <f t="shared" si="15"/>
        <v>14400</v>
      </c>
      <c r="AS203" s="35">
        <v>8</v>
      </c>
    </row>
    <row r="204" spans="1:45" ht="16" x14ac:dyDescent="0.2">
      <c r="A204" s="53">
        <v>200</v>
      </c>
      <c r="B204" s="55" t="s">
        <v>215</v>
      </c>
      <c r="C204" s="54" t="s">
        <v>225</v>
      </c>
      <c r="D204" s="350"/>
      <c r="E204" s="53"/>
      <c r="F204" s="56"/>
      <c r="G204" s="53"/>
      <c r="H204" s="56"/>
      <c r="I204" s="57"/>
      <c r="J204" s="53"/>
      <c r="K204" s="56"/>
      <c r="L204" s="57"/>
      <c r="M204" s="58"/>
      <c r="N204" s="56"/>
      <c r="O204" s="57"/>
      <c r="P204" s="58">
        <f t="shared" si="12"/>
        <v>3.6</v>
      </c>
      <c r="Q204" s="59">
        <f t="shared" si="13"/>
        <v>9000</v>
      </c>
      <c r="R204" s="35">
        <v>5</v>
      </c>
      <c r="S204" s="19">
        <v>0</v>
      </c>
      <c r="T204" s="23">
        <v>0</v>
      </c>
      <c r="U204" s="24">
        <v>0</v>
      </c>
      <c r="V204" s="33">
        <v>0</v>
      </c>
      <c r="W204" s="34">
        <v>0</v>
      </c>
      <c r="X204" s="35">
        <v>0</v>
      </c>
      <c r="Y204" s="19">
        <v>0</v>
      </c>
      <c r="Z204" s="23">
        <v>0</v>
      </c>
      <c r="AA204" s="24">
        <v>0</v>
      </c>
      <c r="AB204" s="33">
        <v>0</v>
      </c>
      <c r="AC204" s="34">
        <v>0</v>
      </c>
      <c r="AD204" s="35">
        <v>0</v>
      </c>
      <c r="AE204" s="36">
        <v>0</v>
      </c>
      <c r="AF204" s="23">
        <v>0</v>
      </c>
      <c r="AG204" s="24">
        <v>0</v>
      </c>
      <c r="AH204" s="33">
        <v>0</v>
      </c>
      <c r="AI204" s="37">
        <v>0</v>
      </c>
      <c r="AJ204" s="35">
        <v>0</v>
      </c>
      <c r="AK204" s="36">
        <v>0</v>
      </c>
      <c r="AL204" s="38">
        <v>0</v>
      </c>
      <c r="AM204" s="35">
        <v>0</v>
      </c>
      <c r="AN204" s="19">
        <v>0</v>
      </c>
      <c r="AO204" s="23">
        <v>0</v>
      </c>
      <c r="AP204" s="24">
        <v>0</v>
      </c>
      <c r="AQ204" s="58">
        <f t="shared" si="14"/>
        <v>3.6</v>
      </c>
      <c r="AR204" s="59">
        <f t="shared" si="15"/>
        <v>9000</v>
      </c>
      <c r="AS204" s="35">
        <v>5</v>
      </c>
    </row>
    <row r="205" spans="1:45" ht="16" x14ac:dyDescent="0.2">
      <c r="A205" s="53">
        <v>201</v>
      </c>
      <c r="B205" s="55" t="s">
        <v>215</v>
      </c>
      <c r="C205" s="54" t="s">
        <v>226</v>
      </c>
      <c r="D205" s="350"/>
      <c r="E205" s="53"/>
      <c r="F205" s="56"/>
      <c r="G205" s="53"/>
      <c r="H205" s="56"/>
      <c r="I205" s="57"/>
      <c r="J205" s="53"/>
      <c r="K205" s="56"/>
      <c r="L205" s="57"/>
      <c r="M205" s="58"/>
      <c r="N205" s="56"/>
      <c r="O205" s="57"/>
      <c r="P205" s="58">
        <f t="shared" si="12"/>
        <v>8.64</v>
      </c>
      <c r="Q205" s="59">
        <f t="shared" si="13"/>
        <v>21600</v>
      </c>
      <c r="R205" s="35">
        <v>12</v>
      </c>
      <c r="S205" s="19">
        <v>0</v>
      </c>
      <c r="T205" s="23">
        <v>0</v>
      </c>
      <c r="U205" s="24">
        <v>0</v>
      </c>
      <c r="V205" s="33">
        <v>0</v>
      </c>
      <c r="W205" s="34">
        <v>0</v>
      </c>
      <c r="X205" s="35">
        <v>0</v>
      </c>
      <c r="Y205" s="19">
        <v>0</v>
      </c>
      <c r="Z205" s="23">
        <v>0</v>
      </c>
      <c r="AA205" s="24">
        <v>0</v>
      </c>
      <c r="AB205" s="33">
        <v>0</v>
      </c>
      <c r="AC205" s="34">
        <v>0</v>
      </c>
      <c r="AD205" s="35">
        <v>0</v>
      </c>
      <c r="AE205" s="36">
        <v>0</v>
      </c>
      <c r="AF205" s="23">
        <v>0</v>
      </c>
      <c r="AG205" s="24">
        <v>0</v>
      </c>
      <c r="AH205" s="33">
        <v>0</v>
      </c>
      <c r="AI205" s="37">
        <v>0</v>
      </c>
      <c r="AJ205" s="35">
        <v>0</v>
      </c>
      <c r="AK205" s="36">
        <v>0</v>
      </c>
      <c r="AL205" s="38">
        <v>0</v>
      </c>
      <c r="AM205" s="35">
        <v>0</v>
      </c>
      <c r="AN205" s="19">
        <v>0</v>
      </c>
      <c r="AO205" s="23">
        <v>0</v>
      </c>
      <c r="AP205" s="24">
        <v>0</v>
      </c>
      <c r="AQ205" s="58">
        <f t="shared" si="14"/>
        <v>8.64</v>
      </c>
      <c r="AR205" s="59">
        <f t="shared" si="15"/>
        <v>21600</v>
      </c>
      <c r="AS205" s="35">
        <v>12</v>
      </c>
    </row>
    <row r="206" spans="1:45" ht="16" x14ac:dyDescent="0.2">
      <c r="A206" s="53">
        <v>202</v>
      </c>
      <c r="B206" s="55" t="s">
        <v>215</v>
      </c>
      <c r="C206" s="54" t="s">
        <v>227</v>
      </c>
      <c r="D206" s="350"/>
      <c r="E206" s="53"/>
      <c r="F206" s="56"/>
      <c r="G206" s="53"/>
      <c r="H206" s="56"/>
      <c r="I206" s="57"/>
      <c r="J206" s="53"/>
      <c r="K206" s="56"/>
      <c r="L206" s="57"/>
      <c r="M206" s="58"/>
      <c r="N206" s="56"/>
      <c r="O206" s="57"/>
      <c r="P206" s="58">
        <f t="shared" si="12"/>
        <v>0.72</v>
      </c>
      <c r="Q206" s="59">
        <f t="shared" si="13"/>
        <v>1800</v>
      </c>
      <c r="R206" s="35">
        <v>1</v>
      </c>
      <c r="S206" s="19">
        <v>0</v>
      </c>
      <c r="T206" s="23">
        <v>0</v>
      </c>
      <c r="U206" s="24">
        <v>0</v>
      </c>
      <c r="V206" s="33">
        <v>0</v>
      </c>
      <c r="W206" s="34">
        <v>0</v>
      </c>
      <c r="X206" s="35">
        <v>0</v>
      </c>
      <c r="Y206" s="19">
        <v>0</v>
      </c>
      <c r="Z206" s="23">
        <v>0</v>
      </c>
      <c r="AA206" s="24">
        <v>0</v>
      </c>
      <c r="AB206" s="33">
        <v>0</v>
      </c>
      <c r="AC206" s="34">
        <v>0</v>
      </c>
      <c r="AD206" s="35">
        <v>0</v>
      </c>
      <c r="AE206" s="36">
        <v>0</v>
      </c>
      <c r="AF206" s="23">
        <v>0</v>
      </c>
      <c r="AG206" s="24">
        <v>0</v>
      </c>
      <c r="AH206" s="33">
        <v>0</v>
      </c>
      <c r="AI206" s="37">
        <v>0</v>
      </c>
      <c r="AJ206" s="35">
        <v>0</v>
      </c>
      <c r="AK206" s="36">
        <v>0</v>
      </c>
      <c r="AL206" s="38">
        <v>0</v>
      </c>
      <c r="AM206" s="35">
        <v>0</v>
      </c>
      <c r="AN206" s="19">
        <v>0</v>
      </c>
      <c r="AO206" s="23">
        <v>0</v>
      </c>
      <c r="AP206" s="24">
        <v>0</v>
      </c>
      <c r="AQ206" s="58">
        <f t="shared" si="14"/>
        <v>0.72</v>
      </c>
      <c r="AR206" s="59">
        <f t="shared" si="15"/>
        <v>1800</v>
      </c>
      <c r="AS206" s="35">
        <v>1</v>
      </c>
    </row>
    <row r="207" spans="1:45" ht="16" x14ac:dyDescent="0.2">
      <c r="A207" s="53">
        <v>203</v>
      </c>
      <c r="B207" s="55" t="s">
        <v>215</v>
      </c>
      <c r="C207" s="54" t="s">
        <v>228</v>
      </c>
      <c r="D207" s="350"/>
      <c r="E207" s="53"/>
      <c r="F207" s="56"/>
      <c r="G207" s="53"/>
      <c r="H207" s="56"/>
      <c r="I207" s="57"/>
      <c r="J207" s="53"/>
      <c r="K207" s="56"/>
      <c r="L207" s="57"/>
      <c r="M207" s="58"/>
      <c r="N207" s="56"/>
      <c r="O207" s="57"/>
      <c r="P207" s="58">
        <f t="shared" si="12"/>
        <v>1.44</v>
      </c>
      <c r="Q207" s="59">
        <f t="shared" si="13"/>
        <v>3600</v>
      </c>
      <c r="R207" s="35">
        <v>2</v>
      </c>
      <c r="S207" s="19">
        <v>0</v>
      </c>
      <c r="T207" s="23">
        <v>0</v>
      </c>
      <c r="U207" s="24">
        <v>0</v>
      </c>
      <c r="V207" s="33">
        <v>0</v>
      </c>
      <c r="W207" s="34">
        <v>0</v>
      </c>
      <c r="X207" s="35">
        <v>0</v>
      </c>
      <c r="Y207" s="19">
        <v>0</v>
      </c>
      <c r="Z207" s="23">
        <v>0</v>
      </c>
      <c r="AA207" s="24">
        <v>0</v>
      </c>
      <c r="AB207" s="33">
        <v>0</v>
      </c>
      <c r="AC207" s="34">
        <v>0</v>
      </c>
      <c r="AD207" s="35">
        <v>0</v>
      </c>
      <c r="AE207" s="36">
        <v>0</v>
      </c>
      <c r="AF207" s="23">
        <v>0</v>
      </c>
      <c r="AG207" s="24">
        <v>0</v>
      </c>
      <c r="AH207" s="33">
        <v>0</v>
      </c>
      <c r="AI207" s="37">
        <v>0</v>
      </c>
      <c r="AJ207" s="35">
        <v>0</v>
      </c>
      <c r="AK207" s="36">
        <v>0</v>
      </c>
      <c r="AL207" s="38">
        <v>0</v>
      </c>
      <c r="AM207" s="35">
        <v>0</v>
      </c>
      <c r="AN207" s="19">
        <v>0</v>
      </c>
      <c r="AO207" s="23">
        <v>0</v>
      </c>
      <c r="AP207" s="24">
        <v>0</v>
      </c>
      <c r="AQ207" s="58">
        <f t="shared" si="14"/>
        <v>1.44</v>
      </c>
      <c r="AR207" s="59">
        <f t="shared" si="15"/>
        <v>3600</v>
      </c>
      <c r="AS207" s="35">
        <v>2</v>
      </c>
    </row>
    <row r="208" spans="1:45" ht="16" x14ac:dyDescent="0.2">
      <c r="A208" s="53">
        <v>204</v>
      </c>
      <c r="B208" s="55" t="s">
        <v>215</v>
      </c>
      <c r="C208" s="54" t="s">
        <v>229</v>
      </c>
      <c r="D208" s="350"/>
      <c r="E208" s="53"/>
      <c r="F208" s="56"/>
      <c r="G208" s="53"/>
      <c r="H208" s="56"/>
      <c r="I208" s="57"/>
      <c r="J208" s="53"/>
      <c r="K208" s="56"/>
      <c r="L208" s="57"/>
      <c r="M208" s="58"/>
      <c r="N208" s="56"/>
      <c r="O208" s="57"/>
      <c r="P208" s="58">
        <f t="shared" si="12"/>
        <v>7.2</v>
      </c>
      <c r="Q208" s="59">
        <f t="shared" si="13"/>
        <v>18000</v>
      </c>
      <c r="R208" s="35">
        <v>10</v>
      </c>
      <c r="S208" s="19"/>
      <c r="T208" s="23">
        <v>0</v>
      </c>
      <c r="U208" s="24">
        <v>0</v>
      </c>
      <c r="V208" s="33">
        <v>0</v>
      </c>
      <c r="W208" s="34">
        <v>0</v>
      </c>
      <c r="X208" s="35">
        <v>0</v>
      </c>
      <c r="Y208" s="19">
        <v>0</v>
      </c>
      <c r="Z208" s="23">
        <v>0</v>
      </c>
      <c r="AA208" s="24">
        <v>0</v>
      </c>
      <c r="AB208" s="33">
        <v>0</v>
      </c>
      <c r="AC208" s="34">
        <v>0</v>
      </c>
      <c r="AD208" s="35">
        <v>0</v>
      </c>
      <c r="AE208" s="36">
        <v>0</v>
      </c>
      <c r="AF208" s="23">
        <v>0</v>
      </c>
      <c r="AG208" s="24">
        <v>0</v>
      </c>
      <c r="AH208" s="33">
        <v>0</v>
      </c>
      <c r="AI208" s="37">
        <v>0</v>
      </c>
      <c r="AJ208" s="35">
        <v>0</v>
      </c>
      <c r="AK208" s="36">
        <v>0</v>
      </c>
      <c r="AL208" s="38">
        <v>0</v>
      </c>
      <c r="AM208" s="35">
        <v>0</v>
      </c>
      <c r="AN208" s="19">
        <v>0</v>
      </c>
      <c r="AO208" s="23">
        <v>0</v>
      </c>
      <c r="AP208" s="24">
        <v>0</v>
      </c>
      <c r="AQ208" s="58">
        <f t="shared" si="14"/>
        <v>7.2</v>
      </c>
      <c r="AR208" s="59">
        <f t="shared" si="15"/>
        <v>18000</v>
      </c>
      <c r="AS208" s="35">
        <v>10</v>
      </c>
    </row>
    <row r="209" spans="1:45" ht="16" x14ac:dyDescent="0.2">
      <c r="A209" s="53">
        <v>205</v>
      </c>
      <c r="B209" s="55" t="s">
        <v>215</v>
      </c>
      <c r="C209" s="54" t="s">
        <v>230</v>
      </c>
      <c r="D209" s="350" t="s">
        <v>25</v>
      </c>
      <c r="E209" s="53"/>
      <c r="F209" s="56"/>
      <c r="G209" s="53"/>
      <c r="H209" s="56"/>
      <c r="I209" s="57"/>
      <c r="J209" s="53"/>
      <c r="K209" s="56"/>
      <c r="L209" s="57"/>
      <c r="M209" s="58"/>
      <c r="N209" s="56"/>
      <c r="O209" s="57"/>
      <c r="P209" s="58">
        <f t="shared" si="12"/>
        <v>2.16</v>
      </c>
      <c r="Q209" s="59">
        <f t="shared" si="13"/>
        <v>5400</v>
      </c>
      <c r="R209" s="35">
        <v>3</v>
      </c>
      <c r="S209" s="19">
        <v>0</v>
      </c>
      <c r="T209" s="23">
        <v>0</v>
      </c>
      <c r="U209" s="24">
        <v>0</v>
      </c>
      <c r="V209" s="33">
        <v>0</v>
      </c>
      <c r="W209" s="34">
        <v>0</v>
      </c>
      <c r="X209" s="35">
        <v>0</v>
      </c>
      <c r="Y209" s="19">
        <v>0</v>
      </c>
      <c r="Z209" s="23">
        <v>0</v>
      </c>
      <c r="AA209" s="24">
        <v>0</v>
      </c>
      <c r="AB209" s="33">
        <v>0</v>
      </c>
      <c r="AC209" s="34">
        <v>0</v>
      </c>
      <c r="AD209" s="35">
        <v>0</v>
      </c>
      <c r="AE209" s="36">
        <v>0</v>
      </c>
      <c r="AF209" s="23">
        <v>0</v>
      </c>
      <c r="AG209" s="24">
        <v>0</v>
      </c>
      <c r="AH209" s="33">
        <v>0</v>
      </c>
      <c r="AI209" s="37">
        <v>0</v>
      </c>
      <c r="AJ209" s="35">
        <v>0</v>
      </c>
      <c r="AK209" s="36">
        <v>0</v>
      </c>
      <c r="AL209" s="38">
        <v>0</v>
      </c>
      <c r="AM209" s="35">
        <v>0</v>
      </c>
      <c r="AN209" s="19">
        <v>0</v>
      </c>
      <c r="AO209" s="23">
        <v>0</v>
      </c>
      <c r="AP209" s="24">
        <v>0</v>
      </c>
      <c r="AQ209" s="58">
        <f t="shared" si="14"/>
        <v>2.16</v>
      </c>
      <c r="AR209" s="59">
        <f t="shared" si="15"/>
        <v>5400</v>
      </c>
      <c r="AS209" s="35">
        <v>3</v>
      </c>
    </row>
    <row r="210" spans="1:45" ht="16" x14ac:dyDescent="0.2">
      <c r="A210" s="53">
        <v>206</v>
      </c>
      <c r="B210" s="55" t="s">
        <v>215</v>
      </c>
      <c r="C210" s="54" t="s">
        <v>231</v>
      </c>
      <c r="D210" s="350"/>
      <c r="E210" s="53"/>
      <c r="F210" s="56"/>
      <c r="G210" s="53"/>
      <c r="H210" s="56"/>
      <c r="I210" s="57"/>
      <c r="J210" s="53"/>
      <c r="K210" s="56"/>
      <c r="L210" s="57"/>
      <c r="M210" s="58"/>
      <c r="N210" s="56"/>
      <c r="O210" s="57"/>
      <c r="P210" s="58">
        <f t="shared" si="12"/>
        <v>0</v>
      </c>
      <c r="Q210" s="59">
        <f t="shared" si="13"/>
        <v>0</v>
      </c>
      <c r="R210" s="35">
        <v>0</v>
      </c>
      <c r="S210" s="19">
        <v>0</v>
      </c>
      <c r="T210" s="23">
        <v>0</v>
      </c>
      <c r="U210" s="24">
        <v>0</v>
      </c>
      <c r="V210" s="33">
        <v>0</v>
      </c>
      <c r="W210" s="34">
        <v>0</v>
      </c>
      <c r="X210" s="35">
        <v>0</v>
      </c>
      <c r="Y210" s="19">
        <v>0</v>
      </c>
      <c r="Z210" s="23">
        <v>0</v>
      </c>
      <c r="AA210" s="24">
        <v>0</v>
      </c>
      <c r="AB210" s="33">
        <v>0</v>
      </c>
      <c r="AC210" s="34">
        <v>0</v>
      </c>
      <c r="AD210" s="35">
        <v>0</v>
      </c>
      <c r="AE210" s="36">
        <v>0</v>
      </c>
      <c r="AF210" s="23">
        <v>0</v>
      </c>
      <c r="AG210" s="24">
        <v>0</v>
      </c>
      <c r="AH210" s="33">
        <v>0</v>
      </c>
      <c r="AI210" s="37">
        <v>0</v>
      </c>
      <c r="AJ210" s="35">
        <v>0</v>
      </c>
      <c r="AK210" s="36">
        <v>0</v>
      </c>
      <c r="AL210" s="38">
        <v>0</v>
      </c>
      <c r="AM210" s="35">
        <v>0</v>
      </c>
      <c r="AN210" s="19">
        <v>0</v>
      </c>
      <c r="AO210" s="23">
        <v>0</v>
      </c>
      <c r="AP210" s="24">
        <v>0</v>
      </c>
      <c r="AQ210" s="58">
        <f t="shared" si="14"/>
        <v>0</v>
      </c>
      <c r="AR210" s="59">
        <f t="shared" si="15"/>
        <v>0</v>
      </c>
      <c r="AS210" s="35">
        <v>0</v>
      </c>
    </row>
    <row r="211" spans="1:45" ht="16" x14ac:dyDescent="0.2">
      <c r="A211" s="53">
        <v>207</v>
      </c>
      <c r="B211" s="55" t="s">
        <v>215</v>
      </c>
      <c r="C211" s="54" t="s">
        <v>232</v>
      </c>
      <c r="D211" s="350"/>
      <c r="E211" s="53"/>
      <c r="F211" s="56"/>
      <c r="G211" s="53"/>
      <c r="H211" s="56"/>
      <c r="I211" s="57"/>
      <c r="J211" s="53"/>
      <c r="K211" s="56"/>
      <c r="L211" s="57"/>
      <c r="M211" s="58"/>
      <c r="N211" s="56"/>
      <c r="O211" s="57"/>
      <c r="P211" s="58">
        <f t="shared" si="12"/>
        <v>2.16</v>
      </c>
      <c r="Q211" s="59">
        <f t="shared" si="13"/>
        <v>5400</v>
      </c>
      <c r="R211" s="35">
        <v>3</v>
      </c>
      <c r="S211" s="19">
        <v>0</v>
      </c>
      <c r="T211" s="23">
        <v>0</v>
      </c>
      <c r="U211" s="24">
        <v>0</v>
      </c>
      <c r="V211" s="33">
        <v>0</v>
      </c>
      <c r="W211" s="34">
        <v>0</v>
      </c>
      <c r="X211" s="35">
        <v>0</v>
      </c>
      <c r="Y211" s="19">
        <v>0</v>
      </c>
      <c r="Z211" s="23">
        <v>0</v>
      </c>
      <c r="AA211" s="24">
        <v>0</v>
      </c>
      <c r="AB211" s="33">
        <v>0</v>
      </c>
      <c r="AC211" s="34">
        <v>0</v>
      </c>
      <c r="AD211" s="35">
        <v>0</v>
      </c>
      <c r="AE211" s="36">
        <v>0</v>
      </c>
      <c r="AF211" s="23">
        <v>0</v>
      </c>
      <c r="AG211" s="24">
        <v>0</v>
      </c>
      <c r="AH211" s="33">
        <v>0</v>
      </c>
      <c r="AI211" s="37">
        <v>0</v>
      </c>
      <c r="AJ211" s="35">
        <v>0</v>
      </c>
      <c r="AK211" s="36">
        <v>0</v>
      </c>
      <c r="AL211" s="38">
        <v>0</v>
      </c>
      <c r="AM211" s="35">
        <v>0</v>
      </c>
      <c r="AN211" s="19">
        <v>0</v>
      </c>
      <c r="AO211" s="23">
        <v>0</v>
      </c>
      <c r="AP211" s="24">
        <v>0</v>
      </c>
      <c r="AQ211" s="58">
        <f t="shared" si="14"/>
        <v>2.16</v>
      </c>
      <c r="AR211" s="59">
        <f t="shared" si="15"/>
        <v>5400</v>
      </c>
      <c r="AS211" s="35">
        <v>3</v>
      </c>
    </row>
    <row r="212" spans="1:45" ht="16" x14ac:dyDescent="0.2">
      <c r="A212" s="53">
        <v>208</v>
      </c>
      <c r="B212" s="55" t="s">
        <v>215</v>
      </c>
      <c r="C212" s="54" t="s">
        <v>233</v>
      </c>
      <c r="D212" s="350"/>
      <c r="E212" s="53"/>
      <c r="F212" s="56"/>
      <c r="G212" s="53"/>
      <c r="H212" s="56"/>
      <c r="I212" s="57"/>
      <c r="J212" s="53"/>
      <c r="K212" s="56"/>
      <c r="L212" s="57"/>
      <c r="M212" s="58"/>
      <c r="N212" s="56"/>
      <c r="O212" s="57"/>
      <c r="P212" s="58">
        <f t="shared" si="12"/>
        <v>0.72</v>
      </c>
      <c r="Q212" s="59">
        <f t="shared" si="13"/>
        <v>1800</v>
      </c>
      <c r="R212" s="35">
        <v>1</v>
      </c>
      <c r="S212" s="19">
        <v>0</v>
      </c>
      <c r="T212" s="23">
        <v>0</v>
      </c>
      <c r="U212" s="24">
        <v>0</v>
      </c>
      <c r="V212" s="33">
        <v>0</v>
      </c>
      <c r="W212" s="34">
        <v>0</v>
      </c>
      <c r="X212" s="35">
        <v>0</v>
      </c>
      <c r="Y212" s="19">
        <v>0</v>
      </c>
      <c r="Z212" s="23">
        <v>0</v>
      </c>
      <c r="AA212" s="24">
        <v>0</v>
      </c>
      <c r="AB212" s="33">
        <v>0</v>
      </c>
      <c r="AC212" s="34">
        <v>0</v>
      </c>
      <c r="AD212" s="35">
        <v>0</v>
      </c>
      <c r="AE212" s="36">
        <v>0</v>
      </c>
      <c r="AF212" s="23">
        <v>0</v>
      </c>
      <c r="AG212" s="24">
        <v>0</v>
      </c>
      <c r="AH212" s="33">
        <v>0</v>
      </c>
      <c r="AI212" s="37">
        <v>0</v>
      </c>
      <c r="AJ212" s="35">
        <v>0</v>
      </c>
      <c r="AK212" s="36">
        <v>0</v>
      </c>
      <c r="AL212" s="38">
        <v>0</v>
      </c>
      <c r="AM212" s="35">
        <v>0</v>
      </c>
      <c r="AN212" s="19">
        <v>0</v>
      </c>
      <c r="AO212" s="23">
        <v>0</v>
      </c>
      <c r="AP212" s="24">
        <v>0</v>
      </c>
      <c r="AQ212" s="58">
        <f t="shared" si="14"/>
        <v>0.72</v>
      </c>
      <c r="AR212" s="59">
        <f t="shared" si="15"/>
        <v>1800</v>
      </c>
      <c r="AS212" s="35">
        <v>1</v>
      </c>
    </row>
    <row r="213" spans="1:45" ht="16" x14ac:dyDescent="0.2">
      <c r="A213" s="53">
        <v>209</v>
      </c>
      <c r="B213" s="55" t="s">
        <v>215</v>
      </c>
      <c r="C213" s="54" t="s">
        <v>234</v>
      </c>
      <c r="D213" s="350"/>
      <c r="E213" s="53"/>
      <c r="F213" s="56"/>
      <c r="G213" s="53"/>
      <c r="H213" s="56"/>
      <c r="I213" s="57"/>
      <c r="J213" s="53"/>
      <c r="K213" s="56"/>
      <c r="L213" s="57"/>
      <c r="M213" s="58"/>
      <c r="N213" s="56"/>
      <c r="O213" s="57"/>
      <c r="P213" s="58">
        <f t="shared" si="12"/>
        <v>2.88</v>
      </c>
      <c r="Q213" s="59">
        <f t="shared" si="13"/>
        <v>7200</v>
      </c>
      <c r="R213" s="35">
        <v>4</v>
      </c>
      <c r="S213" s="19">
        <v>0</v>
      </c>
      <c r="T213" s="23">
        <v>0</v>
      </c>
      <c r="U213" s="24">
        <v>0</v>
      </c>
      <c r="V213" s="33">
        <v>0</v>
      </c>
      <c r="W213" s="34">
        <v>0</v>
      </c>
      <c r="X213" s="35">
        <v>0</v>
      </c>
      <c r="Y213" s="19">
        <v>0</v>
      </c>
      <c r="Z213" s="23">
        <v>0</v>
      </c>
      <c r="AA213" s="24">
        <v>0</v>
      </c>
      <c r="AB213" s="33">
        <v>0</v>
      </c>
      <c r="AC213" s="34">
        <v>0</v>
      </c>
      <c r="AD213" s="35">
        <v>0</v>
      </c>
      <c r="AE213" s="36">
        <v>0</v>
      </c>
      <c r="AF213" s="23">
        <v>0</v>
      </c>
      <c r="AG213" s="24">
        <v>0</v>
      </c>
      <c r="AH213" s="33">
        <v>0</v>
      </c>
      <c r="AI213" s="37">
        <v>0</v>
      </c>
      <c r="AJ213" s="35">
        <v>0</v>
      </c>
      <c r="AK213" s="36">
        <v>0</v>
      </c>
      <c r="AL213" s="38">
        <v>0</v>
      </c>
      <c r="AM213" s="35">
        <v>0</v>
      </c>
      <c r="AN213" s="19">
        <v>0</v>
      </c>
      <c r="AO213" s="23">
        <v>0</v>
      </c>
      <c r="AP213" s="24">
        <v>0</v>
      </c>
      <c r="AQ213" s="58">
        <f t="shared" si="14"/>
        <v>2.88</v>
      </c>
      <c r="AR213" s="59">
        <f t="shared" si="15"/>
        <v>7200</v>
      </c>
      <c r="AS213" s="35">
        <v>4</v>
      </c>
    </row>
    <row r="214" spans="1:45" ht="16" x14ac:dyDescent="0.2">
      <c r="A214" s="53">
        <v>210</v>
      </c>
      <c r="B214" s="55" t="s">
        <v>215</v>
      </c>
      <c r="C214" s="54" t="s">
        <v>235</v>
      </c>
      <c r="D214" s="350"/>
      <c r="E214" s="53"/>
      <c r="F214" s="56"/>
      <c r="G214" s="53"/>
      <c r="H214" s="56"/>
      <c r="I214" s="57"/>
      <c r="J214" s="53"/>
      <c r="K214" s="56"/>
      <c r="L214" s="57"/>
      <c r="M214" s="58"/>
      <c r="N214" s="56"/>
      <c r="O214" s="57"/>
      <c r="P214" s="58">
        <f t="shared" si="12"/>
        <v>0</v>
      </c>
      <c r="Q214" s="59">
        <f t="shared" si="13"/>
        <v>0</v>
      </c>
      <c r="R214" s="35">
        <v>0</v>
      </c>
      <c r="S214" s="19">
        <v>0</v>
      </c>
      <c r="T214" s="23">
        <v>0</v>
      </c>
      <c r="U214" s="24">
        <v>0</v>
      </c>
      <c r="V214" s="33">
        <v>0</v>
      </c>
      <c r="W214" s="34">
        <v>0</v>
      </c>
      <c r="X214" s="35">
        <v>0</v>
      </c>
      <c r="Y214" s="19">
        <v>0</v>
      </c>
      <c r="Z214" s="23">
        <v>0</v>
      </c>
      <c r="AA214" s="24">
        <v>0</v>
      </c>
      <c r="AB214" s="33">
        <v>0</v>
      </c>
      <c r="AC214" s="34">
        <v>0</v>
      </c>
      <c r="AD214" s="35">
        <v>0</v>
      </c>
      <c r="AE214" s="36">
        <v>0</v>
      </c>
      <c r="AF214" s="23">
        <v>0</v>
      </c>
      <c r="AG214" s="24">
        <v>0</v>
      </c>
      <c r="AH214" s="33">
        <v>0</v>
      </c>
      <c r="AI214" s="37">
        <v>0</v>
      </c>
      <c r="AJ214" s="35">
        <v>0</v>
      </c>
      <c r="AK214" s="36">
        <v>0</v>
      </c>
      <c r="AL214" s="38">
        <v>0</v>
      </c>
      <c r="AM214" s="35">
        <v>0</v>
      </c>
      <c r="AN214" s="19">
        <v>0</v>
      </c>
      <c r="AO214" s="23">
        <v>0</v>
      </c>
      <c r="AP214" s="24">
        <v>0</v>
      </c>
      <c r="AQ214" s="58">
        <f t="shared" si="14"/>
        <v>0</v>
      </c>
      <c r="AR214" s="59">
        <f t="shared" si="15"/>
        <v>0</v>
      </c>
      <c r="AS214" s="35">
        <v>0</v>
      </c>
    </row>
    <row r="215" spans="1:45" ht="16" x14ac:dyDescent="0.2">
      <c r="A215" s="53">
        <v>211</v>
      </c>
      <c r="B215" s="55" t="s">
        <v>215</v>
      </c>
      <c r="C215" s="54" t="s">
        <v>236</v>
      </c>
      <c r="D215" s="350"/>
      <c r="E215" s="53"/>
      <c r="F215" s="56"/>
      <c r="G215" s="53"/>
      <c r="H215" s="56"/>
      <c r="I215" s="57"/>
      <c r="J215" s="53"/>
      <c r="K215" s="56"/>
      <c r="L215" s="57"/>
      <c r="M215" s="58"/>
      <c r="N215" s="56"/>
      <c r="O215" s="57"/>
      <c r="P215" s="58">
        <f t="shared" si="12"/>
        <v>2.16</v>
      </c>
      <c r="Q215" s="59">
        <f t="shared" si="13"/>
        <v>5400</v>
      </c>
      <c r="R215" s="35">
        <v>3</v>
      </c>
      <c r="S215" s="19">
        <v>0</v>
      </c>
      <c r="T215" s="23">
        <v>0</v>
      </c>
      <c r="U215" s="24">
        <v>0</v>
      </c>
      <c r="V215" s="33">
        <v>0</v>
      </c>
      <c r="W215" s="34">
        <v>0</v>
      </c>
      <c r="X215" s="35">
        <v>0</v>
      </c>
      <c r="Y215" s="19">
        <v>0</v>
      </c>
      <c r="Z215" s="23">
        <v>0</v>
      </c>
      <c r="AA215" s="24">
        <v>0</v>
      </c>
      <c r="AB215" s="33">
        <v>0</v>
      </c>
      <c r="AC215" s="34">
        <v>0</v>
      </c>
      <c r="AD215" s="35">
        <v>0</v>
      </c>
      <c r="AE215" s="36">
        <v>0</v>
      </c>
      <c r="AF215" s="23">
        <v>0</v>
      </c>
      <c r="AG215" s="24">
        <v>0</v>
      </c>
      <c r="AH215" s="33">
        <v>0</v>
      </c>
      <c r="AI215" s="37">
        <v>0</v>
      </c>
      <c r="AJ215" s="35">
        <v>0</v>
      </c>
      <c r="AK215" s="36">
        <v>0</v>
      </c>
      <c r="AL215" s="38">
        <v>0</v>
      </c>
      <c r="AM215" s="35">
        <v>0</v>
      </c>
      <c r="AN215" s="19">
        <v>0</v>
      </c>
      <c r="AO215" s="23">
        <v>0</v>
      </c>
      <c r="AP215" s="24">
        <v>0</v>
      </c>
      <c r="AQ215" s="58">
        <f t="shared" si="14"/>
        <v>2.16</v>
      </c>
      <c r="AR215" s="59">
        <f t="shared" si="15"/>
        <v>5400</v>
      </c>
      <c r="AS215" s="35">
        <v>3</v>
      </c>
    </row>
    <row r="216" spans="1:45" ht="16" x14ac:dyDescent="0.2">
      <c r="A216" s="53">
        <v>212</v>
      </c>
      <c r="B216" s="55" t="s">
        <v>237</v>
      </c>
      <c r="C216" s="54" t="s">
        <v>238</v>
      </c>
      <c r="D216" s="350"/>
      <c r="E216" s="53"/>
      <c r="F216" s="56"/>
      <c r="G216" s="53"/>
      <c r="H216" s="56"/>
      <c r="I216" s="57"/>
      <c r="J216" s="53"/>
      <c r="K216" s="56"/>
      <c r="L216" s="57"/>
      <c r="M216" s="58"/>
      <c r="N216" s="56"/>
      <c r="O216" s="57"/>
      <c r="P216" s="58">
        <f t="shared" si="12"/>
        <v>3.6</v>
      </c>
      <c r="Q216" s="59">
        <f t="shared" si="13"/>
        <v>9000</v>
      </c>
      <c r="R216" s="35">
        <v>5</v>
      </c>
      <c r="S216" s="19">
        <v>0</v>
      </c>
      <c r="T216" s="23">
        <v>0</v>
      </c>
      <c r="U216" s="24">
        <v>0</v>
      </c>
      <c r="V216" s="33">
        <v>0</v>
      </c>
      <c r="W216" s="34">
        <v>0</v>
      </c>
      <c r="X216" s="35">
        <v>0</v>
      </c>
      <c r="Y216" s="19">
        <v>0</v>
      </c>
      <c r="Z216" s="23">
        <v>0</v>
      </c>
      <c r="AA216" s="24">
        <v>0</v>
      </c>
      <c r="AB216" s="33">
        <v>0</v>
      </c>
      <c r="AC216" s="34">
        <v>0</v>
      </c>
      <c r="AD216" s="35">
        <v>0</v>
      </c>
      <c r="AE216" s="36">
        <v>0</v>
      </c>
      <c r="AF216" s="23">
        <v>0</v>
      </c>
      <c r="AG216" s="24">
        <v>0</v>
      </c>
      <c r="AH216" s="33">
        <v>0</v>
      </c>
      <c r="AI216" s="37">
        <v>0</v>
      </c>
      <c r="AJ216" s="35">
        <v>0</v>
      </c>
      <c r="AK216" s="36">
        <v>0</v>
      </c>
      <c r="AL216" s="38">
        <v>0</v>
      </c>
      <c r="AM216" s="35">
        <v>0</v>
      </c>
      <c r="AN216" s="19">
        <v>0</v>
      </c>
      <c r="AO216" s="23">
        <v>0</v>
      </c>
      <c r="AP216" s="24">
        <v>0</v>
      </c>
      <c r="AQ216" s="58">
        <f t="shared" si="14"/>
        <v>3.6</v>
      </c>
      <c r="AR216" s="59">
        <f t="shared" si="15"/>
        <v>9000</v>
      </c>
      <c r="AS216" s="35">
        <v>5</v>
      </c>
    </row>
    <row r="217" spans="1:45" ht="16" x14ac:dyDescent="0.2">
      <c r="A217" s="53">
        <v>213</v>
      </c>
      <c r="B217" s="55" t="s">
        <v>237</v>
      </c>
      <c r="C217" s="54" t="s">
        <v>239</v>
      </c>
      <c r="D217" s="350"/>
      <c r="E217" s="53"/>
      <c r="F217" s="56"/>
      <c r="G217" s="53"/>
      <c r="H217" s="56"/>
      <c r="I217" s="57"/>
      <c r="J217" s="53"/>
      <c r="K217" s="56"/>
      <c r="L217" s="57"/>
      <c r="M217" s="58"/>
      <c r="N217" s="56"/>
      <c r="O217" s="57"/>
      <c r="P217" s="58">
        <f t="shared" si="12"/>
        <v>3.6</v>
      </c>
      <c r="Q217" s="59">
        <f t="shared" si="13"/>
        <v>9000</v>
      </c>
      <c r="R217" s="35">
        <v>5</v>
      </c>
      <c r="S217" s="19">
        <v>0</v>
      </c>
      <c r="T217" s="23">
        <v>0</v>
      </c>
      <c r="U217" s="24">
        <v>0</v>
      </c>
      <c r="V217" s="33">
        <v>0</v>
      </c>
      <c r="W217" s="34">
        <v>0</v>
      </c>
      <c r="X217" s="35">
        <v>0</v>
      </c>
      <c r="Y217" s="19">
        <v>0</v>
      </c>
      <c r="Z217" s="23">
        <v>0</v>
      </c>
      <c r="AA217" s="24">
        <v>0</v>
      </c>
      <c r="AB217" s="33">
        <v>0</v>
      </c>
      <c r="AC217" s="34">
        <v>0</v>
      </c>
      <c r="AD217" s="35">
        <v>0</v>
      </c>
      <c r="AE217" s="36">
        <v>0</v>
      </c>
      <c r="AF217" s="23">
        <v>0</v>
      </c>
      <c r="AG217" s="24">
        <v>0</v>
      </c>
      <c r="AH217" s="33">
        <v>0</v>
      </c>
      <c r="AI217" s="37">
        <v>0</v>
      </c>
      <c r="AJ217" s="35">
        <v>0</v>
      </c>
      <c r="AK217" s="36">
        <v>0</v>
      </c>
      <c r="AL217" s="38">
        <v>0</v>
      </c>
      <c r="AM217" s="35">
        <v>0</v>
      </c>
      <c r="AN217" s="19">
        <v>0</v>
      </c>
      <c r="AO217" s="23">
        <v>0</v>
      </c>
      <c r="AP217" s="24">
        <v>0</v>
      </c>
      <c r="AQ217" s="58">
        <f t="shared" si="14"/>
        <v>3.6</v>
      </c>
      <c r="AR217" s="59">
        <f t="shared" si="15"/>
        <v>9000</v>
      </c>
      <c r="AS217" s="35">
        <v>5</v>
      </c>
    </row>
    <row r="218" spans="1:45" ht="16" x14ac:dyDescent="0.2">
      <c r="A218" s="53">
        <v>214</v>
      </c>
      <c r="B218" s="55" t="s">
        <v>237</v>
      </c>
      <c r="C218" s="54" t="s">
        <v>240</v>
      </c>
      <c r="D218" s="350"/>
      <c r="E218" s="53"/>
      <c r="F218" s="56"/>
      <c r="G218" s="53"/>
      <c r="H218" s="56"/>
      <c r="I218" s="57"/>
      <c r="J218" s="53"/>
      <c r="K218" s="56"/>
      <c r="L218" s="57"/>
      <c r="M218" s="58"/>
      <c r="N218" s="56"/>
      <c r="O218" s="57"/>
      <c r="P218" s="58">
        <f t="shared" si="12"/>
        <v>6.48</v>
      </c>
      <c r="Q218" s="59">
        <f t="shared" si="13"/>
        <v>16200</v>
      </c>
      <c r="R218" s="35">
        <v>9</v>
      </c>
      <c r="S218" s="19">
        <v>0</v>
      </c>
      <c r="T218" s="23">
        <v>0</v>
      </c>
      <c r="U218" s="24">
        <v>0</v>
      </c>
      <c r="V218" s="33">
        <v>0</v>
      </c>
      <c r="W218" s="34">
        <v>0</v>
      </c>
      <c r="X218" s="35">
        <v>0</v>
      </c>
      <c r="Y218" s="19">
        <v>0</v>
      </c>
      <c r="Z218" s="23">
        <v>0</v>
      </c>
      <c r="AA218" s="24">
        <v>0</v>
      </c>
      <c r="AB218" s="33">
        <v>0</v>
      </c>
      <c r="AC218" s="34">
        <v>0</v>
      </c>
      <c r="AD218" s="35">
        <v>0</v>
      </c>
      <c r="AE218" s="36">
        <v>0</v>
      </c>
      <c r="AF218" s="23">
        <v>0</v>
      </c>
      <c r="AG218" s="24">
        <v>0</v>
      </c>
      <c r="AH218" s="33">
        <v>0</v>
      </c>
      <c r="AI218" s="37">
        <v>0</v>
      </c>
      <c r="AJ218" s="35">
        <v>0</v>
      </c>
      <c r="AK218" s="36">
        <v>0</v>
      </c>
      <c r="AL218" s="38">
        <v>0</v>
      </c>
      <c r="AM218" s="35">
        <v>0</v>
      </c>
      <c r="AN218" s="19">
        <v>0</v>
      </c>
      <c r="AO218" s="23">
        <v>0</v>
      </c>
      <c r="AP218" s="24">
        <v>0</v>
      </c>
      <c r="AQ218" s="58">
        <f t="shared" si="14"/>
        <v>6.48</v>
      </c>
      <c r="AR218" s="59">
        <f t="shared" si="15"/>
        <v>16200</v>
      </c>
      <c r="AS218" s="35">
        <v>9</v>
      </c>
    </row>
    <row r="219" spans="1:45" ht="16" x14ac:dyDescent="0.2">
      <c r="A219" s="53">
        <v>215</v>
      </c>
      <c r="B219" s="55" t="s">
        <v>237</v>
      </c>
      <c r="C219" s="54" t="s">
        <v>237</v>
      </c>
      <c r="D219" s="350"/>
      <c r="E219" s="53"/>
      <c r="F219" s="56"/>
      <c r="G219" s="53"/>
      <c r="H219" s="56"/>
      <c r="I219" s="57"/>
      <c r="J219" s="53"/>
      <c r="K219" s="56"/>
      <c r="L219" s="57"/>
      <c r="M219" s="58"/>
      <c r="N219" s="56"/>
      <c r="O219" s="57"/>
      <c r="P219" s="58">
        <f t="shared" si="12"/>
        <v>8.64</v>
      </c>
      <c r="Q219" s="59">
        <f t="shared" si="13"/>
        <v>21600</v>
      </c>
      <c r="R219" s="35">
        <v>12</v>
      </c>
      <c r="S219" s="19">
        <v>0</v>
      </c>
      <c r="T219" s="23">
        <v>0</v>
      </c>
      <c r="U219" s="24">
        <v>0</v>
      </c>
      <c r="V219" s="33">
        <v>0</v>
      </c>
      <c r="W219" s="34">
        <v>0</v>
      </c>
      <c r="X219" s="35">
        <v>0</v>
      </c>
      <c r="Y219" s="19">
        <v>0</v>
      </c>
      <c r="Z219" s="23">
        <v>0</v>
      </c>
      <c r="AA219" s="24">
        <v>0</v>
      </c>
      <c r="AB219" s="33">
        <v>0</v>
      </c>
      <c r="AC219" s="34">
        <v>0</v>
      </c>
      <c r="AD219" s="35">
        <v>0</v>
      </c>
      <c r="AE219" s="36">
        <v>0</v>
      </c>
      <c r="AF219" s="23">
        <v>0</v>
      </c>
      <c r="AG219" s="24">
        <v>0</v>
      </c>
      <c r="AH219" s="33">
        <v>0</v>
      </c>
      <c r="AI219" s="37">
        <v>0</v>
      </c>
      <c r="AJ219" s="35">
        <v>0</v>
      </c>
      <c r="AK219" s="36">
        <v>0</v>
      </c>
      <c r="AL219" s="38">
        <v>0</v>
      </c>
      <c r="AM219" s="35">
        <v>0</v>
      </c>
      <c r="AN219" s="19">
        <v>0</v>
      </c>
      <c r="AO219" s="23">
        <v>0</v>
      </c>
      <c r="AP219" s="24">
        <v>0</v>
      </c>
      <c r="AQ219" s="58">
        <f t="shared" si="14"/>
        <v>8.64</v>
      </c>
      <c r="AR219" s="59">
        <f t="shared" si="15"/>
        <v>21600</v>
      </c>
      <c r="AS219" s="35">
        <v>12</v>
      </c>
    </row>
    <row r="220" spans="1:45" ht="16" x14ac:dyDescent="0.2">
      <c r="A220" s="53">
        <v>216</v>
      </c>
      <c r="B220" s="55" t="s">
        <v>237</v>
      </c>
      <c r="C220" s="54" t="s">
        <v>241</v>
      </c>
      <c r="D220" s="350"/>
      <c r="E220" s="53"/>
      <c r="F220" s="56"/>
      <c r="G220" s="53"/>
      <c r="H220" s="56"/>
      <c r="I220" s="57"/>
      <c r="J220" s="53"/>
      <c r="K220" s="56"/>
      <c r="L220" s="57"/>
      <c r="M220" s="58"/>
      <c r="N220" s="56"/>
      <c r="O220" s="57"/>
      <c r="P220" s="58">
        <f t="shared" si="12"/>
        <v>7.92</v>
      </c>
      <c r="Q220" s="59">
        <f t="shared" si="13"/>
        <v>19800</v>
      </c>
      <c r="R220" s="35">
        <v>11</v>
      </c>
      <c r="S220" s="19">
        <v>0</v>
      </c>
      <c r="T220" s="23">
        <v>0</v>
      </c>
      <c r="U220" s="24">
        <v>0</v>
      </c>
      <c r="V220" s="33">
        <v>0</v>
      </c>
      <c r="W220" s="34">
        <v>0</v>
      </c>
      <c r="X220" s="35">
        <v>0</v>
      </c>
      <c r="Y220" s="19">
        <v>0</v>
      </c>
      <c r="Z220" s="23">
        <v>0</v>
      </c>
      <c r="AA220" s="24">
        <v>0</v>
      </c>
      <c r="AB220" s="33">
        <v>0</v>
      </c>
      <c r="AC220" s="34">
        <v>0</v>
      </c>
      <c r="AD220" s="35">
        <v>0</v>
      </c>
      <c r="AE220" s="36">
        <v>0</v>
      </c>
      <c r="AF220" s="23">
        <v>0</v>
      </c>
      <c r="AG220" s="24">
        <v>0</v>
      </c>
      <c r="AH220" s="33">
        <v>0</v>
      </c>
      <c r="AI220" s="37">
        <v>0</v>
      </c>
      <c r="AJ220" s="35">
        <v>0</v>
      </c>
      <c r="AK220" s="36">
        <v>0</v>
      </c>
      <c r="AL220" s="38">
        <v>0</v>
      </c>
      <c r="AM220" s="35">
        <v>0</v>
      </c>
      <c r="AN220" s="19">
        <v>0</v>
      </c>
      <c r="AO220" s="23">
        <v>0</v>
      </c>
      <c r="AP220" s="24">
        <v>0</v>
      </c>
      <c r="AQ220" s="58">
        <f t="shared" si="14"/>
        <v>7.92</v>
      </c>
      <c r="AR220" s="59">
        <f t="shared" si="15"/>
        <v>19800</v>
      </c>
      <c r="AS220" s="35">
        <v>11</v>
      </c>
    </row>
    <row r="221" spans="1:45" ht="16" x14ac:dyDescent="0.2">
      <c r="A221" s="53">
        <v>217</v>
      </c>
      <c r="B221" s="55" t="s">
        <v>237</v>
      </c>
      <c r="C221" s="54" t="s">
        <v>242</v>
      </c>
      <c r="D221" s="350"/>
      <c r="E221" s="53"/>
      <c r="F221" s="56"/>
      <c r="G221" s="53"/>
      <c r="H221" s="56"/>
      <c r="I221" s="57"/>
      <c r="J221" s="53"/>
      <c r="K221" s="56"/>
      <c r="L221" s="57"/>
      <c r="M221" s="58"/>
      <c r="N221" s="56"/>
      <c r="O221" s="57"/>
      <c r="P221" s="58">
        <f t="shared" si="12"/>
        <v>3.6</v>
      </c>
      <c r="Q221" s="59">
        <f t="shared" si="13"/>
        <v>9000</v>
      </c>
      <c r="R221" s="35">
        <v>5</v>
      </c>
      <c r="S221" s="19">
        <v>0</v>
      </c>
      <c r="T221" s="23">
        <v>0</v>
      </c>
      <c r="U221" s="24">
        <v>0</v>
      </c>
      <c r="V221" s="33">
        <v>0</v>
      </c>
      <c r="W221" s="34">
        <v>0</v>
      </c>
      <c r="X221" s="35">
        <v>0</v>
      </c>
      <c r="Y221" s="19">
        <v>0</v>
      </c>
      <c r="Z221" s="23">
        <v>0</v>
      </c>
      <c r="AA221" s="24">
        <v>0</v>
      </c>
      <c r="AB221" s="33">
        <v>0</v>
      </c>
      <c r="AC221" s="34">
        <v>0</v>
      </c>
      <c r="AD221" s="35">
        <v>0</v>
      </c>
      <c r="AE221" s="36">
        <v>0</v>
      </c>
      <c r="AF221" s="23">
        <v>0</v>
      </c>
      <c r="AG221" s="24">
        <v>0</v>
      </c>
      <c r="AH221" s="33">
        <v>0</v>
      </c>
      <c r="AI221" s="37">
        <v>0</v>
      </c>
      <c r="AJ221" s="35">
        <v>0</v>
      </c>
      <c r="AK221" s="36">
        <v>0</v>
      </c>
      <c r="AL221" s="38">
        <v>0</v>
      </c>
      <c r="AM221" s="35">
        <v>0</v>
      </c>
      <c r="AN221" s="19">
        <v>0</v>
      </c>
      <c r="AO221" s="23">
        <v>0</v>
      </c>
      <c r="AP221" s="24">
        <v>0</v>
      </c>
      <c r="AQ221" s="58">
        <f t="shared" si="14"/>
        <v>3.6</v>
      </c>
      <c r="AR221" s="59">
        <f t="shared" si="15"/>
        <v>9000</v>
      </c>
      <c r="AS221" s="35">
        <v>5</v>
      </c>
    </row>
    <row r="222" spans="1:45" ht="16" x14ac:dyDescent="0.2">
      <c r="A222" s="53">
        <v>218</v>
      </c>
      <c r="B222" s="55" t="s">
        <v>237</v>
      </c>
      <c r="C222" s="54" t="s">
        <v>243</v>
      </c>
      <c r="D222" s="350"/>
      <c r="E222" s="53"/>
      <c r="F222" s="56"/>
      <c r="G222" s="53"/>
      <c r="H222" s="56"/>
      <c r="I222" s="57"/>
      <c r="J222" s="53"/>
      <c r="K222" s="56"/>
      <c r="L222" s="57"/>
      <c r="M222" s="58"/>
      <c r="N222" s="56"/>
      <c r="O222" s="57"/>
      <c r="P222" s="58">
        <f t="shared" si="12"/>
        <v>2.16</v>
      </c>
      <c r="Q222" s="59">
        <f t="shared" si="13"/>
        <v>5400</v>
      </c>
      <c r="R222" s="35">
        <v>3</v>
      </c>
      <c r="S222" s="19">
        <v>0</v>
      </c>
      <c r="T222" s="23">
        <v>0</v>
      </c>
      <c r="U222" s="24">
        <v>0</v>
      </c>
      <c r="V222" s="33">
        <v>0</v>
      </c>
      <c r="W222" s="34">
        <v>0</v>
      </c>
      <c r="X222" s="35">
        <v>0</v>
      </c>
      <c r="Y222" s="19">
        <v>0</v>
      </c>
      <c r="Z222" s="23">
        <v>0</v>
      </c>
      <c r="AA222" s="24">
        <v>0</v>
      </c>
      <c r="AB222" s="33">
        <v>0</v>
      </c>
      <c r="AC222" s="34">
        <v>0</v>
      </c>
      <c r="AD222" s="35">
        <v>0</v>
      </c>
      <c r="AE222" s="36">
        <v>0</v>
      </c>
      <c r="AF222" s="23">
        <v>0</v>
      </c>
      <c r="AG222" s="24">
        <v>0</v>
      </c>
      <c r="AH222" s="33">
        <v>0</v>
      </c>
      <c r="AI222" s="37">
        <v>0</v>
      </c>
      <c r="AJ222" s="35">
        <v>0</v>
      </c>
      <c r="AK222" s="36">
        <v>0</v>
      </c>
      <c r="AL222" s="38">
        <v>0</v>
      </c>
      <c r="AM222" s="35">
        <v>0</v>
      </c>
      <c r="AN222" s="19">
        <v>0</v>
      </c>
      <c r="AO222" s="23">
        <v>0</v>
      </c>
      <c r="AP222" s="24">
        <v>0</v>
      </c>
      <c r="AQ222" s="58">
        <f t="shared" si="14"/>
        <v>2.16</v>
      </c>
      <c r="AR222" s="59">
        <f t="shared" si="15"/>
        <v>5400</v>
      </c>
      <c r="AS222" s="35">
        <v>3</v>
      </c>
    </row>
    <row r="223" spans="1:45" ht="16" x14ac:dyDescent="0.2">
      <c r="A223" s="53">
        <v>219</v>
      </c>
      <c r="B223" s="55" t="s">
        <v>237</v>
      </c>
      <c r="C223" s="54" t="s">
        <v>244</v>
      </c>
      <c r="D223" s="350"/>
      <c r="E223" s="53"/>
      <c r="F223" s="56"/>
      <c r="G223" s="53"/>
      <c r="H223" s="56"/>
      <c r="I223" s="57"/>
      <c r="J223" s="53"/>
      <c r="K223" s="56"/>
      <c r="L223" s="57"/>
      <c r="M223" s="58"/>
      <c r="N223" s="56"/>
      <c r="O223" s="57"/>
      <c r="P223" s="58">
        <f t="shared" si="12"/>
        <v>2.16</v>
      </c>
      <c r="Q223" s="59">
        <f t="shared" si="13"/>
        <v>5400</v>
      </c>
      <c r="R223" s="35">
        <v>3</v>
      </c>
      <c r="S223" s="19">
        <v>0</v>
      </c>
      <c r="T223" s="23">
        <v>0</v>
      </c>
      <c r="U223" s="24">
        <v>0</v>
      </c>
      <c r="V223" s="33">
        <v>0</v>
      </c>
      <c r="W223" s="34">
        <v>0</v>
      </c>
      <c r="X223" s="35">
        <v>0</v>
      </c>
      <c r="Y223" s="19">
        <v>0</v>
      </c>
      <c r="Z223" s="23">
        <v>0</v>
      </c>
      <c r="AA223" s="24">
        <v>0</v>
      </c>
      <c r="AB223" s="33">
        <v>0</v>
      </c>
      <c r="AC223" s="34">
        <v>0</v>
      </c>
      <c r="AD223" s="35">
        <v>0</v>
      </c>
      <c r="AE223" s="36">
        <v>0</v>
      </c>
      <c r="AF223" s="23">
        <v>0</v>
      </c>
      <c r="AG223" s="24">
        <v>0</v>
      </c>
      <c r="AH223" s="33">
        <v>0</v>
      </c>
      <c r="AI223" s="37">
        <v>0</v>
      </c>
      <c r="AJ223" s="35">
        <v>0</v>
      </c>
      <c r="AK223" s="36">
        <v>0</v>
      </c>
      <c r="AL223" s="38">
        <v>0</v>
      </c>
      <c r="AM223" s="35">
        <v>0</v>
      </c>
      <c r="AN223" s="19">
        <v>0</v>
      </c>
      <c r="AO223" s="23">
        <v>0</v>
      </c>
      <c r="AP223" s="24">
        <v>0</v>
      </c>
      <c r="AQ223" s="58">
        <f t="shared" si="14"/>
        <v>2.16</v>
      </c>
      <c r="AR223" s="59">
        <f t="shared" si="15"/>
        <v>5400</v>
      </c>
      <c r="AS223" s="35">
        <v>3</v>
      </c>
    </row>
    <row r="224" spans="1:45" ht="16" x14ac:dyDescent="0.2">
      <c r="A224" s="53">
        <v>220</v>
      </c>
      <c r="B224" s="55" t="s">
        <v>237</v>
      </c>
      <c r="C224" s="54" t="s">
        <v>245</v>
      </c>
      <c r="D224" s="350"/>
      <c r="E224" s="53"/>
      <c r="F224" s="56"/>
      <c r="G224" s="53"/>
      <c r="H224" s="56"/>
      <c r="I224" s="57"/>
      <c r="J224" s="53"/>
      <c r="K224" s="56"/>
      <c r="L224" s="57"/>
      <c r="M224" s="58"/>
      <c r="N224" s="56"/>
      <c r="O224" s="57"/>
      <c r="P224" s="58">
        <f t="shared" si="12"/>
        <v>6.48</v>
      </c>
      <c r="Q224" s="59">
        <f t="shared" si="13"/>
        <v>16200</v>
      </c>
      <c r="R224" s="35">
        <v>9</v>
      </c>
      <c r="S224" s="19">
        <v>0</v>
      </c>
      <c r="T224" s="23">
        <v>0</v>
      </c>
      <c r="U224" s="24">
        <v>0</v>
      </c>
      <c r="V224" s="33">
        <v>0</v>
      </c>
      <c r="W224" s="34">
        <v>0</v>
      </c>
      <c r="X224" s="35">
        <v>0</v>
      </c>
      <c r="Y224" s="19">
        <v>0</v>
      </c>
      <c r="Z224" s="23">
        <v>0</v>
      </c>
      <c r="AA224" s="24">
        <v>0</v>
      </c>
      <c r="AB224" s="33">
        <v>0</v>
      </c>
      <c r="AC224" s="34">
        <v>0</v>
      </c>
      <c r="AD224" s="35">
        <v>0</v>
      </c>
      <c r="AE224" s="36">
        <v>0</v>
      </c>
      <c r="AF224" s="23">
        <v>0</v>
      </c>
      <c r="AG224" s="24">
        <v>0</v>
      </c>
      <c r="AH224" s="33">
        <v>0</v>
      </c>
      <c r="AI224" s="37">
        <v>0</v>
      </c>
      <c r="AJ224" s="35">
        <v>0</v>
      </c>
      <c r="AK224" s="36">
        <v>0</v>
      </c>
      <c r="AL224" s="38">
        <v>0</v>
      </c>
      <c r="AM224" s="35">
        <v>0</v>
      </c>
      <c r="AN224" s="19">
        <v>0</v>
      </c>
      <c r="AO224" s="23">
        <v>0</v>
      </c>
      <c r="AP224" s="24">
        <v>0</v>
      </c>
      <c r="AQ224" s="58">
        <f t="shared" si="14"/>
        <v>6.48</v>
      </c>
      <c r="AR224" s="59">
        <f t="shared" si="15"/>
        <v>16200</v>
      </c>
      <c r="AS224" s="35">
        <v>9</v>
      </c>
    </row>
    <row r="225" spans="1:45" ht="16" x14ac:dyDescent="0.2">
      <c r="A225" s="53">
        <v>221</v>
      </c>
      <c r="B225" s="55" t="s">
        <v>246</v>
      </c>
      <c r="C225" s="54" t="s">
        <v>247</v>
      </c>
      <c r="D225" s="350"/>
      <c r="E225" s="53"/>
      <c r="F225" s="56"/>
      <c r="G225" s="53"/>
      <c r="H225" s="56"/>
      <c r="I225" s="57"/>
      <c r="J225" s="53"/>
      <c r="K225" s="56"/>
      <c r="L225" s="57"/>
      <c r="M225" s="58"/>
      <c r="N225" s="56"/>
      <c r="O225" s="57"/>
      <c r="P225" s="58">
        <f t="shared" si="12"/>
        <v>1.44</v>
      </c>
      <c r="Q225" s="59">
        <f t="shared" si="13"/>
        <v>3600</v>
      </c>
      <c r="R225" s="35">
        <v>2</v>
      </c>
      <c r="S225" s="19">
        <v>0</v>
      </c>
      <c r="T225" s="23">
        <v>0</v>
      </c>
      <c r="U225" s="24">
        <v>0</v>
      </c>
      <c r="V225" s="33">
        <v>0</v>
      </c>
      <c r="W225" s="34">
        <v>0</v>
      </c>
      <c r="X225" s="35">
        <v>0</v>
      </c>
      <c r="Y225" s="19">
        <v>0</v>
      </c>
      <c r="Z225" s="23">
        <v>0</v>
      </c>
      <c r="AA225" s="24">
        <v>0</v>
      </c>
      <c r="AB225" s="33">
        <v>0</v>
      </c>
      <c r="AC225" s="34">
        <v>0</v>
      </c>
      <c r="AD225" s="35">
        <v>0</v>
      </c>
      <c r="AE225" s="36">
        <v>0</v>
      </c>
      <c r="AF225" s="23">
        <v>0</v>
      </c>
      <c r="AG225" s="24">
        <v>0</v>
      </c>
      <c r="AH225" s="33">
        <v>0</v>
      </c>
      <c r="AI225" s="37">
        <v>0</v>
      </c>
      <c r="AJ225" s="35">
        <v>0</v>
      </c>
      <c r="AK225" s="36">
        <v>0</v>
      </c>
      <c r="AL225" s="38">
        <v>0</v>
      </c>
      <c r="AM225" s="35">
        <v>0</v>
      </c>
      <c r="AN225" s="19">
        <v>0</v>
      </c>
      <c r="AO225" s="23">
        <v>0</v>
      </c>
      <c r="AP225" s="24">
        <v>0</v>
      </c>
      <c r="AQ225" s="58">
        <f t="shared" si="14"/>
        <v>1.44</v>
      </c>
      <c r="AR225" s="59">
        <f t="shared" si="15"/>
        <v>3600</v>
      </c>
      <c r="AS225" s="35">
        <v>2</v>
      </c>
    </row>
    <row r="226" spans="1:45" ht="16" x14ac:dyDescent="0.2">
      <c r="A226" s="53">
        <v>222</v>
      </c>
      <c r="B226" s="55" t="s">
        <v>246</v>
      </c>
      <c r="C226" s="54" t="s">
        <v>248</v>
      </c>
      <c r="D226" s="350" t="s">
        <v>25</v>
      </c>
      <c r="E226" s="53"/>
      <c r="F226" s="56"/>
      <c r="G226" s="53"/>
      <c r="H226" s="56"/>
      <c r="I226" s="57"/>
      <c r="J226" s="53"/>
      <c r="K226" s="56"/>
      <c r="L226" s="57"/>
      <c r="M226" s="58"/>
      <c r="N226" s="56"/>
      <c r="O226" s="57"/>
      <c r="P226" s="58">
        <f t="shared" si="12"/>
        <v>2.16</v>
      </c>
      <c r="Q226" s="59">
        <f t="shared" si="13"/>
        <v>5400</v>
      </c>
      <c r="R226" s="35">
        <v>3</v>
      </c>
      <c r="S226" s="19">
        <v>0</v>
      </c>
      <c r="T226" s="23">
        <v>0</v>
      </c>
      <c r="U226" s="24">
        <v>0</v>
      </c>
      <c r="V226" s="33">
        <v>0</v>
      </c>
      <c r="W226" s="34">
        <v>0</v>
      </c>
      <c r="X226" s="35">
        <v>0</v>
      </c>
      <c r="Y226" s="19">
        <v>0</v>
      </c>
      <c r="Z226" s="23">
        <v>0</v>
      </c>
      <c r="AA226" s="24">
        <v>0</v>
      </c>
      <c r="AB226" s="33">
        <v>0</v>
      </c>
      <c r="AC226" s="34">
        <v>0</v>
      </c>
      <c r="AD226" s="35">
        <v>0</v>
      </c>
      <c r="AE226" s="36">
        <v>0</v>
      </c>
      <c r="AF226" s="23">
        <v>0</v>
      </c>
      <c r="AG226" s="24">
        <v>0</v>
      </c>
      <c r="AH226" s="33">
        <v>0</v>
      </c>
      <c r="AI226" s="37">
        <v>0</v>
      </c>
      <c r="AJ226" s="35">
        <v>0</v>
      </c>
      <c r="AK226" s="36">
        <v>0</v>
      </c>
      <c r="AL226" s="38">
        <v>0</v>
      </c>
      <c r="AM226" s="35">
        <v>0</v>
      </c>
      <c r="AN226" s="19">
        <v>0</v>
      </c>
      <c r="AO226" s="23">
        <v>0</v>
      </c>
      <c r="AP226" s="24">
        <v>0</v>
      </c>
      <c r="AQ226" s="58">
        <f t="shared" si="14"/>
        <v>2.16</v>
      </c>
      <c r="AR226" s="59">
        <f t="shared" si="15"/>
        <v>5400</v>
      </c>
      <c r="AS226" s="35">
        <v>3</v>
      </c>
    </row>
    <row r="227" spans="1:45" ht="16" x14ac:dyDescent="0.2">
      <c r="A227" s="53">
        <v>223</v>
      </c>
      <c r="B227" s="55" t="s">
        <v>246</v>
      </c>
      <c r="C227" s="54" t="s">
        <v>249</v>
      </c>
      <c r="D227" s="350"/>
      <c r="E227" s="53"/>
      <c r="F227" s="56"/>
      <c r="G227" s="53"/>
      <c r="H227" s="56"/>
      <c r="I227" s="57"/>
      <c r="J227" s="53"/>
      <c r="K227" s="56"/>
      <c r="L227" s="57"/>
      <c r="M227" s="58"/>
      <c r="N227" s="56"/>
      <c r="O227" s="57"/>
      <c r="P227" s="58">
        <f t="shared" si="12"/>
        <v>2.16</v>
      </c>
      <c r="Q227" s="59">
        <f t="shared" si="13"/>
        <v>5400</v>
      </c>
      <c r="R227" s="35">
        <v>3</v>
      </c>
      <c r="S227" s="19">
        <v>0</v>
      </c>
      <c r="T227" s="23">
        <v>0</v>
      </c>
      <c r="U227" s="24">
        <v>0</v>
      </c>
      <c r="V227" s="33">
        <v>0</v>
      </c>
      <c r="W227" s="34">
        <v>0</v>
      </c>
      <c r="X227" s="35">
        <v>0</v>
      </c>
      <c r="Y227" s="19">
        <v>0</v>
      </c>
      <c r="Z227" s="23">
        <v>0</v>
      </c>
      <c r="AA227" s="24">
        <v>0</v>
      </c>
      <c r="AB227" s="33">
        <v>0</v>
      </c>
      <c r="AC227" s="34">
        <v>0</v>
      </c>
      <c r="AD227" s="35">
        <v>0</v>
      </c>
      <c r="AE227" s="36">
        <v>0</v>
      </c>
      <c r="AF227" s="23">
        <v>0</v>
      </c>
      <c r="AG227" s="24">
        <v>0</v>
      </c>
      <c r="AH227" s="33">
        <v>0</v>
      </c>
      <c r="AI227" s="37">
        <v>0</v>
      </c>
      <c r="AJ227" s="35">
        <v>0</v>
      </c>
      <c r="AK227" s="36">
        <v>0</v>
      </c>
      <c r="AL227" s="38">
        <v>0</v>
      </c>
      <c r="AM227" s="35">
        <v>0</v>
      </c>
      <c r="AN227" s="19">
        <v>0</v>
      </c>
      <c r="AO227" s="23">
        <v>0</v>
      </c>
      <c r="AP227" s="24">
        <v>0</v>
      </c>
      <c r="AQ227" s="58">
        <f t="shared" si="14"/>
        <v>2.16</v>
      </c>
      <c r="AR227" s="59">
        <f t="shared" si="15"/>
        <v>5400</v>
      </c>
      <c r="AS227" s="35">
        <v>3</v>
      </c>
    </row>
    <row r="228" spans="1:45" ht="16" x14ac:dyDescent="0.2">
      <c r="A228" s="53">
        <v>224</v>
      </c>
      <c r="B228" s="55" t="s">
        <v>246</v>
      </c>
      <c r="C228" s="54" t="s">
        <v>250</v>
      </c>
      <c r="D228" s="350"/>
      <c r="E228" s="53"/>
      <c r="F228" s="56"/>
      <c r="G228" s="53"/>
      <c r="H228" s="56"/>
      <c r="I228" s="57"/>
      <c r="J228" s="53"/>
      <c r="K228" s="56"/>
      <c r="L228" s="57"/>
      <c r="M228" s="58"/>
      <c r="N228" s="56"/>
      <c r="O228" s="57"/>
      <c r="P228" s="58">
        <f t="shared" si="12"/>
        <v>1.44</v>
      </c>
      <c r="Q228" s="59">
        <f t="shared" si="13"/>
        <v>3600</v>
      </c>
      <c r="R228" s="35">
        <v>2</v>
      </c>
      <c r="S228" s="19">
        <v>0</v>
      </c>
      <c r="T228" s="23">
        <v>0</v>
      </c>
      <c r="U228" s="24">
        <v>0</v>
      </c>
      <c r="V228" s="33">
        <v>0</v>
      </c>
      <c r="W228" s="34">
        <v>0</v>
      </c>
      <c r="X228" s="35">
        <v>0</v>
      </c>
      <c r="Y228" s="19">
        <v>0</v>
      </c>
      <c r="Z228" s="23">
        <v>0</v>
      </c>
      <c r="AA228" s="24">
        <v>0</v>
      </c>
      <c r="AB228" s="33">
        <v>0</v>
      </c>
      <c r="AC228" s="34">
        <v>0</v>
      </c>
      <c r="AD228" s="35">
        <v>0</v>
      </c>
      <c r="AE228" s="36">
        <v>0</v>
      </c>
      <c r="AF228" s="23">
        <v>0</v>
      </c>
      <c r="AG228" s="24">
        <v>0</v>
      </c>
      <c r="AH228" s="33">
        <v>0</v>
      </c>
      <c r="AI228" s="37">
        <v>0</v>
      </c>
      <c r="AJ228" s="35">
        <v>0</v>
      </c>
      <c r="AK228" s="36">
        <v>0</v>
      </c>
      <c r="AL228" s="38">
        <v>0</v>
      </c>
      <c r="AM228" s="35">
        <v>0</v>
      </c>
      <c r="AN228" s="19">
        <v>0</v>
      </c>
      <c r="AO228" s="23">
        <v>0</v>
      </c>
      <c r="AP228" s="24">
        <v>0</v>
      </c>
      <c r="AQ228" s="58">
        <f t="shared" si="14"/>
        <v>1.44</v>
      </c>
      <c r="AR228" s="59">
        <f t="shared" si="15"/>
        <v>3600</v>
      </c>
      <c r="AS228" s="35">
        <v>2</v>
      </c>
    </row>
    <row r="229" spans="1:45" ht="16" x14ac:dyDescent="0.2">
      <c r="A229" s="53">
        <v>225</v>
      </c>
      <c r="B229" s="55" t="s">
        <v>246</v>
      </c>
      <c r="C229" s="54" t="s">
        <v>251</v>
      </c>
      <c r="D229" s="350"/>
      <c r="E229" s="53"/>
      <c r="F229" s="56"/>
      <c r="G229" s="53"/>
      <c r="H229" s="56"/>
      <c r="I229" s="57"/>
      <c r="J229" s="53"/>
      <c r="K229" s="56"/>
      <c r="L229" s="57"/>
      <c r="M229" s="58"/>
      <c r="N229" s="56"/>
      <c r="O229" s="57"/>
      <c r="P229" s="58">
        <f t="shared" si="12"/>
        <v>1.44</v>
      </c>
      <c r="Q229" s="59">
        <f t="shared" si="13"/>
        <v>3600</v>
      </c>
      <c r="R229" s="35">
        <v>2</v>
      </c>
      <c r="S229" s="19">
        <v>0</v>
      </c>
      <c r="T229" s="23">
        <v>0</v>
      </c>
      <c r="U229" s="24">
        <v>0</v>
      </c>
      <c r="V229" s="33">
        <v>0</v>
      </c>
      <c r="W229" s="34">
        <v>0</v>
      </c>
      <c r="X229" s="35">
        <v>0</v>
      </c>
      <c r="Y229" s="19">
        <v>0</v>
      </c>
      <c r="Z229" s="23">
        <v>0</v>
      </c>
      <c r="AA229" s="24">
        <v>0</v>
      </c>
      <c r="AB229" s="33">
        <v>0</v>
      </c>
      <c r="AC229" s="34">
        <v>0</v>
      </c>
      <c r="AD229" s="35">
        <v>0</v>
      </c>
      <c r="AE229" s="36">
        <v>0</v>
      </c>
      <c r="AF229" s="23">
        <v>0</v>
      </c>
      <c r="AG229" s="24">
        <v>0</v>
      </c>
      <c r="AH229" s="33">
        <v>0</v>
      </c>
      <c r="AI229" s="37">
        <v>0</v>
      </c>
      <c r="AJ229" s="35">
        <v>0</v>
      </c>
      <c r="AK229" s="36">
        <v>0</v>
      </c>
      <c r="AL229" s="38">
        <v>0</v>
      </c>
      <c r="AM229" s="35">
        <v>0</v>
      </c>
      <c r="AN229" s="19">
        <v>0</v>
      </c>
      <c r="AO229" s="23">
        <v>0</v>
      </c>
      <c r="AP229" s="24">
        <v>0</v>
      </c>
      <c r="AQ229" s="58">
        <f t="shared" si="14"/>
        <v>1.44</v>
      </c>
      <c r="AR229" s="59">
        <f t="shared" si="15"/>
        <v>3600</v>
      </c>
      <c r="AS229" s="35">
        <v>2</v>
      </c>
    </row>
    <row r="230" spans="1:45" ht="16" x14ac:dyDescent="0.2">
      <c r="A230" s="53">
        <v>226</v>
      </c>
      <c r="B230" s="55" t="s">
        <v>246</v>
      </c>
      <c r="C230" s="54" t="s">
        <v>252</v>
      </c>
      <c r="D230" s="350"/>
      <c r="E230" s="53"/>
      <c r="F230" s="56"/>
      <c r="G230" s="53"/>
      <c r="H230" s="56"/>
      <c r="I230" s="57"/>
      <c r="J230" s="53"/>
      <c r="K230" s="56"/>
      <c r="L230" s="57"/>
      <c r="M230" s="58"/>
      <c r="N230" s="56"/>
      <c r="O230" s="57"/>
      <c r="P230" s="58">
        <f t="shared" si="12"/>
        <v>0.72</v>
      </c>
      <c r="Q230" s="59">
        <f t="shared" si="13"/>
        <v>1800</v>
      </c>
      <c r="R230" s="35">
        <v>1</v>
      </c>
      <c r="S230" s="19">
        <v>0</v>
      </c>
      <c r="T230" s="23">
        <v>0</v>
      </c>
      <c r="U230" s="24">
        <v>0</v>
      </c>
      <c r="V230" s="33">
        <v>0</v>
      </c>
      <c r="W230" s="34">
        <v>0</v>
      </c>
      <c r="X230" s="35">
        <v>0</v>
      </c>
      <c r="Y230" s="19">
        <v>0</v>
      </c>
      <c r="Z230" s="23">
        <v>0</v>
      </c>
      <c r="AA230" s="24">
        <v>0</v>
      </c>
      <c r="AB230" s="33">
        <v>0</v>
      </c>
      <c r="AC230" s="34">
        <v>0</v>
      </c>
      <c r="AD230" s="35">
        <v>0</v>
      </c>
      <c r="AE230" s="36">
        <v>0</v>
      </c>
      <c r="AF230" s="23">
        <v>0</v>
      </c>
      <c r="AG230" s="24">
        <v>0</v>
      </c>
      <c r="AH230" s="33">
        <v>0</v>
      </c>
      <c r="AI230" s="37">
        <v>0</v>
      </c>
      <c r="AJ230" s="35">
        <v>0</v>
      </c>
      <c r="AK230" s="36">
        <v>0</v>
      </c>
      <c r="AL230" s="38">
        <v>0</v>
      </c>
      <c r="AM230" s="35">
        <v>0</v>
      </c>
      <c r="AN230" s="19">
        <v>0</v>
      </c>
      <c r="AO230" s="23">
        <v>0</v>
      </c>
      <c r="AP230" s="24">
        <v>0</v>
      </c>
      <c r="AQ230" s="58">
        <f t="shared" si="14"/>
        <v>0.72</v>
      </c>
      <c r="AR230" s="59">
        <f t="shared" si="15"/>
        <v>1800</v>
      </c>
      <c r="AS230" s="35">
        <v>1</v>
      </c>
    </row>
    <row r="231" spans="1:45" ht="16" x14ac:dyDescent="0.2">
      <c r="A231" s="53">
        <v>227</v>
      </c>
      <c r="B231" s="55" t="s">
        <v>246</v>
      </c>
      <c r="C231" s="54" t="s">
        <v>253</v>
      </c>
      <c r="D231" s="350"/>
      <c r="E231" s="53"/>
      <c r="F231" s="56"/>
      <c r="G231" s="53"/>
      <c r="H231" s="56"/>
      <c r="I231" s="57"/>
      <c r="J231" s="53"/>
      <c r="K231" s="56"/>
      <c r="L231" s="57"/>
      <c r="M231" s="58"/>
      <c r="N231" s="56"/>
      <c r="O231" s="57"/>
      <c r="P231" s="58">
        <f t="shared" si="12"/>
        <v>2.16</v>
      </c>
      <c r="Q231" s="59">
        <f t="shared" si="13"/>
        <v>5400</v>
      </c>
      <c r="R231" s="35">
        <v>3</v>
      </c>
      <c r="S231" s="19">
        <v>0</v>
      </c>
      <c r="T231" s="23">
        <v>0</v>
      </c>
      <c r="U231" s="24">
        <v>0</v>
      </c>
      <c r="V231" s="33">
        <v>0</v>
      </c>
      <c r="W231" s="34">
        <v>0</v>
      </c>
      <c r="X231" s="35">
        <v>0</v>
      </c>
      <c r="Y231" s="19">
        <v>0</v>
      </c>
      <c r="Z231" s="23">
        <v>0</v>
      </c>
      <c r="AA231" s="24">
        <v>0</v>
      </c>
      <c r="AB231" s="33">
        <v>0</v>
      </c>
      <c r="AC231" s="34">
        <v>0</v>
      </c>
      <c r="AD231" s="35">
        <v>0</v>
      </c>
      <c r="AE231" s="36">
        <v>0</v>
      </c>
      <c r="AF231" s="23">
        <v>0</v>
      </c>
      <c r="AG231" s="24">
        <v>0</v>
      </c>
      <c r="AH231" s="33">
        <v>0</v>
      </c>
      <c r="AI231" s="37">
        <v>0</v>
      </c>
      <c r="AJ231" s="35">
        <v>0</v>
      </c>
      <c r="AK231" s="36">
        <v>0</v>
      </c>
      <c r="AL231" s="38">
        <v>0</v>
      </c>
      <c r="AM231" s="35">
        <v>0</v>
      </c>
      <c r="AN231" s="19">
        <v>0</v>
      </c>
      <c r="AO231" s="23">
        <v>0</v>
      </c>
      <c r="AP231" s="24">
        <v>0</v>
      </c>
      <c r="AQ231" s="58">
        <f t="shared" si="14"/>
        <v>2.16</v>
      </c>
      <c r="AR231" s="59">
        <f t="shared" si="15"/>
        <v>5400</v>
      </c>
      <c r="AS231" s="35">
        <v>3</v>
      </c>
    </row>
    <row r="232" spans="1:45" ht="16" x14ac:dyDescent="0.2">
      <c r="A232" s="53">
        <v>228</v>
      </c>
      <c r="B232" s="55" t="s">
        <v>246</v>
      </c>
      <c r="C232" s="54" t="s">
        <v>254</v>
      </c>
      <c r="D232" s="350"/>
      <c r="E232" s="53"/>
      <c r="F232" s="56"/>
      <c r="G232" s="53"/>
      <c r="H232" s="56"/>
      <c r="I232" s="57"/>
      <c r="J232" s="53"/>
      <c r="K232" s="56"/>
      <c r="L232" s="57"/>
      <c r="M232" s="58"/>
      <c r="N232" s="56"/>
      <c r="O232" s="57"/>
      <c r="P232" s="58">
        <f t="shared" si="12"/>
        <v>2.88</v>
      </c>
      <c r="Q232" s="59">
        <f t="shared" si="13"/>
        <v>7200</v>
      </c>
      <c r="R232" s="35">
        <v>4</v>
      </c>
      <c r="S232" s="19">
        <v>0</v>
      </c>
      <c r="T232" s="23">
        <v>0</v>
      </c>
      <c r="U232" s="24">
        <v>0</v>
      </c>
      <c r="V232" s="33">
        <v>0</v>
      </c>
      <c r="W232" s="34">
        <v>0</v>
      </c>
      <c r="X232" s="35">
        <v>0</v>
      </c>
      <c r="Y232" s="19">
        <v>0</v>
      </c>
      <c r="Z232" s="23">
        <v>0</v>
      </c>
      <c r="AA232" s="24">
        <v>0</v>
      </c>
      <c r="AB232" s="33">
        <v>0</v>
      </c>
      <c r="AC232" s="34">
        <v>0</v>
      </c>
      <c r="AD232" s="35">
        <v>0</v>
      </c>
      <c r="AE232" s="36">
        <v>0</v>
      </c>
      <c r="AF232" s="23">
        <v>0</v>
      </c>
      <c r="AG232" s="24">
        <v>0</v>
      </c>
      <c r="AH232" s="33">
        <v>0</v>
      </c>
      <c r="AI232" s="37">
        <v>0</v>
      </c>
      <c r="AJ232" s="35">
        <v>0</v>
      </c>
      <c r="AK232" s="36">
        <v>0</v>
      </c>
      <c r="AL232" s="38">
        <v>0</v>
      </c>
      <c r="AM232" s="35">
        <v>0</v>
      </c>
      <c r="AN232" s="19">
        <v>0</v>
      </c>
      <c r="AO232" s="23">
        <v>0</v>
      </c>
      <c r="AP232" s="24">
        <v>0</v>
      </c>
      <c r="AQ232" s="58">
        <f t="shared" si="14"/>
        <v>2.88</v>
      </c>
      <c r="AR232" s="59">
        <f t="shared" si="15"/>
        <v>7200</v>
      </c>
      <c r="AS232" s="35">
        <v>4</v>
      </c>
    </row>
    <row r="233" spans="1:45" ht="16" x14ac:dyDescent="0.2">
      <c r="A233" s="53">
        <v>229</v>
      </c>
      <c r="B233" s="55" t="s">
        <v>246</v>
      </c>
      <c r="C233" s="54" t="s">
        <v>255</v>
      </c>
      <c r="D233" s="350"/>
      <c r="E233" s="53"/>
      <c r="F233" s="56"/>
      <c r="G233" s="53"/>
      <c r="H233" s="56"/>
      <c r="I233" s="57"/>
      <c r="J233" s="53"/>
      <c r="K233" s="56"/>
      <c r="L233" s="57"/>
      <c r="M233" s="58"/>
      <c r="N233" s="56"/>
      <c r="O233" s="57"/>
      <c r="P233" s="58">
        <f t="shared" si="12"/>
        <v>2.16</v>
      </c>
      <c r="Q233" s="59">
        <f t="shared" si="13"/>
        <v>5400</v>
      </c>
      <c r="R233" s="35">
        <v>3</v>
      </c>
      <c r="S233" s="19">
        <v>0</v>
      </c>
      <c r="T233" s="23">
        <v>0</v>
      </c>
      <c r="U233" s="24">
        <v>0</v>
      </c>
      <c r="V233" s="33">
        <v>0</v>
      </c>
      <c r="W233" s="34">
        <v>0</v>
      </c>
      <c r="X233" s="35">
        <v>0</v>
      </c>
      <c r="Y233" s="19">
        <v>0</v>
      </c>
      <c r="Z233" s="23">
        <v>0</v>
      </c>
      <c r="AA233" s="24">
        <v>0</v>
      </c>
      <c r="AB233" s="33">
        <v>0</v>
      </c>
      <c r="AC233" s="34">
        <v>0</v>
      </c>
      <c r="AD233" s="35">
        <v>0</v>
      </c>
      <c r="AE233" s="36">
        <v>0</v>
      </c>
      <c r="AF233" s="23">
        <v>0</v>
      </c>
      <c r="AG233" s="24">
        <v>0</v>
      </c>
      <c r="AH233" s="33">
        <v>0</v>
      </c>
      <c r="AI233" s="37">
        <v>0</v>
      </c>
      <c r="AJ233" s="35">
        <v>0</v>
      </c>
      <c r="AK233" s="36">
        <v>0</v>
      </c>
      <c r="AL233" s="38">
        <v>0</v>
      </c>
      <c r="AM233" s="35">
        <v>0</v>
      </c>
      <c r="AN233" s="19">
        <v>0</v>
      </c>
      <c r="AO233" s="23">
        <v>0</v>
      </c>
      <c r="AP233" s="24">
        <v>0</v>
      </c>
      <c r="AQ233" s="58">
        <f t="shared" si="14"/>
        <v>2.16</v>
      </c>
      <c r="AR233" s="59">
        <f t="shared" si="15"/>
        <v>5400</v>
      </c>
      <c r="AS233" s="35">
        <v>3</v>
      </c>
    </row>
    <row r="234" spans="1:45" ht="16" x14ac:dyDescent="0.2">
      <c r="A234" s="53">
        <v>230</v>
      </c>
      <c r="B234" s="55" t="s">
        <v>246</v>
      </c>
      <c r="C234" s="54" t="s">
        <v>256</v>
      </c>
      <c r="D234" s="350"/>
      <c r="E234" s="53"/>
      <c r="F234" s="56"/>
      <c r="G234" s="53"/>
      <c r="H234" s="56"/>
      <c r="I234" s="57"/>
      <c r="J234" s="53"/>
      <c r="K234" s="56"/>
      <c r="L234" s="57"/>
      <c r="M234" s="58"/>
      <c r="N234" s="56"/>
      <c r="O234" s="57"/>
      <c r="P234" s="58">
        <f t="shared" si="12"/>
        <v>2.16</v>
      </c>
      <c r="Q234" s="59">
        <f t="shared" si="13"/>
        <v>5400</v>
      </c>
      <c r="R234" s="35">
        <v>3</v>
      </c>
      <c r="S234" s="19">
        <v>0</v>
      </c>
      <c r="T234" s="23">
        <v>0</v>
      </c>
      <c r="U234" s="24">
        <v>0</v>
      </c>
      <c r="V234" s="33">
        <v>0</v>
      </c>
      <c r="W234" s="34">
        <v>0</v>
      </c>
      <c r="X234" s="35">
        <v>0</v>
      </c>
      <c r="Y234" s="19">
        <v>0</v>
      </c>
      <c r="Z234" s="23">
        <v>0</v>
      </c>
      <c r="AA234" s="24">
        <v>0</v>
      </c>
      <c r="AB234" s="33">
        <v>0</v>
      </c>
      <c r="AC234" s="34">
        <v>0</v>
      </c>
      <c r="AD234" s="35">
        <v>0</v>
      </c>
      <c r="AE234" s="36">
        <v>0</v>
      </c>
      <c r="AF234" s="23">
        <v>0</v>
      </c>
      <c r="AG234" s="24">
        <v>0</v>
      </c>
      <c r="AH234" s="33">
        <v>0</v>
      </c>
      <c r="AI234" s="37">
        <v>0</v>
      </c>
      <c r="AJ234" s="35">
        <v>0</v>
      </c>
      <c r="AK234" s="36">
        <v>0</v>
      </c>
      <c r="AL234" s="38">
        <v>0</v>
      </c>
      <c r="AM234" s="35">
        <v>0</v>
      </c>
      <c r="AN234" s="19">
        <v>0</v>
      </c>
      <c r="AO234" s="23">
        <v>0</v>
      </c>
      <c r="AP234" s="24">
        <v>0</v>
      </c>
      <c r="AQ234" s="58">
        <f t="shared" si="14"/>
        <v>2.16</v>
      </c>
      <c r="AR234" s="59">
        <f t="shared" si="15"/>
        <v>5400</v>
      </c>
      <c r="AS234" s="35">
        <v>3</v>
      </c>
    </row>
    <row r="235" spans="1:45" ht="16" x14ac:dyDescent="0.2">
      <c r="A235" s="53">
        <v>231</v>
      </c>
      <c r="B235" s="55" t="s">
        <v>246</v>
      </c>
      <c r="C235" s="54" t="s">
        <v>257</v>
      </c>
      <c r="D235" s="350"/>
      <c r="E235" s="53"/>
      <c r="F235" s="56"/>
      <c r="G235" s="53"/>
      <c r="H235" s="56"/>
      <c r="I235" s="57"/>
      <c r="J235" s="53"/>
      <c r="K235" s="56"/>
      <c r="L235" s="57"/>
      <c r="M235" s="58"/>
      <c r="N235" s="56"/>
      <c r="O235" s="57"/>
      <c r="P235" s="58">
        <f t="shared" si="12"/>
        <v>2.88</v>
      </c>
      <c r="Q235" s="59">
        <f t="shared" si="13"/>
        <v>7200</v>
      </c>
      <c r="R235" s="35">
        <v>4</v>
      </c>
      <c r="S235" s="19">
        <v>0</v>
      </c>
      <c r="T235" s="23">
        <v>0</v>
      </c>
      <c r="U235" s="24">
        <v>0</v>
      </c>
      <c r="V235" s="33">
        <v>0</v>
      </c>
      <c r="W235" s="34">
        <v>0</v>
      </c>
      <c r="X235" s="35">
        <v>0</v>
      </c>
      <c r="Y235" s="19">
        <v>0</v>
      </c>
      <c r="Z235" s="23">
        <v>0</v>
      </c>
      <c r="AA235" s="24">
        <v>0</v>
      </c>
      <c r="AB235" s="33">
        <v>0</v>
      </c>
      <c r="AC235" s="34">
        <v>0</v>
      </c>
      <c r="AD235" s="35">
        <v>0</v>
      </c>
      <c r="AE235" s="36">
        <v>0</v>
      </c>
      <c r="AF235" s="23">
        <v>0</v>
      </c>
      <c r="AG235" s="24">
        <v>0</v>
      </c>
      <c r="AH235" s="33">
        <v>0</v>
      </c>
      <c r="AI235" s="37">
        <v>0</v>
      </c>
      <c r="AJ235" s="35">
        <v>0</v>
      </c>
      <c r="AK235" s="36">
        <v>0</v>
      </c>
      <c r="AL235" s="38">
        <v>0</v>
      </c>
      <c r="AM235" s="35">
        <v>0</v>
      </c>
      <c r="AN235" s="19">
        <v>0</v>
      </c>
      <c r="AO235" s="23">
        <v>0</v>
      </c>
      <c r="AP235" s="24">
        <v>0</v>
      </c>
      <c r="AQ235" s="58">
        <f t="shared" si="14"/>
        <v>2.88</v>
      </c>
      <c r="AR235" s="59">
        <f t="shared" si="15"/>
        <v>7200</v>
      </c>
      <c r="AS235" s="35">
        <v>4</v>
      </c>
    </row>
    <row r="236" spans="1:45" ht="16" x14ac:dyDescent="0.2">
      <c r="A236" s="53">
        <v>232</v>
      </c>
      <c r="B236" s="55" t="s">
        <v>246</v>
      </c>
      <c r="C236" s="54" t="s">
        <v>258</v>
      </c>
      <c r="D236" s="350"/>
      <c r="E236" s="53"/>
      <c r="F236" s="56"/>
      <c r="G236" s="53"/>
      <c r="H236" s="56"/>
      <c r="I236" s="57"/>
      <c r="J236" s="53"/>
      <c r="K236" s="56"/>
      <c r="L236" s="57"/>
      <c r="M236" s="58"/>
      <c r="N236" s="56"/>
      <c r="O236" s="57"/>
      <c r="P236" s="58">
        <f t="shared" si="12"/>
        <v>2.88</v>
      </c>
      <c r="Q236" s="59">
        <f t="shared" si="13"/>
        <v>7200</v>
      </c>
      <c r="R236" s="35">
        <v>4</v>
      </c>
      <c r="S236" s="19">
        <v>0</v>
      </c>
      <c r="T236" s="23">
        <v>0</v>
      </c>
      <c r="U236" s="24">
        <v>0</v>
      </c>
      <c r="V236" s="33">
        <v>0</v>
      </c>
      <c r="W236" s="34">
        <v>0</v>
      </c>
      <c r="X236" s="35">
        <v>0</v>
      </c>
      <c r="Y236" s="19">
        <v>0</v>
      </c>
      <c r="Z236" s="23">
        <v>0</v>
      </c>
      <c r="AA236" s="24">
        <v>0</v>
      </c>
      <c r="AB236" s="33">
        <v>0</v>
      </c>
      <c r="AC236" s="34">
        <v>0</v>
      </c>
      <c r="AD236" s="35">
        <v>0</v>
      </c>
      <c r="AE236" s="36">
        <v>0</v>
      </c>
      <c r="AF236" s="23">
        <v>0</v>
      </c>
      <c r="AG236" s="24">
        <v>0</v>
      </c>
      <c r="AH236" s="33">
        <v>0</v>
      </c>
      <c r="AI236" s="37">
        <v>0</v>
      </c>
      <c r="AJ236" s="35">
        <v>0</v>
      </c>
      <c r="AK236" s="36">
        <v>0</v>
      </c>
      <c r="AL236" s="38">
        <v>0</v>
      </c>
      <c r="AM236" s="35">
        <v>0</v>
      </c>
      <c r="AN236" s="19">
        <v>0</v>
      </c>
      <c r="AO236" s="23">
        <v>0</v>
      </c>
      <c r="AP236" s="24">
        <v>0</v>
      </c>
      <c r="AQ236" s="58">
        <f t="shared" si="14"/>
        <v>2.88</v>
      </c>
      <c r="AR236" s="59">
        <f t="shared" si="15"/>
        <v>7200</v>
      </c>
      <c r="AS236" s="35">
        <v>4</v>
      </c>
    </row>
    <row r="237" spans="1:45" ht="16" x14ac:dyDescent="0.2">
      <c r="A237" s="53">
        <v>233</v>
      </c>
      <c r="B237" s="55" t="s">
        <v>246</v>
      </c>
      <c r="C237" s="54" t="s">
        <v>259</v>
      </c>
      <c r="D237" s="350"/>
      <c r="E237" s="53"/>
      <c r="F237" s="56"/>
      <c r="G237" s="53"/>
      <c r="H237" s="56"/>
      <c r="I237" s="57"/>
      <c r="J237" s="53"/>
      <c r="K237" s="56"/>
      <c r="L237" s="57"/>
      <c r="M237" s="58"/>
      <c r="N237" s="56"/>
      <c r="O237" s="57"/>
      <c r="P237" s="58">
        <f t="shared" si="12"/>
        <v>0.72</v>
      </c>
      <c r="Q237" s="59">
        <f t="shared" si="13"/>
        <v>1800</v>
      </c>
      <c r="R237" s="35">
        <v>1</v>
      </c>
      <c r="S237" s="19">
        <v>0</v>
      </c>
      <c r="T237" s="23">
        <v>0</v>
      </c>
      <c r="U237" s="24">
        <v>0</v>
      </c>
      <c r="V237" s="33">
        <v>0</v>
      </c>
      <c r="W237" s="34">
        <v>0</v>
      </c>
      <c r="X237" s="35">
        <v>0</v>
      </c>
      <c r="Y237" s="19">
        <v>0</v>
      </c>
      <c r="Z237" s="23">
        <v>0</v>
      </c>
      <c r="AA237" s="24">
        <v>0</v>
      </c>
      <c r="AB237" s="33">
        <v>0</v>
      </c>
      <c r="AC237" s="34">
        <v>0</v>
      </c>
      <c r="AD237" s="35">
        <v>0</v>
      </c>
      <c r="AE237" s="36">
        <v>0</v>
      </c>
      <c r="AF237" s="23">
        <v>0</v>
      </c>
      <c r="AG237" s="24">
        <v>0</v>
      </c>
      <c r="AH237" s="33">
        <v>0</v>
      </c>
      <c r="AI237" s="37">
        <v>0</v>
      </c>
      <c r="AJ237" s="35">
        <v>0</v>
      </c>
      <c r="AK237" s="36">
        <v>0</v>
      </c>
      <c r="AL237" s="38">
        <v>0</v>
      </c>
      <c r="AM237" s="35">
        <v>0</v>
      </c>
      <c r="AN237" s="19">
        <v>0</v>
      </c>
      <c r="AO237" s="23">
        <v>0</v>
      </c>
      <c r="AP237" s="24">
        <v>0</v>
      </c>
      <c r="AQ237" s="58">
        <f t="shared" si="14"/>
        <v>0.72</v>
      </c>
      <c r="AR237" s="59">
        <f t="shared" si="15"/>
        <v>1800</v>
      </c>
      <c r="AS237" s="35">
        <v>1</v>
      </c>
    </row>
    <row r="238" spans="1:45" ht="16" x14ac:dyDescent="0.2">
      <c r="A238" s="53">
        <v>234</v>
      </c>
      <c r="B238" s="55" t="s">
        <v>246</v>
      </c>
      <c r="C238" s="54" t="s">
        <v>260</v>
      </c>
      <c r="D238" s="350"/>
      <c r="E238" s="53"/>
      <c r="F238" s="56"/>
      <c r="G238" s="53"/>
      <c r="H238" s="56"/>
      <c r="I238" s="57"/>
      <c r="J238" s="53"/>
      <c r="K238" s="56"/>
      <c r="L238" s="57"/>
      <c r="M238" s="58"/>
      <c r="N238" s="56"/>
      <c r="O238" s="57"/>
      <c r="P238" s="58">
        <f t="shared" si="12"/>
        <v>2.16</v>
      </c>
      <c r="Q238" s="59">
        <f t="shared" si="13"/>
        <v>5400</v>
      </c>
      <c r="R238" s="35">
        <v>3</v>
      </c>
      <c r="S238" s="19">
        <v>0</v>
      </c>
      <c r="T238" s="23">
        <v>0</v>
      </c>
      <c r="U238" s="24">
        <v>0</v>
      </c>
      <c r="V238" s="33">
        <v>0</v>
      </c>
      <c r="W238" s="34">
        <v>0</v>
      </c>
      <c r="X238" s="35">
        <v>0</v>
      </c>
      <c r="Y238" s="19">
        <v>0</v>
      </c>
      <c r="Z238" s="23">
        <v>0</v>
      </c>
      <c r="AA238" s="24">
        <v>0</v>
      </c>
      <c r="AB238" s="33">
        <v>0</v>
      </c>
      <c r="AC238" s="34">
        <v>0</v>
      </c>
      <c r="AD238" s="35">
        <v>0</v>
      </c>
      <c r="AE238" s="36">
        <v>0</v>
      </c>
      <c r="AF238" s="23">
        <v>0</v>
      </c>
      <c r="AG238" s="24">
        <v>0</v>
      </c>
      <c r="AH238" s="33">
        <v>0</v>
      </c>
      <c r="AI238" s="37">
        <v>0</v>
      </c>
      <c r="AJ238" s="35">
        <v>0</v>
      </c>
      <c r="AK238" s="36">
        <v>0</v>
      </c>
      <c r="AL238" s="38">
        <v>0</v>
      </c>
      <c r="AM238" s="35">
        <v>0</v>
      </c>
      <c r="AN238" s="19">
        <v>0</v>
      </c>
      <c r="AO238" s="23">
        <v>0</v>
      </c>
      <c r="AP238" s="24">
        <v>0</v>
      </c>
      <c r="AQ238" s="58">
        <f t="shared" si="14"/>
        <v>2.16</v>
      </c>
      <c r="AR238" s="59">
        <f t="shared" si="15"/>
        <v>5400</v>
      </c>
      <c r="AS238" s="35">
        <v>3</v>
      </c>
    </row>
    <row r="239" spans="1:45" ht="16" x14ac:dyDescent="0.2">
      <c r="A239" s="53">
        <v>235</v>
      </c>
      <c r="B239" s="55" t="s">
        <v>246</v>
      </c>
      <c r="C239" s="54" t="s">
        <v>261</v>
      </c>
      <c r="D239" s="350"/>
      <c r="E239" s="53"/>
      <c r="F239" s="56"/>
      <c r="G239" s="53"/>
      <c r="H239" s="56"/>
      <c r="I239" s="57"/>
      <c r="J239" s="53"/>
      <c r="K239" s="56"/>
      <c r="L239" s="57"/>
      <c r="M239" s="58"/>
      <c r="N239" s="56"/>
      <c r="O239" s="57"/>
      <c r="P239" s="58">
        <f t="shared" si="12"/>
        <v>2.16</v>
      </c>
      <c r="Q239" s="59">
        <f t="shared" si="13"/>
        <v>5400</v>
      </c>
      <c r="R239" s="35">
        <v>3</v>
      </c>
      <c r="S239" s="19">
        <v>0</v>
      </c>
      <c r="T239" s="23">
        <v>0</v>
      </c>
      <c r="U239" s="24">
        <v>0</v>
      </c>
      <c r="V239" s="33">
        <v>0</v>
      </c>
      <c r="W239" s="34">
        <v>0</v>
      </c>
      <c r="X239" s="35">
        <v>0</v>
      </c>
      <c r="Y239" s="19">
        <v>0</v>
      </c>
      <c r="Z239" s="23">
        <v>0</v>
      </c>
      <c r="AA239" s="24">
        <v>0</v>
      </c>
      <c r="AB239" s="33">
        <v>0</v>
      </c>
      <c r="AC239" s="34">
        <v>0</v>
      </c>
      <c r="AD239" s="35">
        <v>0</v>
      </c>
      <c r="AE239" s="36">
        <v>0</v>
      </c>
      <c r="AF239" s="23">
        <v>0</v>
      </c>
      <c r="AG239" s="24">
        <v>0</v>
      </c>
      <c r="AH239" s="33">
        <v>0</v>
      </c>
      <c r="AI239" s="37">
        <v>0</v>
      </c>
      <c r="AJ239" s="35">
        <v>0</v>
      </c>
      <c r="AK239" s="36">
        <v>0</v>
      </c>
      <c r="AL239" s="38">
        <v>0</v>
      </c>
      <c r="AM239" s="35">
        <v>0</v>
      </c>
      <c r="AN239" s="19">
        <v>0</v>
      </c>
      <c r="AO239" s="23">
        <v>0</v>
      </c>
      <c r="AP239" s="24">
        <v>0</v>
      </c>
      <c r="AQ239" s="58">
        <f t="shared" si="14"/>
        <v>2.16</v>
      </c>
      <c r="AR239" s="59">
        <f t="shared" si="15"/>
        <v>5400</v>
      </c>
      <c r="AS239" s="35">
        <v>3</v>
      </c>
    </row>
    <row r="240" spans="1:45" ht="16" x14ac:dyDescent="0.2">
      <c r="A240" s="53">
        <v>236</v>
      </c>
      <c r="B240" s="55" t="s">
        <v>246</v>
      </c>
      <c r="C240" s="54" t="s">
        <v>262</v>
      </c>
      <c r="D240" s="350"/>
      <c r="E240" s="53"/>
      <c r="F240" s="56"/>
      <c r="G240" s="53"/>
      <c r="H240" s="56"/>
      <c r="I240" s="57"/>
      <c r="J240" s="53"/>
      <c r="K240" s="56"/>
      <c r="L240" s="57"/>
      <c r="M240" s="58"/>
      <c r="N240" s="56"/>
      <c r="O240" s="57"/>
      <c r="P240" s="58">
        <f t="shared" si="12"/>
        <v>4.32</v>
      </c>
      <c r="Q240" s="59">
        <f t="shared" si="13"/>
        <v>10800</v>
      </c>
      <c r="R240" s="35">
        <v>6</v>
      </c>
      <c r="S240" s="19">
        <v>0</v>
      </c>
      <c r="T240" s="23">
        <v>0</v>
      </c>
      <c r="U240" s="24">
        <v>0</v>
      </c>
      <c r="V240" s="33">
        <v>0</v>
      </c>
      <c r="W240" s="34">
        <v>0</v>
      </c>
      <c r="X240" s="35">
        <v>0</v>
      </c>
      <c r="Y240" s="19">
        <v>0</v>
      </c>
      <c r="Z240" s="23">
        <v>0</v>
      </c>
      <c r="AA240" s="24">
        <v>0</v>
      </c>
      <c r="AB240" s="33">
        <v>0</v>
      </c>
      <c r="AC240" s="34">
        <v>0</v>
      </c>
      <c r="AD240" s="35">
        <v>0</v>
      </c>
      <c r="AE240" s="36">
        <v>0</v>
      </c>
      <c r="AF240" s="23">
        <v>0</v>
      </c>
      <c r="AG240" s="24">
        <v>0</v>
      </c>
      <c r="AH240" s="33">
        <v>0</v>
      </c>
      <c r="AI240" s="37">
        <v>0</v>
      </c>
      <c r="AJ240" s="35">
        <v>0</v>
      </c>
      <c r="AK240" s="36">
        <v>0</v>
      </c>
      <c r="AL240" s="38">
        <v>0</v>
      </c>
      <c r="AM240" s="35">
        <v>0</v>
      </c>
      <c r="AN240" s="19">
        <v>0</v>
      </c>
      <c r="AO240" s="23">
        <v>0</v>
      </c>
      <c r="AP240" s="24">
        <v>0</v>
      </c>
      <c r="AQ240" s="58">
        <f t="shared" si="14"/>
        <v>4.32</v>
      </c>
      <c r="AR240" s="59">
        <f t="shared" si="15"/>
        <v>10800</v>
      </c>
      <c r="AS240" s="35">
        <v>6</v>
      </c>
    </row>
    <row r="241" spans="1:45" ht="16" x14ac:dyDescent="0.2">
      <c r="A241" s="53">
        <v>237</v>
      </c>
      <c r="B241" s="55" t="s">
        <v>263</v>
      </c>
      <c r="C241" s="54" t="s">
        <v>264</v>
      </c>
      <c r="D241" s="350"/>
      <c r="E241" s="53"/>
      <c r="F241" s="56"/>
      <c r="G241" s="53"/>
      <c r="H241" s="56"/>
      <c r="I241" s="57"/>
      <c r="J241" s="53"/>
      <c r="K241" s="56"/>
      <c r="L241" s="57"/>
      <c r="M241" s="58"/>
      <c r="N241" s="56"/>
      <c r="O241" s="57"/>
      <c r="P241" s="58">
        <f t="shared" si="12"/>
        <v>1.44</v>
      </c>
      <c r="Q241" s="59">
        <f t="shared" si="13"/>
        <v>3600</v>
      </c>
      <c r="R241" s="35">
        <v>2</v>
      </c>
      <c r="S241" s="19">
        <v>0</v>
      </c>
      <c r="T241" s="23">
        <v>0</v>
      </c>
      <c r="U241" s="24">
        <v>0</v>
      </c>
      <c r="V241" s="33">
        <v>0</v>
      </c>
      <c r="W241" s="34">
        <v>0</v>
      </c>
      <c r="X241" s="35">
        <v>0</v>
      </c>
      <c r="Y241" s="19">
        <v>0</v>
      </c>
      <c r="Z241" s="23">
        <v>0</v>
      </c>
      <c r="AA241" s="24">
        <v>0</v>
      </c>
      <c r="AB241" s="33">
        <v>0</v>
      </c>
      <c r="AC241" s="34">
        <v>0</v>
      </c>
      <c r="AD241" s="35">
        <v>0</v>
      </c>
      <c r="AE241" s="36">
        <v>0</v>
      </c>
      <c r="AF241" s="23">
        <v>0</v>
      </c>
      <c r="AG241" s="24">
        <v>0</v>
      </c>
      <c r="AH241" s="33">
        <v>0</v>
      </c>
      <c r="AI241" s="37">
        <v>0</v>
      </c>
      <c r="AJ241" s="35">
        <v>0</v>
      </c>
      <c r="AK241" s="36">
        <v>0</v>
      </c>
      <c r="AL241" s="38">
        <v>0</v>
      </c>
      <c r="AM241" s="35">
        <v>0</v>
      </c>
      <c r="AN241" s="19">
        <v>0</v>
      </c>
      <c r="AO241" s="23">
        <v>0</v>
      </c>
      <c r="AP241" s="24">
        <v>0</v>
      </c>
      <c r="AQ241" s="58">
        <f t="shared" si="14"/>
        <v>1.44</v>
      </c>
      <c r="AR241" s="59">
        <f t="shared" si="15"/>
        <v>3600</v>
      </c>
      <c r="AS241" s="35">
        <v>2</v>
      </c>
    </row>
    <row r="242" spans="1:45" ht="16" x14ac:dyDescent="0.2">
      <c r="A242" s="53">
        <v>238</v>
      </c>
      <c r="B242" s="55" t="s">
        <v>263</v>
      </c>
      <c r="C242" s="54" t="s">
        <v>265</v>
      </c>
      <c r="D242" s="350"/>
      <c r="E242" s="53"/>
      <c r="F242" s="56"/>
      <c r="G242" s="53"/>
      <c r="H242" s="56"/>
      <c r="I242" s="57"/>
      <c r="J242" s="53"/>
      <c r="K242" s="56"/>
      <c r="L242" s="57"/>
      <c r="M242" s="58"/>
      <c r="N242" s="56"/>
      <c r="O242" s="57"/>
      <c r="P242" s="58">
        <f t="shared" si="12"/>
        <v>4.32</v>
      </c>
      <c r="Q242" s="59">
        <f t="shared" si="13"/>
        <v>10800</v>
      </c>
      <c r="R242" s="35">
        <v>6</v>
      </c>
      <c r="S242" s="19">
        <v>0</v>
      </c>
      <c r="T242" s="23">
        <v>0</v>
      </c>
      <c r="U242" s="24">
        <v>0</v>
      </c>
      <c r="V242" s="33">
        <v>0</v>
      </c>
      <c r="W242" s="34">
        <v>0</v>
      </c>
      <c r="X242" s="35">
        <v>0</v>
      </c>
      <c r="Y242" s="19">
        <v>0</v>
      </c>
      <c r="Z242" s="23">
        <v>0</v>
      </c>
      <c r="AA242" s="24">
        <v>0</v>
      </c>
      <c r="AB242" s="33">
        <v>0</v>
      </c>
      <c r="AC242" s="34">
        <v>0</v>
      </c>
      <c r="AD242" s="35">
        <v>0</v>
      </c>
      <c r="AE242" s="36">
        <v>0</v>
      </c>
      <c r="AF242" s="23">
        <v>0</v>
      </c>
      <c r="AG242" s="24">
        <v>0</v>
      </c>
      <c r="AH242" s="33">
        <v>0</v>
      </c>
      <c r="AI242" s="37">
        <v>0</v>
      </c>
      <c r="AJ242" s="35">
        <v>0</v>
      </c>
      <c r="AK242" s="36">
        <v>0</v>
      </c>
      <c r="AL242" s="38">
        <v>0</v>
      </c>
      <c r="AM242" s="35">
        <v>0</v>
      </c>
      <c r="AN242" s="19">
        <v>0</v>
      </c>
      <c r="AO242" s="23">
        <v>0</v>
      </c>
      <c r="AP242" s="24">
        <v>0</v>
      </c>
      <c r="AQ242" s="58">
        <f t="shared" si="14"/>
        <v>4.32</v>
      </c>
      <c r="AR242" s="59">
        <f t="shared" si="15"/>
        <v>10800</v>
      </c>
      <c r="AS242" s="35">
        <v>6</v>
      </c>
    </row>
    <row r="243" spans="1:45" ht="16" x14ac:dyDescent="0.2">
      <c r="A243" s="53">
        <v>239</v>
      </c>
      <c r="B243" s="55" t="s">
        <v>263</v>
      </c>
      <c r="C243" s="54" t="s">
        <v>266</v>
      </c>
      <c r="D243" s="350" t="s">
        <v>25</v>
      </c>
      <c r="E243" s="53"/>
      <c r="F243" s="56"/>
      <c r="G243" s="53"/>
      <c r="H243" s="56"/>
      <c r="I243" s="57"/>
      <c r="J243" s="53"/>
      <c r="K243" s="56"/>
      <c r="L243" s="57"/>
      <c r="M243" s="58"/>
      <c r="N243" s="56"/>
      <c r="O243" s="57"/>
      <c r="P243" s="58">
        <f t="shared" si="12"/>
        <v>0.72</v>
      </c>
      <c r="Q243" s="59">
        <f t="shared" si="13"/>
        <v>1800</v>
      </c>
      <c r="R243" s="35">
        <v>1</v>
      </c>
      <c r="S243" s="19">
        <v>0</v>
      </c>
      <c r="T243" s="23">
        <v>0</v>
      </c>
      <c r="U243" s="24">
        <v>0</v>
      </c>
      <c r="V243" s="33">
        <v>0</v>
      </c>
      <c r="W243" s="34">
        <v>0</v>
      </c>
      <c r="X243" s="35">
        <v>0</v>
      </c>
      <c r="Y243" s="19">
        <v>0</v>
      </c>
      <c r="Z243" s="23">
        <v>0</v>
      </c>
      <c r="AA243" s="24">
        <v>0</v>
      </c>
      <c r="AB243" s="33">
        <v>0</v>
      </c>
      <c r="AC243" s="34">
        <v>0</v>
      </c>
      <c r="AD243" s="35">
        <v>0</v>
      </c>
      <c r="AE243" s="36">
        <v>0</v>
      </c>
      <c r="AF243" s="23">
        <v>0</v>
      </c>
      <c r="AG243" s="24">
        <v>0</v>
      </c>
      <c r="AH243" s="33">
        <v>0</v>
      </c>
      <c r="AI243" s="37">
        <v>0</v>
      </c>
      <c r="AJ243" s="35">
        <v>0</v>
      </c>
      <c r="AK243" s="36">
        <v>0</v>
      </c>
      <c r="AL243" s="38">
        <v>0</v>
      </c>
      <c r="AM243" s="35">
        <v>0</v>
      </c>
      <c r="AN243" s="19">
        <v>0</v>
      </c>
      <c r="AO243" s="23">
        <v>0</v>
      </c>
      <c r="AP243" s="24">
        <v>0</v>
      </c>
      <c r="AQ243" s="58">
        <f t="shared" si="14"/>
        <v>0.72</v>
      </c>
      <c r="AR243" s="59">
        <f t="shared" si="15"/>
        <v>1800</v>
      </c>
      <c r="AS243" s="35">
        <v>1</v>
      </c>
    </row>
    <row r="244" spans="1:45" ht="16" x14ac:dyDescent="0.2">
      <c r="A244" s="53">
        <v>240</v>
      </c>
      <c r="B244" s="55" t="s">
        <v>263</v>
      </c>
      <c r="C244" s="54" t="s">
        <v>267</v>
      </c>
      <c r="D244" s="350"/>
      <c r="E244" s="53"/>
      <c r="F244" s="56"/>
      <c r="G244" s="53"/>
      <c r="H244" s="56"/>
      <c r="I244" s="57"/>
      <c r="J244" s="53"/>
      <c r="K244" s="56"/>
      <c r="L244" s="57"/>
      <c r="M244" s="58"/>
      <c r="N244" s="56"/>
      <c r="O244" s="57"/>
      <c r="P244" s="58">
        <f t="shared" si="12"/>
        <v>1.44</v>
      </c>
      <c r="Q244" s="59">
        <f t="shared" si="13"/>
        <v>3600</v>
      </c>
      <c r="R244" s="35">
        <v>2</v>
      </c>
      <c r="S244" s="19">
        <v>0</v>
      </c>
      <c r="T244" s="23">
        <v>0</v>
      </c>
      <c r="U244" s="24">
        <v>0</v>
      </c>
      <c r="V244" s="33">
        <v>0</v>
      </c>
      <c r="W244" s="34">
        <v>0</v>
      </c>
      <c r="X244" s="35">
        <v>0</v>
      </c>
      <c r="Y244" s="19">
        <v>0</v>
      </c>
      <c r="Z244" s="23">
        <v>0</v>
      </c>
      <c r="AA244" s="24">
        <v>0</v>
      </c>
      <c r="AB244" s="33">
        <v>0</v>
      </c>
      <c r="AC244" s="34">
        <v>0</v>
      </c>
      <c r="AD244" s="35">
        <v>0</v>
      </c>
      <c r="AE244" s="36">
        <v>0</v>
      </c>
      <c r="AF244" s="23">
        <v>0</v>
      </c>
      <c r="AG244" s="24">
        <v>0</v>
      </c>
      <c r="AH244" s="33">
        <v>0</v>
      </c>
      <c r="AI244" s="37">
        <v>0</v>
      </c>
      <c r="AJ244" s="35">
        <v>0</v>
      </c>
      <c r="AK244" s="36">
        <v>0</v>
      </c>
      <c r="AL244" s="38">
        <v>0</v>
      </c>
      <c r="AM244" s="35">
        <v>0</v>
      </c>
      <c r="AN244" s="19">
        <v>0</v>
      </c>
      <c r="AO244" s="23">
        <v>0</v>
      </c>
      <c r="AP244" s="24">
        <v>0</v>
      </c>
      <c r="AQ244" s="58">
        <f t="shared" si="14"/>
        <v>1.44</v>
      </c>
      <c r="AR244" s="59">
        <f t="shared" si="15"/>
        <v>3600</v>
      </c>
      <c r="AS244" s="35">
        <v>2</v>
      </c>
    </row>
    <row r="245" spans="1:45" ht="16" x14ac:dyDescent="0.2">
      <c r="A245" s="53">
        <v>241</v>
      </c>
      <c r="B245" s="55" t="s">
        <v>263</v>
      </c>
      <c r="C245" s="54" t="s">
        <v>268</v>
      </c>
      <c r="D245" s="350"/>
      <c r="E245" s="53"/>
      <c r="F245" s="56"/>
      <c r="G245" s="53"/>
      <c r="H245" s="56"/>
      <c r="I245" s="57"/>
      <c r="J245" s="53"/>
      <c r="K245" s="56"/>
      <c r="L245" s="57"/>
      <c r="M245" s="58"/>
      <c r="N245" s="56"/>
      <c r="O245" s="57"/>
      <c r="P245" s="58">
        <f t="shared" si="12"/>
        <v>0.72</v>
      </c>
      <c r="Q245" s="59">
        <f t="shared" si="13"/>
        <v>1800</v>
      </c>
      <c r="R245" s="35">
        <v>1</v>
      </c>
      <c r="S245" s="19">
        <v>0</v>
      </c>
      <c r="T245" s="23">
        <v>0</v>
      </c>
      <c r="U245" s="24">
        <v>0</v>
      </c>
      <c r="V245" s="33">
        <v>0</v>
      </c>
      <c r="W245" s="34">
        <v>0</v>
      </c>
      <c r="X245" s="35">
        <v>0</v>
      </c>
      <c r="Y245" s="19">
        <v>0</v>
      </c>
      <c r="Z245" s="23">
        <v>0</v>
      </c>
      <c r="AA245" s="24">
        <v>0</v>
      </c>
      <c r="AB245" s="33">
        <v>0</v>
      </c>
      <c r="AC245" s="34">
        <v>0</v>
      </c>
      <c r="AD245" s="35">
        <v>0</v>
      </c>
      <c r="AE245" s="36">
        <v>0</v>
      </c>
      <c r="AF245" s="23">
        <v>0</v>
      </c>
      <c r="AG245" s="24">
        <v>0</v>
      </c>
      <c r="AH245" s="33">
        <v>0</v>
      </c>
      <c r="AI245" s="37">
        <v>0</v>
      </c>
      <c r="AJ245" s="35">
        <v>0</v>
      </c>
      <c r="AK245" s="36">
        <v>0</v>
      </c>
      <c r="AL245" s="38">
        <v>0</v>
      </c>
      <c r="AM245" s="35">
        <v>0</v>
      </c>
      <c r="AN245" s="19">
        <v>0</v>
      </c>
      <c r="AO245" s="23">
        <v>0</v>
      </c>
      <c r="AP245" s="24">
        <v>0</v>
      </c>
      <c r="AQ245" s="58">
        <f t="shared" si="14"/>
        <v>0.72</v>
      </c>
      <c r="AR245" s="59">
        <f t="shared" si="15"/>
        <v>1800</v>
      </c>
      <c r="AS245" s="35">
        <v>1</v>
      </c>
    </row>
    <row r="246" spans="1:45" ht="16" x14ac:dyDescent="0.2">
      <c r="A246" s="53">
        <v>242</v>
      </c>
      <c r="B246" s="55" t="s">
        <v>263</v>
      </c>
      <c r="C246" s="54" t="s">
        <v>269</v>
      </c>
      <c r="D246" s="350"/>
      <c r="E246" s="53"/>
      <c r="F246" s="56"/>
      <c r="G246" s="53"/>
      <c r="H246" s="56"/>
      <c r="I246" s="57"/>
      <c r="J246" s="53"/>
      <c r="K246" s="56"/>
      <c r="L246" s="57"/>
      <c r="M246" s="58"/>
      <c r="N246" s="56"/>
      <c r="O246" s="57"/>
      <c r="P246" s="58">
        <f t="shared" si="12"/>
        <v>0</v>
      </c>
      <c r="Q246" s="59">
        <f t="shared" si="13"/>
        <v>0</v>
      </c>
      <c r="R246" s="35">
        <v>0</v>
      </c>
      <c r="S246" s="19">
        <v>0</v>
      </c>
      <c r="T246" s="23">
        <v>0</v>
      </c>
      <c r="U246" s="24">
        <v>0</v>
      </c>
      <c r="V246" s="33">
        <v>0</v>
      </c>
      <c r="W246" s="34">
        <v>0</v>
      </c>
      <c r="X246" s="35">
        <v>0</v>
      </c>
      <c r="Y246" s="19">
        <v>0</v>
      </c>
      <c r="Z246" s="23">
        <v>0</v>
      </c>
      <c r="AA246" s="24">
        <v>0</v>
      </c>
      <c r="AB246" s="33">
        <v>0</v>
      </c>
      <c r="AC246" s="34">
        <v>0</v>
      </c>
      <c r="AD246" s="35">
        <v>0</v>
      </c>
      <c r="AE246" s="36">
        <v>0</v>
      </c>
      <c r="AF246" s="23">
        <v>0</v>
      </c>
      <c r="AG246" s="24">
        <v>0</v>
      </c>
      <c r="AH246" s="33">
        <v>0</v>
      </c>
      <c r="AI246" s="37">
        <v>0</v>
      </c>
      <c r="AJ246" s="35">
        <v>0</v>
      </c>
      <c r="AK246" s="36">
        <v>0</v>
      </c>
      <c r="AL246" s="38">
        <v>0</v>
      </c>
      <c r="AM246" s="35">
        <v>0</v>
      </c>
      <c r="AN246" s="19">
        <v>0</v>
      </c>
      <c r="AO246" s="23">
        <v>0</v>
      </c>
      <c r="AP246" s="24">
        <v>0</v>
      </c>
      <c r="AQ246" s="58">
        <f t="shared" si="14"/>
        <v>0</v>
      </c>
      <c r="AR246" s="59">
        <f t="shared" si="15"/>
        <v>0</v>
      </c>
      <c r="AS246" s="35">
        <v>0</v>
      </c>
    </row>
    <row r="247" spans="1:45" ht="16" x14ac:dyDescent="0.2">
      <c r="A247" s="53">
        <v>243</v>
      </c>
      <c r="B247" s="55" t="s">
        <v>263</v>
      </c>
      <c r="C247" s="54" t="s">
        <v>270</v>
      </c>
      <c r="D247" s="350"/>
      <c r="E247" s="53"/>
      <c r="F247" s="56"/>
      <c r="G247" s="53"/>
      <c r="H247" s="56"/>
      <c r="I247" s="57"/>
      <c r="J247" s="53"/>
      <c r="K247" s="56"/>
      <c r="L247" s="57"/>
      <c r="M247" s="58"/>
      <c r="N247" s="56"/>
      <c r="O247" s="57"/>
      <c r="P247" s="58">
        <f t="shared" si="12"/>
        <v>0</v>
      </c>
      <c r="Q247" s="59">
        <f t="shared" si="13"/>
        <v>0</v>
      </c>
      <c r="R247" s="35">
        <v>0</v>
      </c>
      <c r="S247" s="19">
        <v>0</v>
      </c>
      <c r="T247" s="23">
        <v>0</v>
      </c>
      <c r="U247" s="24">
        <v>0</v>
      </c>
      <c r="V247" s="33">
        <v>0</v>
      </c>
      <c r="W247" s="34">
        <v>0</v>
      </c>
      <c r="X247" s="35">
        <v>0</v>
      </c>
      <c r="Y247" s="19">
        <v>0</v>
      </c>
      <c r="Z247" s="23">
        <v>0</v>
      </c>
      <c r="AA247" s="24">
        <v>0</v>
      </c>
      <c r="AB247" s="33">
        <v>0</v>
      </c>
      <c r="AC247" s="34">
        <v>0</v>
      </c>
      <c r="AD247" s="35">
        <v>0</v>
      </c>
      <c r="AE247" s="36">
        <v>0</v>
      </c>
      <c r="AF247" s="23">
        <v>0</v>
      </c>
      <c r="AG247" s="24">
        <v>0</v>
      </c>
      <c r="AH247" s="33">
        <v>0</v>
      </c>
      <c r="AI247" s="37">
        <v>0</v>
      </c>
      <c r="AJ247" s="35">
        <v>0</v>
      </c>
      <c r="AK247" s="36">
        <v>0</v>
      </c>
      <c r="AL247" s="38">
        <v>0</v>
      </c>
      <c r="AM247" s="35">
        <v>0</v>
      </c>
      <c r="AN247" s="19">
        <v>0</v>
      </c>
      <c r="AO247" s="23">
        <v>0</v>
      </c>
      <c r="AP247" s="24">
        <v>0</v>
      </c>
      <c r="AQ247" s="58">
        <f t="shared" si="14"/>
        <v>0</v>
      </c>
      <c r="AR247" s="59">
        <f t="shared" si="15"/>
        <v>0</v>
      </c>
      <c r="AS247" s="35">
        <v>0</v>
      </c>
    </row>
    <row r="248" spans="1:45" ht="16" x14ac:dyDescent="0.2">
      <c r="A248" s="53">
        <v>244</v>
      </c>
      <c r="B248" s="55" t="s">
        <v>263</v>
      </c>
      <c r="C248" s="54" t="s">
        <v>271</v>
      </c>
      <c r="D248" s="350"/>
      <c r="E248" s="53"/>
      <c r="F248" s="56"/>
      <c r="G248" s="53"/>
      <c r="H248" s="56"/>
      <c r="I248" s="57"/>
      <c r="J248" s="53"/>
      <c r="K248" s="56"/>
      <c r="L248" s="57"/>
      <c r="M248" s="58"/>
      <c r="N248" s="56"/>
      <c r="O248" s="57"/>
      <c r="P248" s="58">
        <f t="shared" si="12"/>
        <v>1.44</v>
      </c>
      <c r="Q248" s="59">
        <f t="shared" si="13"/>
        <v>3600</v>
      </c>
      <c r="R248" s="35">
        <v>2</v>
      </c>
      <c r="S248" s="19">
        <v>0</v>
      </c>
      <c r="T248" s="23">
        <v>0</v>
      </c>
      <c r="U248" s="24">
        <v>0</v>
      </c>
      <c r="V248" s="33">
        <v>0</v>
      </c>
      <c r="W248" s="34">
        <v>0</v>
      </c>
      <c r="X248" s="35">
        <v>0</v>
      </c>
      <c r="Y248" s="19">
        <v>0</v>
      </c>
      <c r="Z248" s="23">
        <v>0</v>
      </c>
      <c r="AA248" s="24">
        <v>0</v>
      </c>
      <c r="AB248" s="33">
        <v>0</v>
      </c>
      <c r="AC248" s="34">
        <v>0</v>
      </c>
      <c r="AD248" s="35">
        <v>0</v>
      </c>
      <c r="AE248" s="36">
        <v>0</v>
      </c>
      <c r="AF248" s="23">
        <v>0</v>
      </c>
      <c r="AG248" s="24">
        <v>0</v>
      </c>
      <c r="AH248" s="33">
        <v>0</v>
      </c>
      <c r="AI248" s="37">
        <v>0</v>
      </c>
      <c r="AJ248" s="35">
        <v>0</v>
      </c>
      <c r="AK248" s="36">
        <v>0</v>
      </c>
      <c r="AL248" s="38">
        <v>0</v>
      </c>
      <c r="AM248" s="35">
        <v>0</v>
      </c>
      <c r="AN248" s="19">
        <v>0</v>
      </c>
      <c r="AO248" s="23">
        <v>0</v>
      </c>
      <c r="AP248" s="24">
        <v>0</v>
      </c>
      <c r="AQ248" s="58">
        <f t="shared" si="14"/>
        <v>1.44</v>
      </c>
      <c r="AR248" s="59">
        <f t="shared" si="15"/>
        <v>3600</v>
      </c>
      <c r="AS248" s="35">
        <v>2</v>
      </c>
    </row>
    <row r="249" spans="1:45" ht="16" x14ac:dyDescent="0.2">
      <c r="A249" s="53">
        <v>245</v>
      </c>
      <c r="B249" s="55" t="s">
        <v>263</v>
      </c>
      <c r="C249" s="54" t="s">
        <v>272</v>
      </c>
      <c r="D249" s="350"/>
      <c r="E249" s="53"/>
      <c r="F249" s="56"/>
      <c r="G249" s="53"/>
      <c r="H249" s="56"/>
      <c r="I249" s="57"/>
      <c r="J249" s="53"/>
      <c r="K249" s="56"/>
      <c r="L249" s="57"/>
      <c r="M249" s="58"/>
      <c r="N249" s="56"/>
      <c r="O249" s="57"/>
      <c r="P249" s="58">
        <f t="shared" si="12"/>
        <v>0</v>
      </c>
      <c r="Q249" s="59">
        <f t="shared" si="13"/>
        <v>0</v>
      </c>
      <c r="R249" s="35">
        <v>0</v>
      </c>
      <c r="S249" s="19">
        <v>0</v>
      </c>
      <c r="T249" s="23">
        <v>0</v>
      </c>
      <c r="U249" s="24">
        <v>0</v>
      </c>
      <c r="V249" s="33">
        <v>0</v>
      </c>
      <c r="W249" s="34">
        <v>0</v>
      </c>
      <c r="X249" s="35">
        <v>0</v>
      </c>
      <c r="Y249" s="19">
        <v>0</v>
      </c>
      <c r="Z249" s="23">
        <v>0</v>
      </c>
      <c r="AA249" s="24">
        <v>0</v>
      </c>
      <c r="AB249" s="33">
        <v>0</v>
      </c>
      <c r="AC249" s="34">
        <v>0</v>
      </c>
      <c r="AD249" s="35">
        <v>0</v>
      </c>
      <c r="AE249" s="36">
        <v>0</v>
      </c>
      <c r="AF249" s="23">
        <v>0</v>
      </c>
      <c r="AG249" s="24">
        <v>0</v>
      </c>
      <c r="AH249" s="33">
        <v>0</v>
      </c>
      <c r="AI249" s="37">
        <v>0</v>
      </c>
      <c r="AJ249" s="35">
        <v>0</v>
      </c>
      <c r="AK249" s="36">
        <v>0</v>
      </c>
      <c r="AL249" s="38">
        <v>0</v>
      </c>
      <c r="AM249" s="35">
        <v>0</v>
      </c>
      <c r="AN249" s="19">
        <v>0</v>
      </c>
      <c r="AO249" s="23">
        <v>0</v>
      </c>
      <c r="AP249" s="24">
        <v>0</v>
      </c>
      <c r="AQ249" s="58">
        <f t="shared" si="14"/>
        <v>0</v>
      </c>
      <c r="AR249" s="59">
        <f t="shared" si="15"/>
        <v>0</v>
      </c>
      <c r="AS249" s="35">
        <v>0</v>
      </c>
    </row>
    <row r="250" spans="1:45" ht="16" x14ac:dyDescent="0.2">
      <c r="A250" s="53">
        <v>246</v>
      </c>
      <c r="B250" s="55" t="s">
        <v>263</v>
      </c>
      <c r="C250" s="54" t="s">
        <v>273</v>
      </c>
      <c r="D250" s="350"/>
      <c r="E250" s="53"/>
      <c r="F250" s="56"/>
      <c r="G250" s="53"/>
      <c r="H250" s="56"/>
      <c r="I250" s="57"/>
      <c r="J250" s="53"/>
      <c r="K250" s="56"/>
      <c r="L250" s="57"/>
      <c r="M250" s="58"/>
      <c r="N250" s="56"/>
      <c r="O250" s="57"/>
      <c r="P250" s="58">
        <f t="shared" si="12"/>
        <v>0</v>
      </c>
      <c r="Q250" s="59">
        <f t="shared" si="13"/>
        <v>0</v>
      </c>
      <c r="R250" s="35">
        <v>0</v>
      </c>
      <c r="S250" s="19">
        <v>0</v>
      </c>
      <c r="T250" s="23">
        <v>0</v>
      </c>
      <c r="U250" s="24">
        <v>0</v>
      </c>
      <c r="V250" s="33">
        <v>0</v>
      </c>
      <c r="W250" s="34">
        <v>0</v>
      </c>
      <c r="X250" s="35">
        <v>0</v>
      </c>
      <c r="Y250" s="19">
        <v>0</v>
      </c>
      <c r="Z250" s="23">
        <v>0</v>
      </c>
      <c r="AA250" s="24">
        <v>0</v>
      </c>
      <c r="AB250" s="33">
        <v>0</v>
      </c>
      <c r="AC250" s="34">
        <v>0</v>
      </c>
      <c r="AD250" s="35">
        <v>0</v>
      </c>
      <c r="AE250" s="36">
        <v>0</v>
      </c>
      <c r="AF250" s="23">
        <v>0</v>
      </c>
      <c r="AG250" s="24">
        <v>0</v>
      </c>
      <c r="AH250" s="33">
        <v>0</v>
      </c>
      <c r="AI250" s="37">
        <v>0</v>
      </c>
      <c r="AJ250" s="35">
        <v>0</v>
      </c>
      <c r="AK250" s="36">
        <v>0</v>
      </c>
      <c r="AL250" s="38">
        <v>0</v>
      </c>
      <c r="AM250" s="35">
        <v>0</v>
      </c>
      <c r="AN250" s="19">
        <v>0</v>
      </c>
      <c r="AO250" s="23">
        <v>0</v>
      </c>
      <c r="AP250" s="24">
        <v>0</v>
      </c>
      <c r="AQ250" s="58">
        <f t="shared" si="14"/>
        <v>0</v>
      </c>
      <c r="AR250" s="59">
        <f t="shared" si="15"/>
        <v>0</v>
      </c>
      <c r="AS250" s="35">
        <v>0</v>
      </c>
    </row>
    <row r="251" spans="1:45" ht="16" x14ac:dyDescent="0.2">
      <c r="A251" s="53">
        <v>247</v>
      </c>
      <c r="B251" s="55" t="s">
        <v>263</v>
      </c>
      <c r="C251" s="54" t="s">
        <v>274</v>
      </c>
      <c r="D251" s="350"/>
      <c r="E251" s="53"/>
      <c r="F251" s="56"/>
      <c r="G251" s="53"/>
      <c r="H251" s="56"/>
      <c r="I251" s="57"/>
      <c r="J251" s="53"/>
      <c r="K251" s="56"/>
      <c r="L251" s="57"/>
      <c r="M251" s="58"/>
      <c r="N251" s="56"/>
      <c r="O251" s="57"/>
      <c r="P251" s="58">
        <f t="shared" si="12"/>
        <v>0</v>
      </c>
      <c r="Q251" s="59">
        <f t="shared" si="13"/>
        <v>0</v>
      </c>
      <c r="R251" s="35">
        <v>0</v>
      </c>
      <c r="S251" s="19">
        <v>0</v>
      </c>
      <c r="T251" s="23">
        <v>0</v>
      </c>
      <c r="U251" s="24">
        <v>0</v>
      </c>
      <c r="V251" s="33">
        <v>0</v>
      </c>
      <c r="W251" s="34">
        <v>0</v>
      </c>
      <c r="X251" s="35">
        <v>0</v>
      </c>
      <c r="Y251" s="19">
        <v>0</v>
      </c>
      <c r="Z251" s="23">
        <v>0</v>
      </c>
      <c r="AA251" s="24">
        <v>0</v>
      </c>
      <c r="AB251" s="33">
        <v>0</v>
      </c>
      <c r="AC251" s="34">
        <v>0</v>
      </c>
      <c r="AD251" s="35">
        <v>0</v>
      </c>
      <c r="AE251" s="36">
        <v>0</v>
      </c>
      <c r="AF251" s="23">
        <v>0</v>
      </c>
      <c r="AG251" s="24">
        <v>0</v>
      </c>
      <c r="AH251" s="33">
        <v>0</v>
      </c>
      <c r="AI251" s="37">
        <v>0</v>
      </c>
      <c r="AJ251" s="35">
        <v>0</v>
      </c>
      <c r="AK251" s="36">
        <v>0</v>
      </c>
      <c r="AL251" s="38">
        <v>0</v>
      </c>
      <c r="AM251" s="35">
        <v>0</v>
      </c>
      <c r="AN251" s="19">
        <v>0</v>
      </c>
      <c r="AO251" s="23">
        <v>0</v>
      </c>
      <c r="AP251" s="24">
        <v>0</v>
      </c>
      <c r="AQ251" s="58">
        <f t="shared" si="14"/>
        <v>0</v>
      </c>
      <c r="AR251" s="59">
        <f t="shared" si="15"/>
        <v>0</v>
      </c>
      <c r="AS251" s="35">
        <v>0</v>
      </c>
    </row>
    <row r="252" spans="1:45" ht="16" x14ac:dyDescent="0.2">
      <c r="A252" s="53">
        <v>248</v>
      </c>
      <c r="B252" s="55" t="s">
        <v>263</v>
      </c>
      <c r="C252" s="54" t="s">
        <v>275</v>
      </c>
      <c r="D252" s="350"/>
      <c r="E252" s="53"/>
      <c r="F252" s="56"/>
      <c r="G252" s="53"/>
      <c r="H252" s="56"/>
      <c r="I252" s="57"/>
      <c r="J252" s="53"/>
      <c r="K252" s="56"/>
      <c r="L252" s="57"/>
      <c r="M252" s="58"/>
      <c r="N252" s="56"/>
      <c r="O252" s="57"/>
      <c r="P252" s="58">
        <f t="shared" si="12"/>
        <v>0</v>
      </c>
      <c r="Q252" s="59">
        <f t="shared" si="13"/>
        <v>0</v>
      </c>
      <c r="R252" s="35">
        <v>0</v>
      </c>
      <c r="S252" s="19">
        <v>0</v>
      </c>
      <c r="T252" s="23">
        <v>0</v>
      </c>
      <c r="U252" s="24">
        <v>0</v>
      </c>
      <c r="V252" s="33">
        <v>0</v>
      </c>
      <c r="W252" s="34">
        <v>0</v>
      </c>
      <c r="X252" s="35">
        <v>0</v>
      </c>
      <c r="Y252" s="19">
        <v>0</v>
      </c>
      <c r="Z252" s="23">
        <v>0</v>
      </c>
      <c r="AA252" s="24">
        <v>0</v>
      </c>
      <c r="AB252" s="33">
        <v>0</v>
      </c>
      <c r="AC252" s="34">
        <v>0</v>
      </c>
      <c r="AD252" s="35">
        <v>0</v>
      </c>
      <c r="AE252" s="36">
        <v>0</v>
      </c>
      <c r="AF252" s="23">
        <v>0</v>
      </c>
      <c r="AG252" s="24">
        <v>0</v>
      </c>
      <c r="AH252" s="33">
        <v>0</v>
      </c>
      <c r="AI252" s="37">
        <v>0</v>
      </c>
      <c r="AJ252" s="35">
        <v>0</v>
      </c>
      <c r="AK252" s="36">
        <v>0</v>
      </c>
      <c r="AL252" s="38">
        <v>0</v>
      </c>
      <c r="AM252" s="35">
        <v>0</v>
      </c>
      <c r="AN252" s="19">
        <v>0</v>
      </c>
      <c r="AO252" s="23">
        <v>0</v>
      </c>
      <c r="AP252" s="24">
        <v>0</v>
      </c>
      <c r="AQ252" s="58">
        <f t="shared" si="14"/>
        <v>0</v>
      </c>
      <c r="AR252" s="59">
        <f t="shared" si="15"/>
        <v>0</v>
      </c>
      <c r="AS252" s="35">
        <v>0</v>
      </c>
    </row>
    <row r="253" spans="1:45" ht="16" x14ac:dyDescent="0.2">
      <c r="A253" s="53">
        <v>249</v>
      </c>
      <c r="B253" s="55" t="s">
        <v>263</v>
      </c>
      <c r="C253" s="54" t="s">
        <v>276</v>
      </c>
      <c r="D253" s="350"/>
      <c r="E253" s="53"/>
      <c r="F253" s="56"/>
      <c r="G253" s="53"/>
      <c r="H253" s="56"/>
      <c r="I253" s="57"/>
      <c r="J253" s="53"/>
      <c r="K253" s="56"/>
      <c r="L253" s="57"/>
      <c r="M253" s="58"/>
      <c r="N253" s="56"/>
      <c r="O253" s="57"/>
      <c r="P253" s="58">
        <f t="shared" si="12"/>
        <v>2.16</v>
      </c>
      <c r="Q253" s="59">
        <f t="shared" si="13"/>
        <v>5400</v>
      </c>
      <c r="R253" s="35">
        <v>3</v>
      </c>
      <c r="S253" s="19">
        <v>0</v>
      </c>
      <c r="T253" s="23">
        <v>0</v>
      </c>
      <c r="U253" s="24">
        <v>0</v>
      </c>
      <c r="V253" s="33">
        <v>0</v>
      </c>
      <c r="W253" s="34">
        <v>0</v>
      </c>
      <c r="X253" s="35">
        <v>0</v>
      </c>
      <c r="Y253" s="19">
        <v>0</v>
      </c>
      <c r="Z253" s="23">
        <v>0</v>
      </c>
      <c r="AA253" s="24">
        <v>0</v>
      </c>
      <c r="AB253" s="33">
        <v>0</v>
      </c>
      <c r="AC253" s="34">
        <v>0</v>
      </c>
      <c r="AD253" s="35">
        <v>0</v>
      </c>
      <c r="AE253" s="36">
        <v>0</v>
      </c>
      <c r="AF253" s="23">
        <v>0</v>
      </c>
      <c r="AG253" s="24">
        <v>0</v>
      </c>
      <c r="AH253" s="33">
        <v>0</v>
      </c>
      <c r="AI253" s="37">
        <v>0</v>
      </c>
      <c r="AJ253" s="35">
        <v>0</v>
      </c>
      <c r="AK253" s="36">
        <v>0</v>
      </c>
      <c r="AL253" s="38">
        <v>0</v>
      </c>
      <c r="AM253" s="35">
        <v>0</v>
      </c>
      <c r="AN253" s="19">
        <v>0</v>
      </c>
      <c r="AO253" s="23">
        <v>0</v>
      </c>
      <c r="AP253" s="24">
        <v>0</v>
      </c>
      <c r="AQ253" s="58">
        <f t="shared" si="14"/>
        <v>2.16</v>
      </c>
      <c r="AR253" s="59">
        <f t="shared" si="15"/>
        <v>5400</v>
      </c>
      <c r="AS253" s="35">
        <v>3</v>
      </c>
    </row>
    <row r="254" spans="1:45" ht="16" x14ac:dyDescent="0.2">
      <c r="A254" s="53">
        <v>250</v>
      </c>
      <c r="B254" s="55" t="s">
        <v>263</v>
      </c>
      <c r="C254" s="54" t="s">
        <v>277</v>
      </c>
      <c r="D254" s="350"/>
      <c r="E254" s="53"/>
      <c r="F254" s="56"/>
      <c r="G254" s="53"/>
      <c r="H254" s="56"/>
      <c r="I254" s="57"/>
      <c r="J254" s="53"/>
      <c r="K254" s="56"/>
      <c r="L254" s="57"/>
      <c r="M254" s="58"/>
      <c r="N254" s="56"/>
      <c r="O254" s="57"/>
      <c r="P254" s="58">
        <f t="shared" si="12"/>
        <v>2.16</v>
      </c>
      <c r="Q254" s="59">
        <f t="shared" si="13"/>
        <v>5400</v>
      </c>
      <c r="R254" s="35">
        <v>3</v>
      </c>
      <c r="S254" s="19">
        <v>0</v>
      </c>
      <c r="T254" s="23">
        <v>0</v>
      </c>
      <c r="U254" s="24">
        <v>0</v>
      </c>
      <c r="V254" s="33">
        <v>0</v>
      </c>
      <c r="W254" s="34">
        <v>0</v>
      </c>
      <c r="X254" s="35">
        <v>0</v>
      </c>
      <c r="Y254" s="19">
        <v>0</v>
      </c>
      <c r="Z254" s="23">
        <v>0</v>
      </c>
      <c r="AA254" s="24">
        <v>0</v>
      </c>
      <c r="AB254" s="33">
        <v>0</v>
      </c>
      <c r="AC254" s="34">
        <v>0</v>
      </c>
      <c r="AD254" s="35">
        <v>0</v>
      </c>
      <c r="AE254" s="36">
        <v>0</v>
      </c>
      <c r="AF254" s="23">
        <v>0</v>
      </c>
      <c r="AG254" s="24">
        <v>0</v>
      </c>
      <c r="AH254" s="33">
        <v>0</v>
      </c>
      <c r="AI254" s="37">
        <v>0</v>
      </c>
      <c r="AJ254" s="35">
        <v>0</v>
      </c>
      <c r="AK254" s="36">
        <v>0</v>
      </c>
      <c r="AL254" s="38">
        <v>0</v>
      </c>
      <c r="AM254" s="35">
        <v>0</v>
      </c>
      <c r="AN254" s="19">
        <v>0</v>
      </c>
      <c r="AO254" s="23">
        <v>0</v>
      </c>
      <c r="AP254" s="24">
        <v>0</v>
      </c>
      <c r="AQ254" s="58">
        <f t="shared" si="14"/>
        <v>2.16</v>
      </c>
      <c r="AR254" s="59">
        <f t="shared" si="15"/>
        <v>5400</v>
      </c>
      <c r="AS254" s="35">
        <v>3</v>
      </c>
    </row>
    <row r="255" spans="1:45" ht="16" x14ac:dyDescent="0.2">
      <c r="A255" s="53">
        <v>251</v>
      </c>
      <c r="B255" s="55" t="s">
        <v>263</v>
      </c>
      <c r="C255" s="54" t="s">
        <v>278</v>
      </c>
      <c r="D255" s="350"/>
      <c r="E255" s="53"/>
      <c r="F255" s="56"/>
      <c r="G255" s="53"/>
      <c r="H255" s="56"/>
      <c r="I255" s="57"/>
      <c r="J255" s="53"/>
      <c r="K255" s="56"/>
      <c r="L255" s="57"/>
      <c r="M255" s="58"/>
      <c r="N255" s="56"/>
      <c r="O255" s="57"/>
      <c r="P255" s="58">
        <f t="shared" si="12"/>
        <v>0</v>
      </c>
      <c r="Q255" s="59">
        <f t="shared" si="13"/>
        <v>0</v>
      </c>
      <c r="R255" s="35">
        <v>0</v>
      </c>
      <c r="S255" s="19">
        <v>0</v>
      </c>
      <c r="T255" s="23">
        <v>0</v>
      </c>
      <c r="U255" s="24">
        <v>0</v>
      </c>
      <c r="V255" s="33">
        <v>0</v>
      </c>
      <c r="W255" s="34">
        <v>0</v>
      </c>
      <c r="X255" s="35">
        <v>0</v>
      </c>
      <c r="Y255" s="19">
        <v>0</v>
      </c>
      <c r="Z255" s="23">
        <v>0</v>
      </c>
      <c r="AA255" s="24">
        <v>0</v>
      </c>
      <c r="AB255" s="33">
        <v>0</v>
      </c>
      <c r="AC255" s="34">
        <v>0</v>
      </c>
      <c r="AD255" s="35">
        <v>0</v>
      </c>
      <c r="AE255" s="36">
        <v>0</v>
      </c>
      <c r="AF255" s="23">
        <v>0</v>
      </c>
      <c r="AG255" s="24">
        <v>0</v>
      </c>
      <c r="AH255" s="33">
        <v>0</v>
      </c>
      <c r="AI255" s="37">
        <v>0</v>
      </c>
      <c r="AJ255" s="35">
        <v>0</v>
      </c>
      <c r="AK255" s="36">
        <v>0</v>
      </c>
      <c r="AL255" s="38">
        <v>0</v>
      </c>
      <c r="AM255" s="35">
        <v>0</v>
      </c>
      <c r="AN255" s="19">
        <v>0</v>
      </c>
      <c r="AO255" s="23">
        <v>0</v>
      </c>
      <c r="AP255" s="24">
        <v>0</v>
      </c>
      <c r="AQ255" s="58">
        <f t="shared" si="14"/>
        <v>0</v>
      </c>
      <c r="AR255" s="59">
        <f t="shared" si="15"/>
        <v>0</v>
      </c>
      <c r="AS255" s="35">
        <v>0</v>
      </c>
    </row>
    <row r="256" spans="1:45" ht="16" x14ac:dyDescent="0.2">
      <c r="A256" s="53">
        <v>252</v>
      </c>
      <c r="B256" s="55" t="s">
        <v>263</v>
      </c>
      <c r="C256" s="54" t="s">
        <v>279</v>
      </c>
      <c r="D256" s="350"/>
      <c r="E256" s="53"/>
      <c r="F256" s="56"/>
      <c r="G256" s="53"/>
      <c r="H256" s="56"/>
      <c r="I256" s="57"/>
      <c r="J256" s="53"/>
      <c r="K256" s="56"/>
      <c r="L256" s="57"/>
      <c r="M256" s="58"/>
      <c r="N256" s="56"/>
      <c r="O256" s="57"/>
      <c r="P256" s="58">
        <f t="shared" si="12"/>
        <v>0</v>
      </c>
      <c r="Q256" s="59">
        <f t="shared" si="13"/>
        <v>0</v>
      </c>
      <c r="R256" s="35">
        <v>0</v>
      </c>
      <c r="S256" s="19">
        <v>0</v>
      </c>
      <c r="T256" s="23">
        <v>0</v>
      </c>
      <c r="U256" s="24">
        <v>0</v>
      </c>
      <c r="V256" s="33">
        <v>0</v>
      </c>
      <c r="W256" s="34">
        <v>0</v>
      </c>
      <c r="X256" s="35">
        <v>0</v>
      </c>
      <c r="Y256" s="19">
        <v>0</v>
      </c>
      <c r="Z256" s="23">
        <v>0</v>
      </c>
      <c r="AA256" s="24">
        <v>0</v>
      </c>
      <c r="AB256" s="33">
        <v>0</v>
      </c>
      <c r="AC256" s="34">
        <v>0</v>
      </c>
      <c r="AD256" s="35">
        <v>0</v>
      </c>
      <c r="AE256" s="36">
        <v>0</v>
      </c>
      <c r="AF256" s="23">
        <v>0</v>
      </c>
      <c r="AG256" s="24">
        <v>0</v>
      </c>
      <c r="AH256" s="33">
        <v>0</v>
      </c>
      <c r="AI256" s="37">
        <v>0</v>
      </c>
      <c r="AJ256" s="35">
        <v>0</v>
      </c>
      <c r="AK256" s="36">
        <v>0</v>
      </c>
      <c r="AL256" s="38">
        <v>0</v>
      </c>
      <c r="AM256" s="35">
        <v>0</v>
      </c>
      <c r="AN256" s="19">
        <v>0</v>
      </c>
      <c r="AO256" s="23">
        <v>0</v>
      </c>
      <c r="AP256" s="24">
        <v>0</v>
      </c>
      <c r="AQ256" s="58">
        <f t="shared" si="14"/>
        <v>0</v>
      </c>
      <c r="AR256" s="59">
        <f t="shared" si="15"/>
        <v>0</v>
      </c>
      <c r="AS256" s="35">
        <v>0</v>
      </c>
    </row>
    <row r="257" spans="1:45" ht="16" x14ac:dyDescent="0.2">
      <c r="A257" s="53">
        <v>253</v>
      </c>
      <c r="B257" s="55" t="s">
        <v>263</v>
      </c>
      <c r="C257" s="54" t="s">
        <v>280</v>
      </c>
      <c r="D257" s="350"/>
      <c r="E257" s="53"/>
      <c r="F257" s="56"/>
      <c r="G257" s="53"/>
      <c r="H257" s="56"/>
      <c r="I257" s="57"/>
      <c r="J257" s="53"/>
      <c r="K257" s="56"/>
      <c r="L257" s="57"/>
      <c r="M257" s="58"/>
      <c r="N257" s="56"/>
      <c r="O257" s="57"/>
      <c r="P257" s="58">
        <f t="shared" si="12"/>
        <v>2.16</v>
      </c>
      <c r="Q257" s="59">
        <f t="shared" si="13"/>
        <v>5400</v>
      </c>
      <c r="R257" s="35">
        <v>3</v>
      </c>
      <c r="S257" s="19">
        <v>0</v>
      </c>
      <c r="T257" s="23">
        <v>0</v>
      </c>
      <c r="U257" s="24">
        <v>0</v>
      </c>
      <c r="V257" s="33">
        <v>0</v>
      </c>
      <c r="W257" s="34">
        <v>0</v>
      </c>
      <c r="X257" s="35">
        <v>0</v>
      </c>
      <c r="Y257" s="19">
        <v>0</v>
      </c>
      <c r="Z257" s="23">
        <v>0</v>
      </c>
      <c r="AA257" s="24">
        <v>0</v>
      </c>
      <c r="AB257" s="33">
        <v>0</v>
      </c>
      <c r="AC257" s="34">
        <v>0</v>
      </c>
      <c r="AD257" s="35">
        <v>0</v>
      </c>
      <c r="AE257" s="36">
        <v>0</v>
      </c>
      <c r="AF257" s="23">
        <v>0</v>
      </c>
      <c r="AG257" s="24">
        <v>0</v>
      </c>
      <c r="AH257" s="33">
        <v>0</v>
      </c>
      <c r="AI257" s="37">
        <v>0</v>
      </c>
      <c r="AJ257" s="35">
        <v>0</v>
      </c>
      <c r="AK257" s="36">
        <v>0</v>
      </c>
      <c r="AL257" s="38">
        <v>0</v>
      </c>
      <c r="AM257" s="35">
        <v>0</v>
      </c>
      <c r="AN257" s="19">
        <v>0</v>
      </c>
      <c r="AO257" s="23">
        <v>0</v>
      </c>
      <c r="AP257" s="24">
        <v>0</v>
      </c>
      <c r="AQ257" s="58">
        <f t="shared" si="14"/>
        <v>2.16</v>
      </c>
      <c r="AR257" s="59">
        <f t="shared" si="15"/>
        <v>5400</v>
      </c>
      <c r="AS257" s="35">
        <v>3</v>
      </c>
    </row>
    <row r="258" spans="1:45" ht="16" x14ac:dyDescent="0.2">
      <c r="A258" s="53">
        <v>254</v>
      </c>
      <c r="B258" s="55" t="s">
        <v>263</v>
      </c>
      <c r="C258" s="54" t="s">
        <v>281</v>
      </c>
      <c r="D258" s="350"/>
      <c r="E258" s="53"/>
      <c r="F258" s="56"/>
      <c r="G258" s="53"/>
      <c r="H258" s="56"/>
      <c r="I258" s="57"/>
      <c r="J258" s="53"/>
      <c r="K258" s="56"/>
      <c r="L258" s="57"/>
      <c r="M258" s="58"/>
      <c r="N258" s="56"/>
      <c r="O258" s="57"/>
      <c r="P258" s="58">
        <f t="shared" si="12"/>
        <v>0</v>
      </c>
      <c r="Q258" s="59">
        <f t="shared" si="13"/>
        <v>0</v>
      </c>
      <c r="R258" s="35">
        <v>0</v>
      </c>
      <c r="S258" s="19">
        <v>0</v>
      </c>
      <c r="T258" s="23">
        <v>0</v>
      </c>
      <c r="U258" s="24">
        <v>0</v>
      </c>
      <c r="V258" s="33">
        <v>0</v>
      </c>
      <c r="W258" s="34">
        <v>0</v>
      </c>
      <c r="X258" s="35">
        <v>0</v>
      </c>
      <c r="Y258" s="19">
        <v>0</v>
      </c>
      <c r="Z258" s="23">
        <v>0</v>
      </c>
      <c r="AA258" s="24">
        <v>0</v>
      </c>
      <c r="AB258" s="33">
        <v>0</v>
      </c>
      <c r="AC258" s="34">
        <v>0</v>
      </c>
      <c r="AD258" s="35">
        <v>0</v>
      </c>
      <c r="AE258" s="36">
        <v>0</v>
      </c>
      <c r="AF258" s="23">
        <v>0</v>
      </c>
      <c r="AG258" s="24">
        <v>0</v>
      </c>
      <c r="AH258" s="33">
        <v>0</v>
      </c>
      <c r="AI258" s="37">
        <v>0</v>
      </c>
      <c r="AJ258" s="35">
        <v>0</v>
      </c>
      <c r="AK258" s="36">
        <v>0</v>
      </c>
      <c r="AL258" s="38">
        <v>0</v>
      </c>
      <c r="AM258" s="35">
        <v>0</v>
      </c>
      <c r="AN258" s="19">
        <v>0</v>
      </c>
      <c r="AO258" s="23">
        <v>0</v>
      </c>
      <c r="AP258" s="24">
        <v>0</v>
      </c>
      <c r="AQ258" s="58">
        <f t="shared" si="14"/>
        <v>0</v>
      </c>
      <c r="AR258" s="59">
        <f t="shared" si="15"/>
        <v>0</v>
      </c>
      <c r="AS258" s="35">
        <v>0</v>
      </c>
    </row>
    <row r="259" spans="1:45" ht="16" x14ac:dyDescent="0.2">
      <c r="A259" s="53">
        <v>255</v>
      </c>
      <c r="B259" s="55" t="s">
        <v>263</v>
      </c>
      <c r="C259" s="54" t="s">
        <v>282</v>
      </c>
      <c r="D259" s="350"/>
      <c r="E259" s="53"/>
      <c r="F259" s="56"/>
      <c r="G259" s="53"/>
      <c r="H259" s="56"/>
      <c r="I259" s="57"/>
      <c r="J259" s="53"/>
      <c r="K259" s="56"/>
      <c r="L259" s="57"/>
      <c r="M259" s="58"/>
      <c r="N259" s="56"/>
      <c r="O259" s="57"/>
      <c r="P259" s="58">
        <f t="shared" si="12"/>
        <v>0</v>
      </c>
      <c r="Q259" s="59">
        <f t="shared" si="13"/>
        <v>0</v>
      </c>
      <c r="R259" s="35">
        <v>0</v>
      </c>
      <c r="S259" s="19">
        <v>0</v>
      </c>
      <c r="T259" s="23">
        <v>0</v>
      </c>
      <c r="U259" s="24">
        <v>0</v>
      </c>
      <c r="V259" s="33">
        <v>0</v>
      </c>
      <c r="W259" s="34">
        <v>0</v>
      </c>
      <c r="X259" s="35">
        <v>0</v>
      </c>
      <c r="Y259" s="19">
        <v>0</v>
      </c>
      <c r="Z259" s="23">
        <v>0</v>
      </c>
      <c r="AA259" s="24">
        <v>0</v>
      </c>
      <c r="AB259" s="33">
        <v>0</v>
      </c>
      <c r="AC259" s="34">
        <v>0</v>
      </c>
      <c r="AD259" s="35">
        <v>0</v>
      </c>
      <c r="AE259" s="36">
        <v>0</v>
      </c>
      <c r="AF259" s="23">
        <v>0</v>
      </c>
      <c r="AG259" s="24">
        <v>0</v>
      </c>
      <c r="AH259" s="33">
        <v>0</v>
      </c>
      <c r="AI259" s="37">
        <v>0</v>
      </c>
      <c r="AJ259" s="35">
        <v>0</v>
      </c>
      <c r="AK259" s="36">
        <v>0</v>
      </c>
      <c r="AL259" s="38">
        <v>0</v>
      </c>
      <c r="AM259" s="35">
        <v>0</v>
      </c>
      <c r="AN259" s="19">
        <v>0</v>
      </c>
      <c r="AO259" s="23">
        <v>0</v>
      </c>
      <c r="AP259" s="24">
        <v>0</v>
      </c>
      <c r="AQ259" s="58">
        <f t="shared" si="14"/>
        <v>0</v>
      </c>
      <c r="AR259" s="59">
        <f t="shared" si="15"/>
        <v>0</v>
      </c>
      <c r="AS259" s="35">
        <v>0</v>
      </c>
    </row>
    <row r="260" spans="1:45" ht="16" x14ac:dyDescent="0.2">
      <c r="A260" s="53">
        <v>256</v>
      </c>
      <c r="B260" s="55" t="s">
        <v>263</v>
      </c>
      <c r="C260" s="54" t="s">
        <v>283</v>
      </c>
      <c r="D260" s="350" t="s">
        <v>25</v>
      </c>
      <c r="E260" s="53"/>
      <c r="F260" s="56"/>
      <c r="G260" s="53"/>
      <c r="H260" s="56"/>
      <c r="I260" s="57"/>
      <c r="J260" s="53"/>
      <c r="K260" s="56"/>
      <c r="L260" s="57"/>
      <c r="M260" s="58"/>
      <c r="N260" s="56"/>
      <c r="O260" s="57"/>
      <c r="P260" s="58">
        <f t="shared" si="12"/>
        <v>0</v>
      </c>
      <c r="Q260" s="59">
        <f t="shared" si="13"/>
        <v>0</v>
      </c>
      <c r="R260" s="35">
        <v>0</v>
      </c>
      <c r="S260" s="19">
        <v>0</v>
      </c>
      <c r="T260" s="23">
        <v>0</v>
      </c>
      <c r="U260" s="24">
        <v>0</v>
      </c>
      <c r="V260" s="33">
        <v>0</v>
      </c>
      <c r="W260" s="34">
        <v>0</v>
      </c>
      <c r="X260" s="35">
        <v>0</v>
      </c>
      <c r="Y260" s="19">
        <v>0</v>
      </c>
      <c r="Z260" s="23">
        <v>0</v>
      </c>
      <c r="AA260" s="24">
        <v>0</v>
      </c>
      <c r="AB260" s="33">
        <v>0</v>
      </c>
      <c r="AC260" s="34">
        <v>0</v>
      </c>
      <c r="AD260" s="35">
        <v>0</v>
      </c>
      <c r="AE260" s="36">
        <v>0</v>
      </c>
      <c r="AF260" s="23">
        <v>0</v>
      </c>
      <c r="AG260" s="24">
        <v>0</v>
      </c>
      <c r="AH260" s="33">
        <v>0</v>
      </c>
      <c r="AI260" s="37">
        <v>0</v>
      </c>
      <c r="AJ260" s="35">
        <v>0</v>
      </c>
      <c r="AK260" s="36">
        <v>0</v>
      </c>
      <c r="AL260" s="38">
        <v>0</v>
      </c>
      <c r="AM260" s="35">
        <v>0</v>
      </c>
      <c r="AN260" s="19">
        <v>0</v>
      </c>
      <c r="AO260" s="23">
        <v>0</v>
      </c>
      <c r="AP260" s="24">
        <v>0</v>
      </c>
      <c r="AQ260" s="58">
        <f t="shared" si="14"/>
        <v>0</v>
      </c>
      <c r="AR260" s="59">
        <f t="shared" si="15"/>
        <v>0</v>
      </c>
      <c r="AS260" s="35">
        <v>0</v>
      </c>
    </row>
    <row r="261" spans="1:45" ht="16" x14ac:dyDescent="0.2">
      <c r="A261" s="53">
        <v>257</v>
      </c>
      <c r="B261" s="55" t="s">
        <v>263</v>
      </c>
      <c r="C261" s="54" t="s">
        <v>263</v>
      </c>
      <c r="D261" s="350"/>
      <c r="E261" s="53"/>
      <c r="F261" s="56"/>
      <c r="G261" s="53"/>
      <c r="H261" s="56"/>
      <c r="I261" s="57"/>
      <c r="J261" s="53"/>
      <c r="K261" s="56"/>
      <c r="L261" s="57"/>
      <c r="M261" s="58"/>
      <c r="N261" s="56"/>
      <c r="O261" s="57"/>
      <c r="P261" s="58">
        <f t="shared" ref="P261:P324" si="16">Q261/2500</f>
        <v>5.04</v>
      </c>
      <c r="Q261" s="59">
        <f t="shared" ref="Q261:Q324" si="17">R261*1800</f>
        <v>12600</v>
      </c>
      <c r="R261" s="35">
        <v>7</v>
      </c>
      <c r="S261" s="19">
        <v>0</v>
      </c>
      <c r="T261" s="23">
        <v>0</v>
      </c>
      <c r="U261" s="24">
        <v>0</v>
      </c>
      <c r="V261" s="33">
        <v>0</v>
      </c>
      <c r="W261" s="34">
        <v>0</v>
      </c>
      <c r="X261" s="35">
        <v>0</v>
      </c>
      <c r="Y261" s="19">
        <v>0</v>
      </c>
      <c r="Z261" s="23">
        <v>0</v>
      </c>
      <c r="AA261" s="24">
        <v>0</v>
      </c>
      <c r="AB261" s="33">
        <v>0</v>
      </c>
      <c r="AC261" s="34">
        <v>0</v>
      </c>
      <c r="AD261" s="35">
        <v>0</v>
      </c>
      <c r="AE261" s="36">
        <v>0</v>
      </c>
      <c r="AF261" s="23">
        <v>0</v>
      </c>
      <c r="AG261" s="24">
        <v>0</v>
      </c>
      <c r="AH261" s="33">
        <v>0</v>
      </c>
      <c r="AI261" s="37">
        <v>0</v>
      </c>
      <c r="AJ261" s="35">
        <v>0</v>
      </c>
      <c r="AK261" s="36">
        <v>0</v>
      </c>
      <c r="AL261" s="38">
        <v>0</v>
      </c>
      <c r="AM261" s="35">
        <v>0</v>
      </c>
      <c r="AN261" s="19">
        <v>0</v>
      </c>
      <c r="AO261" s="23">
        <v>0</v>
      </c>
      <c r="AP261" s="24">
        <v>0</v>
      </c>
      <c r="AQ261" s="58">
        <f t="shared" ref="AQ261:AQ324" si="18">AR261/2500</f>
        <v>5.04</v>
      </c>
      <c r="AR261" s="59">
        <f t="shared" ref="AR261:AR324" si="19">AS261*1800</f>
        <v>12600</v>
      </c>
      <c r="AS261" s="35">
        <v>7</v>
      </c>
    </row>
    <row r="262" spans="1:45" ht="16" x14ac:dyDescent="0.2">
      <c r="A262" s="53">
        <v>258</v>
      </c>
      <c r="B262" s="55" t="s">
        <v>263</v>
      </c>
      <c r="C262" s="54" t="s">
        <v>284</v>
      </c>
      <c r="D262" s="350"/>
      <c r="E262" s="53"/>
      <c r="F262" s="56"/>
      <c r="G262" s="53"/>
      <c r="H262" s="56"/>
      <c r="I262" s="57"/>
      <c r="J262" s="53"/>
      <c r="K262" s="56"/>
      <c r="L262" s="57"/>
      <c r="M262" s="58"/>
      <c r="N262" s="56"/>
      <c r="O262" s="57"/>
      <c r="P262" s="58">
        <f t="shared" si="16"/>
        <v>3.6</v>
      </c>
      <c r="Q262" s="59">
        <f t="shared" si="17"/>
        <v>9000</v>
      </c>
      <c r="R262" s="35">
        <v>5</v>
      </c>
      <c r="S262" s="19">
        <v>0</v>
      </c>
      <c r="T262" s="23">
        <v>0</v>
      </c>
      <c r="U262" s="24">
        <v>0</v>
      </c>
      <c r="V262" s="33">
        <v>0</v>
      </c>
      <c r="W262" s="34">
        <v>0</v>
      </c>
      <c r="X262" s="35">
        <v>0</v>
      </c>
      <c r="Y262" s="19">
        <v>0</v>
      </c>
      <c r="Z262" s="23">
        <v>0</v>
      </c>
      <c r="AA262" s="24">
        <v>0</v>
      </c>
      <c r="AB262" s="33">
        <v>0</v>
      </c>
      <c r="AC262" s="34">
        <v>0</v>
      </c>
      <c r="AD262" s="35">
        <v>0</v>
      </c>
      <c r="AE262" s="36">
        <v>0</v>
      </c>
      <c r="AF262" s="23">
        <v>0</v>
      </c>
      <c r="AG262" s="24">
        <v>0</v>
      </c>
      <c r="AH262" s="33">
        <v>0</v>
      </c>
      <c r="AI262" s="37">
        <v>0</v>
      </c>
      <c r="AJ262" s="35">
        <v>0</v>
      </c>
      <c r="AK262" s="36">
        <v>0</v>
      </c>
      <c r="AL262" s="38">
        <v>0</v>
      </c>
      <c r="AM262" s="35">
        <v>0</v>
      </c>
      <c r="AN262" s="19">
        <v>0</v>
      </c>
      <c r="AO262" s="23">
        <v>0</v>
      </c>
      <c r="AP262" s="24">
        <v>0</v>
      </c>
      <c r="AQ262" s="58">
        <f t="shared" si="18"/>
        <v>3.6</v>
      </c>
      <c r="AR262" s="59">
        <f t="shared" si="19"/>
        <v>9000</v>
      </c>
      <c r="AS262" s="35">
        <v>5</v>
      </c>
    </row>
    <row r="263" spans="1:45" ht="16" x14ac:dyDescent="0.2">
      <c r="A263" s="53">
        <v>259</v>
      </c>
      <c r="B263" s="55" t="s">
        <v>263</v>
      </c>
      <c r="C263" s="54" t="s">
        <v>285</v>
      </c>
      <c r="D263" s="350"/>
      <c r="E263" s="53"/>
      <c r="F263" s="56"/>
      <c r="G263" s="53"/>
      <c r="H263" s="56"/>
      <c r="I263" s="57"/>
      <c r="J263" s="53"/>
      <c r="K263" s="56"/>
      <c r="L263" s="57"/>
      <c r="M263" s="58"/>
      <c r="N263" s="56"/>
      <c r="O263" s="57"/>
      <c r="P263" s="58">
        <f t="shared" si="16"/>
        <v>1.44</v>
      </c>
      <c r="Q263" s="59">
        <f t="shared" si="17"/>
        <v>3600</v>
      </c>
      <c r="R263" s="35">
        <v>2</v>
      </c>
      <c r="S263" s="19">
        <v>0</v>
      </c>
      <c r="T263" s="23">
        <v>0</v>
      </c>
      <c r="U263" s="24">
        <v>0</v>
      </c>
      <c r="V263" s="33">
        <v>0</v>
      </c>
      <c r="W263" s="34">
        <v>0</v>
      </c>
      <c r="X263" s="35">
        <v>0</v>
      </c>
      <c r="Y263" s="19">
        <v>0</v>
      </c>
      <c r="Z263" s="23">
        <v>0</v>
      </c>
      <c r="AA263" s="24">
        <v>0</v>
      </c>
      <c r="AB263" s="33">
        <v>0</v>
      </c>
      <c r="AC263" s="34">
        <v>0</v>
      </c>
      <c r="AD263" s="35">
        <v>0</v>
      </c>
      <c r="AE263" s="36">
        <v>0</v>
      </c>
      <c r="AF263" s="23">
        <v>0</v>
      </c>
      <c r="AG263" s="24">
        <v>0</v>
      </c>
      <c r="AH263" s="33">
        <v>0</v>
      </c>
      <c r="AI263" s="37">
        <v>0</v>
      </c>
      <c r="AJ263" s="35">
        <v>0</v>
      </c>
      <c r="AK263" s="36">
        <v>0</v>
      </c>
      <c r="AL263" s="38">
        <v>0</v>
      </c>
      <c r="AM263" s="35">
        <v>0</v>
      </c>
      <c r="AN263" s="19">
        <v>0</v>
      </c>
      <c r="AO263" s="23">
        <v>0</v>
      </c>
      <c r="AP263" s="24">
        <v>0</v>
      </c>
      <c r="AQ263" s="58">
        <f t="shared" si="18"/>
        <v>1.44</v>
      </c>
      <c r="AR263" s="59">
        <f t="shared" si="19"/>
        <v>3600</v>
      </c>
      <c r="AS263" s="35">
        <v>2</v>
      </c>
    </row>
    <row r="264" spans="1:45" ht="16" x14ac:dyDescent="0.2">
      <c r="A264" s="53">
        <v>260</v>
      </c>
      <c r="B264" s="55" t="s">
        <v>263</v>
      </c>
      <c r="C264" s="54" t="s">
        <v>112</v>
      </c>
      <c r="D264" s="350"/>
      <c r="E264" s="53"/>
      <c r="F264" s="56"/>
      <c r="G264" s="53"/>
      <c r="H264" s="56"/>
      <c r="I264" s="57"/>
      <c r="J264" s="53"/>
      <c r="K264" s="56"/>
      <c r="L264" s="57"/>
      <c r="M264" s="58"/>
      <c r="N264" s="56"/>
      <c r="O264" s="57"/>
      <c r="P264" s="58">
        <f t="shared" si="16"/>
        <v>4.32</v>
      </c>
      <c r="Q264" s="59">
        <f t="shared" si="17"/>
        <v>10800</v>
      </c>
      <c r="R264" s="35">
        <v>6</v>
      </c>
      <c r="S264" s="19">
        <v>0</v>
      </c>
      <c r="T264" s="23">
        <v>0</v>
      </c>
      <c r="U264" s="24">
        <v>0</v>
      </c>
      <c r="V264" s="33">
        <v>0</v>
      </c>
      <c r="W264" s="34">
        <v>0</v>
      </c>
      <c r="X264" s="35">
        <v>0</v>
      </c>
      <c r="Y264" s="19">
        <v>0</v>
      </c>
      <c r="Z264" s="23">
        <v>0</v>
      </c>
      <c r="AA264" s="24">
        <v>0</v>
      </c>
      <c r="AB264" s="33">
        <v>0</v>
      </c>
      <c r="AC264" s="34">
        <v>0</v>
      </c>
      <c r="AD264" s="35">
        <v>0</v>
      </c>
      <c r="AE264" s="36">
        <v>0</v>
      </c>
      <c r="AF264" s="23">
        <v>0</v>
      </c>
      <c r="AG264" s="24">
        <v>0</v>
      </c>
      <c r="AH264" s="33">
        <v>0</v>
      </c>
      <c r="AI264" s="37">
        <v>0</v>
      </c>
      <c r="AJ264" s="35">
        <v>0</v>
      </c>
      <c r="AK264" s="36">
        <v>0</v>
      </c>
      <c r="AL264" s="38">
        <v>0</v>
      </c>
      <c r="AM264" s="35">
        <v>0</v>
      </c>
      <c r="AN264" s="19">
        <v>0</v>
      </c>
      <c r="AO264" s="23">
        <v>0</v>
      </c>
      <c r="AP264" s="24">
        <v>0</v>
      </c>
      <c r="AQ264" s="58">
        <f t="shared" si="18"/>
        <v>4.32</v>
      </c>
      <c r="AR264" s="59">
        <f t="shared" si="19"/>
        <v>10800</v>
      </c>
      <c r="AS264" s="35">
        <v>6</v>
      </c>
    </row>
    <row r="265" spans="1:45" ht="16" x14ac:dyDescent="0.2">
      <c r="A265" s="53">
        <v>261</v>
      </c>
      <c r="B265" s="55" t="s">
        <v>263</v>
      </c>
      <c r="C265" s="54" t="s">
        <v>286</v>
      </c>
      <c r="D265" s="350"/>
      <c r="E265" s="53"/>
      <c r="F265" s="56"/>
      <c r="G265" s="53"/>
      <c r="H265" s="56"/>
      <c r="I265" s="57"/>
      <c r="J265" s="53"/>
      <c r="K265" s="56"/>
      <c r="L265" s="57"/>
      <c r="M265" s="58"/>
      <c r="N265" s="56"/>
      <c r="O265" s="57"/>
      <c r="P265" s="58">
        <f t="shared" si="16"/>
        <v>0.72</v>
      </c>
      <c r="Q265" s="59">
        <f t="shared" si="17"/>
        <v>1800</v>
      </c>
      <c r="R265" s="35">
        <v>1</v>
      </c>
      <c r="S265" s="19">
        <v>0</v>
      </c>
      <c r="T265" s="23">
        <v>0</v>
      </c>
      <c r="U265" s="24">
        <v>0</v>
      </c>
      <c r="V265" s="33">
        <v>0</v>
      </c>
      <c r="W265" s="34">
        <v>0</v>
      </c>
      <c r="X265" s="35">
        <v>0</v>
      </c>
      <c r="Y265" s="19">
        <v>0</v>
      </c>
      <c r="Z265" s="23">
        <v>0</v>
      </c>
      <c r="AA265" s="24">
        <v>0</v>
      </c>
      <c r="AB265" s="33">
        <v>0</v>
      </c>
      <c r="AC265" s="34">
        <v>0</v>
      </c>
      <c r="AD265" s="35">
        <v>0</v>
      </c>
      <c r="AE265" s="36">
        <v>0</v>
      </c>
      <c r="AF265" s="23">
        <v>0</v>
      </c>
      <c r="AG265" s="24">
        <v>0</v>
      </c>
      <c r="AH265" s="33">
        <v>0</v>
      </c>
      <c r="AI265" s="37">
        <v>0</v>
      </c>
      <c r="AJ265" s="35">
        <v>0</v>
      </c>
      <c r="AK265" s="36">
        <v>0</v>
      </c>
      <c r="AL265" s="38">
        <v>0</v>
      </c>
      <c r="AM265" s="35">
        <v>0</v>
      </c>
      <c r="AN265" s="19">
        <v>0</v>
      </c>
      <c r="AO265" s="23">
        <v>0</v>
      </c>
      <c r="AP265" s="24">
        <v>0</v>
      </c>
      <c r="AQ265" s="58">
        <f t="shared" si="18"/>
        <v>0.72</v>
      </c>
      <c r="AR265" s="59">
        <f t="shared" si="19"/>
        <v>1800</v>
      </c>
      <c r="AS265" s="35">
        <v>1</v>
      </c>
    </row>
    <row r="266" spans="1:45" ht="16" x14ac:dyDescent="0.2">
      <c r="A266" s="53">
        <v>262</v>
      </c>
      <c r="B266" s="55" t="s">
        <v>263</v>
      </c>
      <c r="C266" s="54" t="s">
        <v>287</v>
      </c>
      <c r="D266" s="350"/>
      <c r="E266" s="53"/>
      <c r="F266" s="56"/>
      <c r="G266" s="53"/>
      <c r="H266" s="56"/>
      <c r="I266" s="57"/>
      <c r="J266" s="53"/>
      <c r="K266" s="56"/>
      <c r="L266" s="57"/>
      <c r="M266" s="58"/>
      <c r="N266" s="56"/>
      <c r="O266" s="57"/>
      <c r="P266" s="58">
        <f t="shared" si="16"/>
        <v>0</v>
      </c>
      <c r="Q266" s="59">
        <f t="shared" si="17"/>
        <v>0</v>
      </c>
      <c r="R266" s="35">
        <v>0</v>
      </c>
      <c r="S266" s="19">
        <v>0</v>
      </c>
      <c r="T266" s="23">
        <v>0</v>
      </c>
      <c r="U266" s="24">
        <v>0</v>
      </c>
      <c r="V266" s="33">
        <v>0</v>
      </c>
      <c r="W266" s="34">
        <v>0</v>
      </c>
      <c r="X266" s="35">
        <v>0</v>
      </c>
      <c r="Y266" s="19">
        <v>0</v>
      </c>
      <c r="Z266" s="23">
        <v>0</v>
      </c>
      <c r="AA266" s="24">
        <v>0</v>
      </c>
      <c r="AB266" s="33">
        <v>0</v>
      </c>
      <c r="AC266" s="34">
        <v>0</v>
      </c>
      <c r="AD266" s="35">
        <v>0</v>
      </c>
      <c r="AE266" s="36">
        <v>0</v>
      </c>
      <c r="AF266" s="23">
        <v>0</v>
      </c>
      <c r="AG266" s="24">
        <v>0</v>
      </c>
      <c r="AH266" s="33">
        <v>0</v>
      </c>
      <c r="AI266" s="37">
        <v>0</v>
      </c>
      <c r="AJ266" s="35">
        <v>0</v>
      </c>
      <c r="AK266" s="36">
        <v>0</v>
      </c>
      <c r="AL266" s="38">
        <v>0</v>
      </c>
      <c r="AM266" s="35">
        <v>0</v>
      </c>
      <c r="AN266" s="19">
        <v>0</v>
      </c>
      <c r="AO266" s="23">
        <v>0</v>
      </c>
      <c r="AP266" s="24">
        <v>0</v>
      </c>
      <c r="AQ266" s="58">
        <f t="shared" si="18"/>
        <v>0</v>
      </c>
      <c r="AR266" s="59">
        <f t="shared" si="19"/>
        <v>0</v>
      </c>
      <c r="AS266" s="35">
        <v>0</v>
      </c>
    </row>
    <row r="267" spans="1:45" ht="16" x14ac:dyDescent="0.2">
      <c r="A267" s="53">
        <v>263</v>
      </c>
      <c r="B267" s="55" t="s">
        <v>263</v>
      </c>
      <c r="C267" s="54" t="s">
        <v>288</v>
      </c>
      <c r="D267" s="350"/>
      <c r="E267" s="53"/>
      <c r="F267" s="56"/>
      <c r="G267" s="53"/>
      <c r="H267" s="56"/>
      <c r="I267" s="57"/>
      <c r="J267" s="53"/>
      <c r="K267" s="56"/>
      <c r="L267" s="57"/>
      <c r="M267" s="58"/>
      <c r="N267" s="56"/>
      <c r="O267" s="57"/>
      <c r="P267" s="58">
        <f t="shared" si="16"/>
        <v>0</v>
      </c>
      <c r="Q267" s="59">
        <f t="shared" si="17"/>
        <v>0</v>
      </c>
      <c r="R267" s="35">
        <v>0</v>
      </c>
      <c r="S267" s="19">
        <v>0</v>
      </c>
      <c r="T267" s="23">
        <v>0</v>
      </c>
      <c r="U267" s="24">
        <v>0</v>
      </c>
      <c r="V267" s="33">
        <v>0</v>
      </c>
      <c r="W267" s="34">
        <v>0</v>
      </c>
      <c r="X267" s="35">
        <v>0</v>
      </c>
      <c r="Y267" s="19">
        <v>0</v>
      </c>
      <c r="Z267" s="23">
        <v>0</v>
      </c>
      <c r="AA267" s="24">
        <v>0</v>
      </c>
      <c r="AB267" s="33">
        <v>0</v>
      </c>
      <c r="AC267" s="34">
        <v>0</v>
      </c>
      <c r="AD267" s="35">
        <v>0</v>
      </c>
      <c r="AE267" s="36">
        <v>0</v>
      </c>
      <c r="AF267" s="23">
        <v>0</v>
      </c>
      <c r="AG267" s="24">
        <v>0</v>
      </c>
      <c r="AH267" s="33">
        <v>0</v>
      </c>
      <c r="AI267" s="37">
        <v>0</v>
      </c>
      <c r="AJ267" s="35">
        <v>0</v>
      </c>
      <c r="AK267" s="36">
        <v>0</v>
      </c>
      <c r="AL267" s="38">
        <v>0</v>
      </c>
      <c r="AM267" s="35">
        <v>0</v>
      </c>
      <c r="AN267" s="19">
        <v>0</v>
      </c>
      <c r="AO267" s="23">
        <v>0</v>
      </c>
      <c r="AP267" s="24">
        <v>0</v>
      </c>
      <c r="AQ267" s="58">
        <f t="shared" si="18"/>
        <v>0</v>
      </c>
      <c r="AR267" s="59">
        <f t="shared" si="19"/>
        <v>0</v>
      </c>
      <c r="AS267" s="35">
        <v>0</v>
      </c>
    </row>
    <row r="268" spans="1:45" ht="16" x14ac:dyDescent="0.2">
      <c r="A268" s="53">
        <v>264</v>
      </c>
      <c r="B268" s="55" t="s">
        <v>263</v>
      </c>
      <c r="C268" s="54" t="s">
        <v>289</v>
      </c>
      <c r="D268" s="350"/>
      <c r="E268" s="53"/>
      <c r="F268" s="56"/>
      <c r="G268" s="53"/>
      <c r="H268" s="56"/>
      <c r="I268" s="57"/>
      <c r="J268" s="53"/>
      <c r="K268" s="56"/>
      <c r="L268" s="57"/>
      <c r="M268" s="58"/>
      <c r="N268" s="56"/>
      <c r="O268" s="57"/>
      <c r="P268" s="58">
        <f t="shared" si="16"/>
        <v>0</v>
      </c>
      <c r="Q268" s="59">
        <f t="shared" si="17"/>
        <v>0</v>
      </c>
      <c r="R268" s="35">
        <v>0</v>
      </c>
      <c r="S268" s="19">
        <v>0</v>
      </c>
      <c r="T268" s="23">
        <v>0</v>
      </c>
      <c r="U268" s="24">
        <v>0</v>
      </c>
      <c r="V268" s="33">
        <v>0</v>
      </c>
      <c r="W268" s="34">
        <v>0</v>
      </c>
      <c r="X268" s="35">
        <v>0</v>
      </c>
      <c r="Y268" s="19">
        <v>0</v>
      </c>
      <c r="Z268" s="23">
        <v>0</v>
      </c>
      <c r="AA268" s="24">
        <v>0</v>
      </c>
      <c r="AB268" s="33">
        <v>0</v>
      </c>
      <c r="AC268" s="34">
        <v>0</v>
      </c>
      <c r="AD268" s="35">
        <v>0</v>
      </c>
      <c r="AE268" s="36">
        <v>0</v>
      </c>
      <c r="AF268" s="23">
        <v>0</v>
      </c>
      <c r="AG268" s="24">
        <v>0</v>
      </c>
      <c r="AH268" s="33">
        <v>0</v>
      </c>
      <c r="AI268" s="37">
        <v>0</v>
      </c>
      <c r="AJ268" s="35">
        <v>0</v>
      </c>
      <c r="AK268" s="36">
        <v>0</v>
      </c>
      <c r="AL268" s="38">
        <v>0</v>
      </c>
      <c r="AM268" s="35">
        <v>0</v>
      </c>
      <c r="AN268" s="19">
        <v>0</v>
      </c>
      <c r="AO268" s="23">
        <v>0</v>
      </c>
      <c r="AP268" s="24">
        <v>0</v>
      </c>
      <c r="AQ268" s="58">
        <f t="shared" si="18"/>
        <v>0</v>
      </c>
      <c r="AR268" s="59">
        <f t="shared" si="19"/>
        <v>0</v>
      </c>
      <c r="AS268" s="35">
        <v>0</v>
      </c>
    </row>
    <row r="269" spans="1:45" ht="16" x14ac:dyDescent="0.2">
      <c r="A269" s="53">
        <v>265</v>
      </c>
      <c r="B269" s="55" t="s">
        <v>263</v>
      </c>
      <c r="C269" s="54" t="s">
        <v>290</v>
      </c>
      <c r="D269" s="350"/>
      <c r="E269" s="53"/>
      <c r="F269" s="56"/>
      <c r="G269" s="53"/>
      <c r="H269" s="56"/>
      <c r="I269" s="57"/>
      <c r="J269" s="53"/>
      <c r="K269" s="56"/>
      <c r="L269" s="57"/>
      <c r="M269" s="58"/>
      <c r="N269" s="56"/>
      <c r="O269" s="57"/>
      <c r="P269" s="58">
        <f t="shared" si="16"/>
        <v>0</v>
      </c>
      <c r="Q269" s="59">
        <f t="shared" si="17"/>
        <v>0</v>
      </c>
      <c r="R269" s="35">
        <v>0</v>
      </c>
      <c r="S269" s="19">
        <v>0</v>
      </c>
      <c r="T269" s="23">
        <v>0</v>
      </c>
      <c r="U269" s="24">
        <v>0</v>
      </c>
      <c r="V269" s="33">
        <v>0</v>
      </c>
      <c r="W269" s="34">
        <v>0</v>
      </c>
      <c r="X269" s="35">
        <v>0</v>
      </c>
      <c r="Y269" s="19">
        <v>0</v>
      </c>
      <c r="Z269" s="23">
        <v>0</v>
      </c>
      <c r="AA269" s="24">
        <v>0</v>
      </c>
      <c r="AB269" s="33">
        <v>0</v>
      </c>
      <c r="AC269" s="34">
        <v>0</v>
      </c>
      <c r="AD269" s="35">
        <v>0</v>
      </c>
      <c r="AE269" s="36">
        <v>0</v>
      </c>
      <c r="AF269" s="23">
        <v>0</v>
      </c>
      <c r="AG269" s="24">
        <v>0</v>
      </c>
      <c r="AH269" s="33">
        <v>0</v>
      </c>
      <c r="AI269" s="37">
        <v>0</v>
      </c>
      <c r="AJ269" s="35">
        <v>0</v>
      </c>
      <c r="AK269" s="36">
        <v>0</v>
      </c>
      <c r="AL269" s="38">
        <v>0</v>
      </c>
      <c r="AM269" s="35">
        <v>0</v>
      </c>
      <c r="AN269" s="19">
        <v>0</v>
      </c>
      <c r="AO269" s="23">
        <v>0</v>
      </c>
      <c r="AP269" s="24">
        <v>0</v>
      </c>
      <c r="AQ269" s="58">
        <f t="shared" si="18"/>
        <v>0</v>
      </c>
      <c r="AR269" s="59">
        <f t="shared" si="19"/>
        <v>0</v>
      </c>
      <c r="AS269" s="35">
        <v>0</v>
      </c>
    </row>
    <row r="270" spans="1:45" ht="16" x14ac:dyDescent="0.2">
      <c r="A270" s="53">
        <v>266</v>
      </c>
      <c r="B270" s="55" t="s">
        <v>263</v>
      </c>
      <c r="C270" s="54" t="s">
        <v>291</v>
      </c>
      <c r="D270" s="350"/>
      <c r="E270" s="53"/>
      <c r="F270" s="56"/>
      <c r="G270" s="53"/>
      <c r="H270" s="56"/>
      <c r="I270" s="57"/>
      <c r="J270" s="53"/>
      <c r="K270" s="56"/>
      <c r="L270" s="57"/>
      <c r="M270" s="58"/>
      <c r="N270" s="56"/>
      <c r="O270" s="57"/>
      <c r="P270" s="58">
        <f t="shared" si="16"/>
        <v>4.32</v>
      </c>
      <c r="Q270" s="59">
        <f t="shared" si="17"/>
        <v>10800</v>
      </c>
      <c r="R270" s="35">
        <v>6</v>
      </c>
      <c r="S270" s="19">
        <v>0</v>
      </c>
      <c r="T270" s="23">
        <v>0</v>
      </c>
      <c r="U270" s="24">
        <v>0</v>
      </c>
      <c r="V270" s="33">
        <v>0</v>
      </c>
      <c r="W270" s="34">
        <v>0</v>
      </c>
      <c r="X270" s="35">
        <v>0</v>
      </c>
      <c r="Y270" s="19">
        <v>0</v>
      </c>
      <c r="Z270" s="23">
        <v>0</v>
      </c>
      <c r="AA270" s="24">
        <v>0</v>
      </c>
      <c r="AB270" s="33">
        <v>0</v>
      </c>
      <c r="AC270" s="34">
        <v>0</v>
      </c>
      <c r="AD270" s="35">
        <v>0</v>
      </c>
      <c r="AE270" s="36">
        <v>0</v>
      </c>
      <c r="AF270" s="23">
        <v>0</v>
      </c>
      <c r="AG270" s="24">
        <v>0</v>
      </c>
      <c r="AH270" s="33">
        <v>0</v>
      </c>
      <c r="AI270" s="37">
        <v>0</v>
      </c>
      <c r="AJ270" s="35">
        <v>0</v>
      </c>
      <c r="AK270" s="36">
        <v>0</v>
      </c>
      <c r="AL270" s="38">
        <v>0</v>
      </c>
      <c r="AM270" s="35">
        <v>0</v>
      </c>
      <c r="AN270" s="19">
        <v>0</v>
      </c>
      <c r="AO270" s="23">
        <v>0</v>
      </c>
      <c r="AP270" s="24">
        <v>0</v>
      </c>
      <c r="AQ270" s="58">
        <f t="shared" si="18"/>
        <v>4.32</v>
      </c>
      <c r="AR270" s="59">
        <f t="shared" si="19"/>
        <v>10800</v>
      </c>
      <c r="AS270" s="35">
        <v>6</v>
      </c>
    </row>
    <row r="271" spans="1:45" ht="16" x14ac:dyDescent="0.2">
      <c r="A271" s="53">
        <v>267</v>
      </c>
      <c r="B271" s="55" t="s">
        <v>292</v>
      </c>
      <c r="C271" s="54" t="s">
        <v>293</v>
      </c>
      <c r="D271" s="350"/>
      <c r="E271" s="53"/>
      <c r="F271" s="56"/>
      <c r="G271" s="53"/>
      <c r="H271" s="56"/>
      <c r="I271" s="57"/>
      <c r="J271" s="53"/>
      <c r="K271" s="56"/>
      <c r="L271" s="57"/>
      <c r="M271" s="58"/>
      <c r="N271" s="56"/>
      <c r="O271" s="57"/>
      <c r="P271" s="58">
        <f t="shared" si="16"/>
        <v>1.44</v>
      </c>
      <c r="Q271" s="59">
        <f t="shared" si="17"/>
        <v>3600</v>
      </c>
      <c r="R271" s="35">
        <v>2</v>
      </c>
      <c r="S271" s="19">
        <v>0</v>
      </c>
      <c r="T271" s="23">
        <v>0</v>
      </c>
      <c r="U271" s="24">
        <v>0</v>
      </c>
      <c r="V271" s="33">
        <v>0</v>
      </c>
      <c r="W271" s="34">
        <v>0</v>
      </c>
      <c r="X271" s="35">
        <v>0</v>
      </c>
      <c r="Y271" s="19">
        <v>0</v>
      </c>
      <c r="Z271" s="23">
        <v>0</v>
      </c>
      <c r="AA271" s="24">
        <v>0</v>
      </c>
      <c r="AB271" s="33">
        <v>0</v>
      </c>
      <c r="AC271" s="34">
        <v>0</v>
      </c>
      <c r="AD271" s="35">
        <v>0</v>
      </c>
      <c r="AE271" s="36">
        <v>0</v>
      </c>
      <c r="AF271" s="23">
        <v>0</v>
      </c>
      <c r="AG271" s="24">
        <v>0</v>
      </c>
      <c r="AH271" s="33">
        <v>0</v>
      </c>
      <c r="AI271" s="37">
        <v>0</v>
      </c>
      <c r="AJ271" s="35">
        <v>0</v>
      </c>
      <c r="AK271" s="36">
        <v>0</v>
      </c>
      <c r="AL271" s="38">
        <v>0</v>
      </c>
      <c r="AM271" s="35">
        <v>0</v>
      </c>
      <c r="AN271" s="19">
        <v>0</v>
      </c>
      <c r="AO271" s="23">
        <v>0</v>
      </c>
      <c r="AP271" s="24">
        <v>0</v>
      </c>
      <c r="AQ271" s="58">
        <f t="shared" si="18"/>
        <v>1.44</v>
      </c>
      <c r="AR271" s="59">
        <f t="shared" si="19"/>
        <v>3600</v>
      </c>
      <c r="AS271" s="35">
        <v>2</v>
      </c>
    </row>
    <row r="272" spans="1:45" ht="16" x14ac:dyDescent="0.2">
      <c r="A272" s="53">
        <v>268</v>
      </c>
      <c r="B272" s="55" t="s">
        <v>292</v>
      </c>
      <c r="C272" s="54" t="s">
        <v>294</v>
      </c>
      <c r="D272" s="350"/>
      <c r="E272" s="53"/>
      <c r="F272" s="56"/>
      <c r="G272" s="53"/>
      <c r="H272" s="56"/>
      <c r="I272" s="57"/>
      <c r="J272" s="53"/>
      <c r="K272" s="56"/>
      <c r="L272" s="57"/>
      <c r="M272" s="58"/>
      <c r="N272" s="56"/>
      <c r="O272" s="57"/>
      <c r="P272" s="58">
        <f t="shared" si="16"/>
        <v>3.6</v>
      </c>
      <c r="Q272" s="59">
        <f t="shared" si="17"/>
        <v>9000</v>
      </c>
      <c r="R272" s="35">
        <v>5</v>
      </c>
      <c r="S272" s="19">
        <v>0</v>
      </c>
      <c r="T272" s="23">
        <v>0</v>
      </c>
      <c r="U272" s="24">
        <v>0</v>
      </c>
      <c r="V272" s="33">
        <v>0</v>
      </c>
      <c r="W272" s="34">
        <v>0</v>
      </c>
      <c r="X272" s="35">
        <v>0</v>
      </c>
      <c r="Y272" s="19">
        <v>0</v>
      </c>
      <c r="Z272" s="23">
        <v>0</v>
      </c>
      <c r="AA272" s="24">
        <v>0</v>
      </c>
      <c r="AB272" s="33">
        <v>0</v>
      </c>
      <c r="AC272" s="34">
        <v>0</v>
      </c>
      <c r="AD272" s="35">
        <v>0</v>
      </c>
      <c r="AE272" s="36">
        <v>0</v>
      </c>
      <c r="AF272" s="23">
        <v>0</v>
      </c>
      <c r="AG272" s="24">
        <v>0</v>
      </c>
      <c r="AH272" s="33">
        <v>0</v>
      </c>
      <c r="AI272" s="37">
        <v>0</v>
      </c>
      <c r="AJ272" s="35">
        <v>0</v>
      </c>
      <c r="AK272" s="36">
        <v>0</v>
      </c>
      <c r="AL272" s="38">
        <v>0</v>
      </c>
      <c r="AM272" s="35">
        <v>0</v>
      </c>
      <c r="AN272" s="19">
        <v>0</v>
      </c>
      <c r="AO272" s="23">
        <v>0</v>
      </c>
      <c r="AP272" s="24">
        <v>0</v>
      </c>
      <c r="AQ272" s="58">
        <f t="shared" si="18"/>
        <v>3.6</v>
      </c>
      <c r="AR272" s="59">
        <f t="shared" si="19"/>
        <v>9000</v>
      </c>
      <c r="AS272" s="35">
        <v>5</v>
      </c>
    </row>
    <row r="273" spans="1:45" ht="16" x14ac:dyDescent="0.2">
      <c r="A273" s="53">
        <v>269</v>
      </c>
      <c r="B273" s="55" t="s">
        <v>292</v>
      </c>
      <c r="C273" s="54" t="s">
        <v>295</v>
      </c>
      <c r="D273" s="350"/>
      <c r="E273" s="53"/>
      <c r="F273" s="56"/>
      <c r="G273" s="53"/>
      <c r="H273" s="56"/>
      <c r="I273" s="57"/>
      <c r="J273" s="53"/>
      <c r="K273" s="56"/>
      <c r="L273" s="57"/>
      <c r="M273" s="58"/>
      <c r="N273" s="56"/>
      <c r="O273" s="57"/>
      <c r="P273" s="58">
        <f t="shared" si="16"/>
        <v>7.2</v>
      </c>
      <c r="Q273" s="59">
        <f t="shared" si="17"/>
        <v>18000</v>
      </c>
      <c r="R273" s="35">
        <v>10</v>
      </c>
      <c r="S273" s="19">
        <v>0</v>
      </c>
      <c r="T273" s="23">
        <v>0</v>
      </c>
      <c r="U273" s="24">
        <v>0</v>
      </c>
      <c r="V273" s="33">
        <v>0</v>
      </c>
      <c r="W273" s="34">
        <v>0</v>
      </c>
      <c r="X273" s="35">
        <v>0</v>
      </c>
      <c r="Y273" s="19">
        <v>0</v>
      </c>
      <c r="Z273" s="23">
        <v>0</v>
      </c>
      <c r="AA273" s="24">
        <v>0</v>
      </c>
      <c r="AB273" s="33">
        <v>0</v>
      </c>
      <c r="AC273" s="34">
        <v>0</v>
      </c>
      <c r="AD273" s="35">
        <v>0</v>
      </c>
      <c r="AE273" s="36">
        <v>0</v>
      </c>
      <c r="AF273" s="23">
        <v>0</v>
      </c>
      <c r="AG273" s="24">
        <v>0</v>
      </c>
      <c r="AH273" s="33">
        <v>0</v>
      </c>
      <c r="AI273" s="37">
        <v>0</v>
      </c>
      <c r="AJ273" s="35">
        <v>0</v>
      </c>
      <c r="AK273" s="36">
        <v>0</v>
      </c>
      <c r="AL273" s="38">
        <v>0</v>
      </c>
      <c r="AM273" s="35">
        <v>0</v>
      </c>
      <c r="AN273" s="19">
        <v>0</v>
      </c>
      <c r="AO273" s="23">
        <v>0</v>
      </c>
      <c r="AP273" s="24">
        <v>0</v>
      </c>
      <c r="AQ273" s="58">
        <f t="shared" si="18"/>
        <v>7.2</v>
      </c>
      <c r="AR273" s="59">
        <f t="shared" si="19"/>
        <v>18000</v>
      </c>
      <c r="AS273" s="35">
        <v>10</v>
      </c>
    </row>
    <row r="274" spans="1:45" ht="16" x14ac:dyDescent="0.2">
      <c r="A274" s="53">
        <v>270</v>
      </c>
      <c r="B274" s="55" t="s">
        <v>292</v>
      </c>
      <c r="C274" s="54" t="s">
        <v>296</v>
      </c>
      <c r="D274" s="350"/>
      <c r="E274" s="53"/>
      <c r="F274" s="56"/>
      <c r="G274" s="53"/>
      <c r="H274" s="56"/>
      <c r="I274" s="57"/>
      <c r="J274" s="53"/>
      <c r="K274" s="56"/>
      <c r="L274" s="57"/>
      <c r="M274" s="58"/>
      <c r="N274" s="56"/>
      <c r="O274" s="57"/>
      <c r="P274" s="58">
        <f t="shared" si="16"/>
        <v>7.92</v>
      </c>
      <c r="Q274" s="59">
        <f t="shared" si="17"/>
        <v>19800</v>
      </c>
      <c r="R274" s="35">
        <v>11</v>
      </c>
      <c r="S274" s="19">
        <v>0</v>
      </c>
      <c r="T274" s="23">
        <v>0</v>
      </c>
      <c r="U274" s="24">
        <v>0</v>
      </c>
      <c r="V274" s="33">
        <v>0</v>
      </c>
      <c r="W274" s="34">
        <v>0</v>
      </c>
      <c r="X274" s="35">
        <v>0</v>
      </c>
      <c r="Y274" s="19">
        <v>0</v>
      </c>
      <c r="Z274" s="23">
        <v>0</v>
      </c>
      <c r="AA274" s="24">
        <v>0</v>
      </c>
      <c r="AB274" s="33">
        <v>0</v>
      </c>
      <c r="AC274" s="34">
        <v>0</v>
      </c>
      <c r="AD274" s="35">
        <v>0</v>
      </c>
      <c r="AE274" s="36">
        <v>0</v>
      </c>
      <c r="AF274" s="23">
        <v>0</v>
      </c>
      <c r="AG274" s="24">
        <v>0</v>
      </c>
      <c r="AH274" s="33">
        <v>0</v>
      </c>
      <c r="AI274" s="37">
        <v>0</v>
      </c>
      <c r="AJ274" s="35">
        <v>0</v>
      </c>
      <c r="AK274" s="36">
        <v>0</v>
      </c>
      <c r="AL274" s="38">
        <v>0</v>
      </c>
      <c r="AM274" s="35">
        <v>0</v>
      </c>
      <c r="AN274" s="19">
        <v>0</v>
      </c>
      <c r="AO274" s="23">
        <v>0</v>
      </c>
      <c r="AP274" s="24">
        <v>0</v>
      </c>
      <c r="AQ274" s="58">
        <f t="shared" si="18"/>
        <v>7.92</v>
      </c>
      <c r="AR274" s="59">
        <f t="shared" si="19"/>
        <v>19800</v>
      </c>
      <c r="AS274" s="35">
        <v>11</v>
      </c>
    </row>
    <row r="275" spans="1:45" ht="16" x14ac:dyDescent="0.2">
      <c r="A275" s="53">
        <v>271</v>
      </c>
      <c r="B275" s="55" t="s">
        <v>292</v>
      </c>
      <c r="C275" s="54" t="s">
        <v>297</v>
      </c>
      <c r="D275" s="350"/>
      <c r="E275" s="53"/>
      <c r="F275" s="56"/>
      <c r="G275" s="53"/>
      <c r="H275" s="56"/>
      <c r="I275" s="57"/>
      <c r="J275" s="53"/>
      <c r="K275" s="56"/>
      <c r="L275" s="57"/>
      <c r="M275" s="58"/>
      <c r="N275" s="56"/>
      <c r="O275" s="57"/>
      <c r="P275" s="58">
        <f t="shared" si="16"/>
        <v>0.72</v>
      </c>
      <c r="Q275" s="59">
        <f t="shared" si="17"/>
        <v>1800</v>
      </c>
      <c r="R275" s="35">
        <v>1</v>
      </c>
      <c r="S275" s="19">
        <v>0</v>
      </c>
      <c r="T275" s="23">
        <v>0</v>
      </c>
      <c r="U275" s="24">
        <v>0</v>
      </c>
      <c r="V275" s="33">
        <v>0</v>
      </c>
      <c r="W275" s="34">
        <v>0</v>
      </c>
      <c r="X275" s="35">
        <v>0</v>
      </c>
      <c r="Y275" s="19">
        <v>0</v>
      </c>
      <c r="Z275" s="23">
        <v>0</v>
      </c>
      <c r="AA275" s="24">
        <v>0</v>
      </c>
      <c r="AB275" s="33">
        <v>0</v>
      </c>
      <c r="AC275" s="34">
        <v>0</v>
      </c>
      <c r="AD275" s="35">
        <v>0</v>
      </c>
      <c r="AE275" s="36">
        <v>0</v>
      </c>
      <c r="AF275" s="23">
        <v>0</v>
      </c>
      <c r="AG275" s="24">
        <v>0</v>
      </c>
      <c r="AH275" s="33">
        <v>0</v>
      </c>
      <c r="AI275" s="37">
        <v>0</v>
      </c>
      <c r="AJ275" s="35">
        <v>0</v>
      </c>
      <c r="AK275" s="36">
        <v>0</v>
      </c>
      <c r="AL275" s="38">
        <v>0</v>
      </c>
      <c r="AM275" s="35">
        <v>0</v>
      </c>
      <c r="AN275" s="19">
        <v>0</v>
      </c>
      <c r="AO275" s="23">
        <v>0</v>
      </c>
      <c r="AP275" s="24">
        <v>0</v>
      </c>
      <c r="AQ275" s="58">
        <f t="shared" si="18"/>
        <v>0.72</v>
      </c>
      <c r="AR275" s="59">
        <f t="shared" si="19"/>
        <v>1800</v>
      </c>
      <c r="AS275" s="35">
        <v>1</v>
      </c>
    </row>
    <row r="276" spans="1:45" ht="16" x14ac:dyDescent="0.2">
      <c r="A276" s="53">
        <v>272</v>
      </c>
      <c r="B276" s="55" t="s">
        <v>292</v>
      </c>
      <c r="C276" s="54" t="s">
        <v>298</v>
      </c>
      <c r="D276" s="350"/>
      <c r="E276" s="53"/>
      <c r="F276" s="56"/>
      <c r="G276" s="53"/>
      <c r="H276" s="56"/>
      <c r="I276" s="57"/>
      <c r="J276" s="53"/>
      <c r="K276" s="56"/>
      <c r="L276" s="57"/>
      <c r="M276" s="58"/>
      <c r="N276" s="56"/>
      <c r="O276" s="57"/>
      <c r="P276" s="58">
        <f t="shared" si="16"/>
        <v>2.88</v>
      </c>
      <c r="Q276" s="59">
        <f t="shared" si="17"/>
        <v>7200</v>
      </c>
      <c r="R276" s="35">
        <v>4</v>
      </c>
      <c r="S276" s="19">
        <v>0</v>
      </c>
      <c r="T276" s="23">
        <v>0</v>
      </c>
      <c r="U276" s="24">
        <v>0</v>
      </c>
      <c r="V276" s="33">
        <v>0</v>
      </c>
      <c r="W276" s="34">
        <v>0</v>
      </c>
      <c r="X276" s="35">
        <v>0</v>
      </c>
      <c r="Y276" s="19">
        <v>0</v>
      </c>
      <c r="Z276" s="23">
        <v>0</v>
      </c>
      <c r="AA276" s="24">
        <v>0</v>
      </c>
      <c r="AB276" s="33">
        <v>0</v>
      </c>
      <c r="AC276" s="34">
        <v>0</v>
      </c>
      <c r="AD276" s="35">
        <v>0</v>
      </c>
      <c r="AE276" s="36">
        <v>0</v>
      </c>
      <c r="AF276" s="23">
        <v>0</v>
      </c>
      <c r="AG276" s="24">
        <v>0</v>
      </c>
      <c r="AH276" s="33">
        <v>0</v>
      </c>
      <c r="AI276" s="37">
        <v>0</v>
      </c>
      <c r="AJ276" s="35">
        <v>0</v>
      </c>
      <c r="AK276" s="36">
        <v>0</v>
      </c>
      <c r="AL276" s="38">
        <v>0</v>
      </c>
      <c r="AM276" s="35">
        <v>0</v>
      </c>
      <c r="AN276" s="19">
        <v>0</v>
      </c>
      <c r="AO276" s="23">
        <v>0</v>
      </c>
      <c r="AP276" s="24">
        <v>0</v>
      </c>
      <c r="AQ276" s="58">
        <f t="shared" si="18"/>
        <v>2.88</v>
      </c>
      <c r="AR276" s="59">
        <f t="shared" si="19"/>
        <v>7200</v>
      </c>
      <c r="AS276" s="35">
        <v>4</v>
      </c>
    </row>
    <row r="277" spans="1:45" ht="16" x14ac:dyDescent="0.2">
      <c r="A277" s="53">
        <v>273</v>
      </c>
      <c r="B277" s="55" t="s">
        <v>292</v>
      </c>
      <c r="C277" s="54" t="s">
        <v>299</v>
      </c>
      <c r="D277" s="350" t="s">
        <v>25</v>
      </c>
      <c r="E277" s="53"/>
      <c r="F277" s="56"/>
      <c r="G277" s="53"/>
      <c r="H277" s="56"/>
      <c r="I277" s="57"/>
      <c r="J277" s="53"/>
      <c r="K277" s="56"/>
      <c r="L277" s="57"/>
      <c r="M277" s="58"/>
      <c r="N277" s="56"/>
      <c r="O277" s="57"/>
      <c r="P277" s="58">
        <f t="shared" si="16"/>
        <v>1.44</v>
      </c>
      <c r="Q277" s="59">
        <f t="shared" si="17"/>
        <v>3600</v>
      </c>
      <c r="R277" s="35">
        <v>2</v>
      </c>
      <c r="S277" s="19">
        <v>0</v>
      </c>
      <c r="T277" s="23">
        <v>0</v>
      </c>
      <c r="U277" s="24">
        <v>0</v>
      </c>
      <c r="V277" s="33">
        <v>0</v>
      </c>
      <c r="W277" s="34">
        <v>0</v>
      </c>
      <c r="X277" s="35">
        <v>0</v>
      </c>
      <c r="Y277" s="19">
        <v>0</v>
      </c>
      <c r="Z277" s="23">
        <v>0</v>
      </c>
      <c r="AA277" s="24">
        <v>0</v>
      </c>
      <c r="AB277" s="33">
        <v>0</v>
      </c>
      <c r="AC277" s="34">
        <v>0</v>
      </c>
      <c r="AD277" s="35">
        <v>0</v>
      </c>
      <c r="AE277" s="36">
        <v>0</v>
      </c>
      <c r="AF277" s="23">
        <v>0</v>
      </c>
      <c r="AG277" s="24">
        <v>0</v>
      </c>
      <c r="AH277" s="33">
        <v>0</v>
      </c>
      <c r="AI277" s="37">
        <v>0</v>
      </c>
      <c r="AJ277" s="35">
        <v>0</v>
      </c>
      <c r="AK277" s="36">
        <v>0</v>
      </c>
      <c r="AL277" s="38">
        <v>0</v>
      </c>
      <c r="AM277" s="35">
        <v>0</v>
      </c>
      <c r="AN277" s="19">
        <v>0</v>
      </c>
      <c r="AO277" s="23">
        <v>0</v>
      </c>
      <c r="AP277" s="24">
        <v>0</v>
      </c>
      <c r="AQ277" s="58">
        <f t="shared" si="18"/>
        <v>1.44</v>
      </c>
      <c r="AR277" s="59">
        <f t="shared" si="19"/>
        <v>3600</v>
      </c>
      <c r="AS277" s="35">
        <v>2</v>
      </c>
    </row>
    <row r="278" spans="1:45" ht="16" x14ac:dyDescent="0.2">
      <c r="A278" s="53">
        <v>274</v>
      </c>
      <c r="B278" s="55" t="s">
        <v>292</v>
      </c>
      <c r="C278" s="54" t="s">
        <v>300</v>
      </c>
      <c r="D278" s="350"/>
      <c r="E278" s="53"/>
      <c r="F278" s="56"/>
      <c r="G278" s="53"/>
      <c r="H278" s="56"/>
      <c r="I278" s="57"/>
      <c r="J278" s="53"/>
      <c r="K278" s="56"/>
      <c r="L278" s="57"/>
      <c r="M278" s="58"/>
      <c r="N278" s="56"/>
      <c r="O278" s="57"/>
      <c r="P278" s="58">
        <f t="shared" si="16"/>
        <v>0</v>
      </c>
      <c r="Q278" s="59">
        <f t="shared" si="17"/>
        <v>0</v>
      </c>
      <c r="R278" s="35"/>
      <c r="S278" s="19">
        <v>0</v>
      </c>
      <c r="T278" s="23">
        <v>0</v>
      </c>
      <c r="U278" s="24">
        <v>0</v>
      </c>
      <c r="V278" s="33">
        <v>0</v>
      </c>
      <c r="W278" s="34">
        <v>0</v>
      </c>
      <c r="X278" s="35">
        <v>0</v>
      </c>
      <c r="Y278" s="19">
        <v>0</v>
      </c>
      <c r="Z278" s="23">
        <v>0</v>
      </c>
      <c r="AA278" s="24">
        <v>0</v>
      </c>
      <c r="AB278" s="33">
        <v>0</v>
      </c>
      <c r="AC278" s="34">
        <v>0</v>
      </c>
      <c r="AD278" s="35">
        <v>0</v>
      </c>
      <c r="AE278" s="36">
        <v>0</v>
      </c>
      <c r="AF278" s="23">
        <v>0</v>
      </c>
      <c r="AG278" s="24">
        <v>0</v>
      </c>
      <c r="AH278" s="33">
        <v>0</v>
      </c>
      <c r="AI278" s="37">
        <v>0</v>
      </c>
      <c r="AJ278" s="35">
        <v>0</v>
      </c>
      <c r="AK278" s="36">
        <v>0</v>
      </c>
      <c r="AL278" s="38">
        <v>0</v>
      </c>
      <c r="AM278" s="35">
        <v>0</v>
      </c>
      <c r="AN278" s="19">
        <v>0</v>
      </c>
      <c r="AO278" s="23">
        <v>0</v>
      </c>
      <c r="AP278" s="24">
        <v>0</v>
      </c>
      <c r="AQ278" s="58">
        <f t="shared" si="18"/>
        <v>0</v>
      </c>
      <c r="AR278" s="59">
        <f t="shared" si="19"/>
        <v>0</v>
      </c>
      <c r="AS278" s="35"/>
    </row>
    <row r="279" spans="1:45" ht="16" x14ac:dyDescent="0.2">
      <c r="A279" s="53">
        <v>275</v>
      </c>
      <c r="B279" s="55" t="s">
        <v>292</v>
      </c>
      <c r="C279" s="54" t="s">
        <v>301</v>
      </c>
      <c r="D279" s="350"/>
      <c r="E279" s="53"/>
      <c r="F279" s="56"/>
      <c r="G279" s="53"/>
      <c r="H279" s="56"/>
      <c r="I279" s="57"/>
      <c r="J279" s="53"/>
      <c r="K279" s="56"/>
      <c r="L279" s="57"/>
      <c r="M279" s="58"/>
      <c r="N279" s="56"/>
      <c r="O279" s="57"/>
      <c r="P279" s="58">
        <f t="shared" si="16"/>
        <v>5.04</v>
      </c>
      <c r="Q279" s="59">
        <f t="shared" si="17"/>
        <v>12600</v>
      </c>
      <c r="R279" s="35">
        <v>7</v>
      </c>
      <c r="S279" s="19">
        <v>0</v>
      </c>
      <c r="T279" s="23">
        <v>0</v>
      </c>
      <c r="U279" s="24">
        <v>0</v>
      </c>
      <c r="V279" s="33">
        <v>0</v>
      </c>
      <c r="W279" s="34">
        <v>0</v>
      </c>
      <c r="X279" s="35">
        <v>0</v>
      </c>
      <c r="Y279" s="19">
        <v>0</v>
      </c>
      <c r="Z279" s="23">
        <v>0</v>
      </c>
      <c r="AA279" s="24">
        <v>0</v>
      </c>
      <c r="AB279" s="33">
        <v>0</v>
      </c>
      <c r="AC279" s="34">
        <v>0</v>
      </c>
      <c r="AD279" s="35">
        <v>0</v>
      </c>
      <c r="AE279" s="36">
        <v>0</v>
      </c>
      <c r="AF279" s="23">
        <v>0</v>
      </c>
      <c r="AG279" s="24">
        <v>0</v>
      </c>
      <c r="AH279" s="33">
        <v>0</v>
      </c>
      <c r="AI279" s="37">
        <v>0</v>
      </c>
      <c r="AJ279" s="35">
        <v>0</v>
      </c>
      <c r="AK279" s="36">
        <v>0</v>
      </c>
      <c r="AL279" s="38">
        <v>0</v>
      </c>
      <c r="AM279" s="35">
        <v>0</v>
      </c>
      <c r="AN279" s="19">
        <v>0</v>
      </c>
      <c r="AO279" s="23">
        <v>0</v>
      </c>
      <c r="AP279" s="24">
        <v>0</v>
      </c>
      <c r="AQ279" s="58">
        <f t="shared" si="18"/>
        <v>5.04</v>
      </c>
      <c r="AR279" s="59">
        <f t="shared" si="19"/>
        <v>12600</v>
      </c>
      <c r="AS279" s="35">
        <v>7</v>
      </c>
    </row>
    <row r="280" spans="1:45" ht="16" x14ac:dyDescent="0.2">
      <c r="A280" s="53">
        <v>276</v>
      </c>
      <c r="B280" s="55" t="s">
        <v>292</v>
      </c>
      <c r="C280" s="54" t="s">
        <v>302</v>
      </c>
      <c r="D280" s="350"/>
      <c r="E280" s="53"/>
      <c r="F280" s="56"/>
      <c r="G280" s="53"/>
      <c r="H280" s="56"/>
      <c r="I280" s="57"/>
      <c r="J280" s="53"/>
      <c r="K280" s="56"/>
      <c r="L280" s="57"/>
      <c r="M280" s="58"/>
      <c r="N280" s="56"/>
      <c r="O280" s="57"/>
      <c r="P280" s="58">
        <f t="shared" si="16"/>
        <v>2.16</v>
      </c>
      <c r="Q280" s="59">
        <f t="shared" si="17"/>
        <v>5400</v>
      </c>
      <c r="R280" s="35">
        <v>3</v>
      </c>
      <c r="S280" s="19">
        <v>0</v>
      </c>
      <c r="T280" s="23">
        <v>0</v>
      </c>
      <c r="U280" s="24">
        <v>0</v>
      </c>
      <c r="V280" s="33">
        <v>0</v>
      </c>
      <c r="W280" s="34">
        <v>0</v>
      </c>
      <c r="X280" s="35">
        <v>0</v>
      </c>
      <c r="Y280" s="19">
        <v>0</v>
      </c>
      <c r="Z280" s="23">
        <v>0</v>
      </c>
      <c r="AA280" s="24">
        <v>0</v>
      </c>
      <c r="AB280" s="33">
        <v>0</v>
      </c>
      <c r="AC280" s="34">
        <v>0</v>
      </c>
      <c r="AD280" s="35">
        <v>0</v>
      </c>
      <c r="AE280" s="36">
        <v>0</v>
      </c>
      <c r="AF280" s="23">
        <v>0</v>
      </c>
      <c r="AG280" s="24">
        <v>0</v>
      </c>
      <c r="AH280" s="33">
        <v>0</v>
      </c>
      <c r="AI280" s="37">
        <v>0</v>
      </c>
      <c r="AJ280" s="35">
        <v>0</v>
      </c>
      <c r="AK280" s="36">
        <v>0</v>
      </c>
      <c r="AL280" s="38">
        <v>0</v>
      </c>
      <c r="AM280" s="35">
        <v>0</v>
      </c>
      <c r="AN280" s="19">
        <v>0</v>
      </c>
      <c r="AO280" s="23">
        <v>0</v>
      </c>
      <c r="AP280" s="24">
        <v>0</v>
      </c>
      <c r="AQ280" s="58">
        <f t="shared" si="18"/>
        <v>2.16</v>
      </c>
      <c r="AR280" s="59">
        <f t="shared" si="19"/>
        <v>5400</v>
      </c>
      <c r="AS280" s="35">
        <v>3</v>
      </c>
    </row>
    <row r="281" spans="1:45" ht="16" x14ac:dyDescent="0.2">
      <c r="A281" s="53">
        <v>277</v>
      </c>
      <c r="B281" s="55" t="s">
        <v>292</v>
      </c>
      <c r="C281" s="54" t="s">
        <v>303</v>
      </c>
      <c r="D281" s="350"/>
      <c r="E281" s="53"/>
      <c r="F281" s="56"/>
      <c r="G281" s="53"/>
      <c r="H281" s="56"/>
      <c r="I281" s="57"/>
      <c r="J281" s="53"/>
      <c r="K281" s="56"/>
      <c r="L281" s="57"/>
      <c r="M281" s="58"/>
      <c r="N281" s="56"/>
      <c r="O281" s="57"/>
      <c r="P281" s="58">
        <f t="shared" si="16"/>
        <v>4.32</v>
      </c>
      <c r="Q281" s="59">
        <f t="shared" si="17"/>
        <v>10800</v>
      </c>
      <c r="R281" s="35">
        <v>6</v>
      </c>
      <c r="S281" s="19">
        <v>0</v>
      </c>
      <c r="T281" s="23">
        <v>0</v>
      </c>
      <c r="U281" s="24">
        <v>0</v>
      </c>
      <c r="V281" s="33">
        <v>0</v>
      </c>
      <c r="W281" s="34">
        <v>0</v>
      </c>
      <c r="X281" s="35">
        <v>0</v>
      </c>
      <c r="Y281" s="19">
        <v>0</v>
      </c>
      <c r="Z281" s="23">
        <v>0</v>
      </c>
      <c r="AA281" s="24">
        <v>0</v>
      </c>
      <c r="AB281" s="33">
        <v>0</v>
      </c>
      <c r="AC281" s="34">
        <v>0</v>
      </c>
      <c r="AD281" s="35">
        <v>0</v>
      </c>
      <c r="AE281" s="36">
        <v>0</v>
      </c>
      <c r="AF281" s="23">
        <v>0</v>
      </c>
      <c r="AG281" s="24">
        <v>0</v>
      </c>
      <c r="AH281" s="33">
        <v>0</v>
      </c>
      <c r="AI281" s="37">
        <v>0</v>
      </c>
      <c r="AJ281" s="35">
        <v>0</v>
      </c>
      <c r="AK281" s="36">
        <v>0</v>
      </c>
      <c r="AL281" s="38">
        <v>0</v>
      </c>
      <c r="AM281" s="35">
        <v>0</v>
      </c>
      <c r="AN281" s="19">
        <v>0</v>
      </c>
      <c r="AO281" s="23">
        <v>0</v>
      </c>
      <c r="AP281" s="24">
        <v>0</v>
      </c>
      <c r="AQ281" s="58">
        <f t="shared" si="18"/>
        <v>4.32</v>
      </c>
      <c r="AR281" s="59">
        <f t="shared" si="19"/>
        <v>10800</v>
      </c>
      <c r="AS281" s="35">
        <v>6</v>
      </c>
    </row>
    <row r="282" spans="1:45" ht="16" x14ac:dyDescent="0.2">
      <c r="A282" s="53">
        <v>278</v>
      </c>
      <c r="B282" s="55" t="s">
        <v>292</v>
      </c>
      <c r="C282" s="54" t="s">
        <v>304</v>
      </c>
      <c r="D282" s="350"/>
      <c r="E282" s="53"/>
      <c r="F282" s="56"/>
      <c r="G282" s="53"/>
      <c r="H282" s="56"/>
      <c r="I282" s="57"/>
      <c r="J282" s="53"/>
      <c r="K282" s="56"/>
      <c r="L282" s="57"/>
      <c r="M282" s="58"/>
      <c r="N282" s="56"/>
      <c r="O282" s="57"/>
      <c r="P282" s="58">
        <f t="shared" si="16"/>
        <v>2.88</v>
      </c>
      <c r="Q282" s="59">
        <f t="shared" si="17"/>
        <v>7200</v>
      </c>
      <c r="R282" s="35">
        <v>4</v>
      </c>
      <c r="S282" s="19">
        <v>0</v>
      </c>
      <c r="T282" s="23">
        <v>0</v>
      </c>
      <c r="U282" s="24">
        <v>0</v>
      </c>
      <c r="V282" s="33">
        <v>0</v>
      </c>
      <c r="W282" s="34">
        <v>0</v>
      </c>
      <c r="X282" s="35">
        <v>0</v>
      </c>
      <c r="Y282" s="19">
        <v>0</v>
      </c>
      <c r="Z282" s="23">
        <v>0</v>
      </c>
      <c r="AA282" s="24">
        <v>0</v>
      </c>
      <c r="AB282" s="33">
        <v>0</v>
      </c>
      <c r="AC282" s="34">
        <v>0</v>
      </c>
      <c r="AD282" s="35">
        <v>0</v>
      </c>
      <c r="AE282" s="36">
        <v>0</v>
      </c>
      <c r="AF282" s="23">
        <v>0</v>
      </c>
      <c r="AG282" s="24">
        <v>0</v>
      </c>
      <c r="AH282" s="33">
        <v>0</v>
      </c>
      <c r="AI282" s="37">
        <v>0</v>
      </c>
      <c r="AJ282" s="35">
        <v>0</v>
      </c>
      <c r="AK282" s="36">
        <v>0</v>
      </c>
      <c r="AL282" s="38">
        <v>0</v>
      </c>
      <c r="AM282" s="35">
        <v>0</v>
      </c>
      <c r="AN282" s="19">
        <v>0</v>
      </c>
      <c r="AO282" s="23">
        <v>0</v>
      </c>
      <c r="AP282" s="24">
        <v>0</v>
      </c>
      <c r="AQ282" s="58">
        <f t="shared" si="18"/>
        <v>2.88</v>
      </c>
      <c r="AR282" s="59">
        <f t="shared" si="19"/>
        <v>7200</v>
      </c>
      <c r="AS282" s="35">
        <v>4</v>
      </c>
    </row>
    <row r="283" spans="1:45" ht="16" x14ac:dyDescent="0.2">
      <c r="A283" s="53">
        <v>279</v>
      </c>
      <c r="B283" s="55" t="s">
        <v>292</v>
      </c>
      <c r="C283" s="54" t="s">
        <v>305</v>
      </c>
      <c r="D283" s="350"/>
      <c r="E283" s="53"/>
      <c r="F283" s="56"/>
      <c r="G283" s="53"/>
      <c r="H283" s="56"/>
      <c r="I283" s="57"/>
      <c r="J283" s="53"/>
      <c r="K283" s="56"/>
      <c r="L283" s="57"/>
      <c r="M283" s="58"/>
      <c r="N283" s="56"/>
      <c r="O283" s="57"/>
      <c r="P283" s="58">
        <f t="shared" si="16"/>
        <v>0</v>
      </c>
      <c r="Q283" s="59">
        <f t="shared" si="17"/>
        <v>0</v>
      </c>
      <c r="R283" s="35">
        <v>0</v>
      </c>
      <c r="S283" s="19">
        <v>0</v>
      </c>
      <c r="T283" s="23">
        <v>0</v>
      </c>
      <c r="U283" s="24">
        <v>0</v>
      </c>
      <c r="V283" s="33">
        <v>0</v>
      </c>
      <c r="W283" s="34">
        <v>0</v>
      </c>
      <c r="X283" s="35">
        <v>0</v>
      </c>
      <c r="Y283" s="19">
        <v>0</v>
      </c>
      <c r="Z283" s="23">
        <v>0</v>
      </c>
      <c r="AA283" s="24">
        <v>0</v>
      </c>
      <c r="AB283" s="33">
        <v>0</v>
      </c>
      <c r="AC283" s="34">
        <v>0</v>
      </c>
      <c r="AD283" s="35">
        <v>0</v>
      </c>
      <c r="AE283" s="36">
        <v>0</v>
      </c>
      <c r="AF283" s="23">
        <v>0</v>
      </c>
      <c r="AG283" s="24">
        <v>0</v>
      </c>
      <c r="AH283" s="33">
        <v>0</v>
      </c>
      <c r="AI283" s="37">
        <v>0</v>
      </c>
      <c r="AJ283" s="35">
        <v>0</v>
      </c>
      <c r="AK283" s="36">
        <v>0</v>
      </c>
      <c r="AL283" s="38">
        <v>0</v>
      </c>
      <c r="AM283" s="35">
        <v>0</v>
      </c>
      <c r="AN283" s="19">
        <v>0</v>
      </c>
      <c r="AO283" s="23">
        <v>0</v>
      </c>
      <c r="AP283" s="24">
        <v>0</v>
      </c>
      <c r="AQ283" s="58">
        <f t="shared" si="18"/>
        <v>0</v>
      </c>
      <c r="AR283" s="59">
        <f t="shared" si="19"/>
        <v>0</v>
      </c>
      <c r="AS283" s="35">
        <v>0</v>
      </c>
    </row>
    <row r="284" spans="1:45" ht="16" x14ac:dyDescent="0.2">
      <c r="A284" s="53">
        <v>280</v>
      </c>
      <c r="B284" s="55" t="s">
        <v>292</v>
      </c>
      <c r="C284" s="54" t="s">
        <v>306</v>
      </c>
      <c r="D284" s="350"/>
      <c r="E284" s="53"/>
      <c r="F284" s="56"/>
      <c r="G284" s="53"/>
      <c r="H284" s="56"/>
      <c r="I284" s="57"/>
      <c r="J284" s="53"/>
      <c r="K284" s="56"/>
      <c r="L284" s="57"/>
      <c r="M284" s="58"/>
      <c r="N284" s="56"/>
      <c r="O284" s="57"/>
      <c r="P284" s="58">
        <f t="shared" si="16"/>
        <v>15.12</v>
      </c>
      <c r="Q284" s="59">
        <f t="shared" si="17"/>
        <v>37800</v>
      </c>
      <c r="R284" s="35">
        <v>21</v>
      </c>
      <c r="S284" s="19">
        <v>0</v>
      </c>
      <c r="T284" s="23">
        <v>0</v>
      </c>
      <c r="U284" s="24">
        <v>0</v>
      </c>
      <c r="V284" s="33">
        <v>0</v>
      </c>
      <c r="W284" s="34">
        <v>0</v>
      </c>
      <c r="X284" s="35">
        <v>0</v>
      </c>
      <c r="Y284" s="19">
        <v>0</v>
      </c>
      <c r="Z284" s="23">
        <v>0</v>
      </c>
      <c r="AA284" s="24">
        <v>0</v>
      </c>
      <c r="AB284" s="33">
        <v>0</v>
      </c>
      <c r="AC284" s="34">
        <v>0</v>
      </c>
      <c r="AD284" s="35">
        <v>0</v>
      </c>
      <c r="AE284" s="36">
        <v>0</v>
      </c>
      <c r="AF284" s="23">
        <v>0</v>
      </c>
      <c r="AG284" s="24">
        <v>0</v>
      </c>
      <c r="AH284" s="33">
        <v>0</v>
      </c>
      <c r="AI284" s="37">
        <v>0</v>
      </c>
      <c r="AJ284" s="35">
        <v>0</v>
      </c>
      <c r="AK284" s="36">
        <v>0</v>
      </c>
      <c r="AL284" s="38">
        <v>0</v>
      </c>
      <c r="AM284" s="35">
        <v>0</v>
      </c>
      <c r="AN284" s="19">
        <v>0</v>
      </c>
      <c r="AO284" s="23">
        <v>0</v>
      </c>
      <c r="AP284" s="24">
        <v>0</v>
      </c>
      <c r="AQ284" s="58">
        <f t="shared" si="18"/>
        <v>15.12</v>
      </c>
      <c r="AR284" s="59">
        <f t="shared" si="19"/>
        <v>37800</v>
      </c>
      <c r="AS284" s="35">
        <v>21</v>
      </c>
    </row>
    <row r="285" spans="1:45" ht="16" x14ac:dyDescent="0.2">
      <c r="A285" s="53">
        <v>281</v>
      </c>
      <c r="B285" s="55" t="s">
        <v>307</v>
      </c>
      <c r="C285" s="54" t="s">
        <v>308</v>
      </c>
      <c r="D285" s="350"/>
      <c r="E285" s="53"/>
      <c r="F285" s="56"/>
      <c r="G285" s="53"/>
      <c r="H285" s="56"/>
      <c r="I285" s="57"/>
      <c r="J285" s="53"/>
      <c r="K285" s="56"/>
      <c r="L285" s="57"/>
      <c r="M285" s="58"/>
      <c r="N285" s="56"/>
      <c r="O285" s="57"/>
      <c r="P285" s="58">
        <f t="shared" si="16"/>
        <v>0.72</v>
      </c>
      <c r="Q285" s="59">
        <f t="shared" si="17"/>
        <v>1800</v>
      </c>
      <c r="R285" s="35">
        <v>1</v>
      </c>
      <c r="S285" s="19">
        <v>0</v>
      </c>
      <c r="T285" s="23">
        <v>0</v>
      </c>
      <c r="U285" s="24">
        <v>0</v>
      </c>
      <c r="V285" s="33">
        <v>0</v>
      </c>
      <c r="W285" s="34">
        <v>0</v>
      </c>
      <c r="X285" s="35">
        <v>0</v>
      </c>
      <c r="Y285" s="19">
        <v>0</v>
      </c>
      <c r="Z285" s="23">
        <v>0</v>
      </c>
      <c r="AA285" s="24">
        <v>0</v>
      </c>
      <c r="AB285" s="33">
        <v>0</v>
      </c>
      <c r="AC285" s="34">
        <v>0</v>
      </c>
      <c r="AD285" s="35">
        <v>0</v>
      </c>
      <c r="AE285" s="36">
        <v>0</v>
      </c>
      <c r="AF285" s="23">
        <v>0</v>
      </c>
      <c r="AG285" s="24">
        <v>0</v>
      </c>
      <c r="AH285" s="33">
        <v>0</v>
      </c>
      <c r="AI285" s="37">
        <v>0</v>
      </c>
      <c r="AJ285" s="35">
        <v>0</v>
      </c>
      <c r="AK285" s="36">
        <v>0</v>
      </c>
      <c r="AL285" s="38">
        <v>0</v>
      </c>
      <c r="AM285" s="35">
        <v>0</v>
      </c>
      <c r="AN285" s="19">
        <v>0</v>
      </c>
      <c r="AO285" s="23">
        <v>0</v>
      </c>
      <c r="AP285" s="24">
        <v>0</v>
      </c>
      <c r="AQ285" s="58">
        <f t="shared" si="18"/>
        <v>0.72</v>
      </c>
      <c r="AR285" s="59">
        <f t="shared" si="19"/>
        <v>1800</v>
      </c>
      <c r="AS285" s="35">
        <v>1</v>
      </c>
    </row>
    <row r="286" spans="1:45" ht="16" x14ac:dyDescent="0.2">
      <c r="A286" s="53">
        <v>282</v>
      </c>
      <c r="B286" s="55" t="s">
        <v>307</v>
      </c>
      <c r="C286" s="54" t="s">
        <v>309</v>
      </c>
      <c r="D286" s="350"/>
      <c r="E286" s="53"/>
      <c r="F286" s="56"/>
      <c r="G286" s="53"/>
      <c r="H286" s="56"/>
      <c r="I286" s="57"/>
      <c r="J286" s="53"/>
      <c r="K286" s="56"/>
      <c r="L286" s="57"/>
      <c r="M286" s="58"/>
      <c r="N286" s="56"/>
      <c r="O286" s="57"/>
      <c r="P286" s="58">
        <f t="shared" si="16"/>
        <v>2.16</v>
      </c>
      <c r="Q286" s="59">
        <f t="shared" si="17"/>
        <v>5400</v>
      </c>
      <c r="R286" s="35">
        <v>3</v>
      </c>
      <c r="S286" s="19">
        <v>0</v>
      </c>
      <c r="T286" s="23">
        <v>0</v>
      </c>
      <c r="U286" s="24">
        <v>0</v>
      </c>
      <c r="V286" s="33">
        <v>0</v>
      </c>
      <c r="W286" s="34">
        <v>0</v>
      </c>
      <c r="X286" s="35">
        <v>0</v>
      </c>
      <c r="Y286" s="19">
        <v>0</v>
      </c>
      <c r="Z286" s="23">
        <v>0</v>
      </c>
      <c r="AA286" s="24">
        <v>0</v>
      </c>
      <c r="AB286" s="33">
        <v>0</v>
      </c>
      <c r="AC286" s="34">
        <v>0</v>
      </c>
      <c r="AD286" s="35">
        <v>0</v>
      </c>
      <c r="AE286" s="36">
        <v>0</v>
      </c>
      <c r="AF286" s="23">
        <v>0</v>
      </c>
      <c r="AG286" s="24">
        <v>0</v>
      </c>
      <c r="AH286" s="33">
        <v>0</v>
      </c>
      <c r="AI286" s="37">
        <v>0</v>
      </c>
      <c r="AJ286" s="35">
        <v>0</v>
      </c>
      <c r="AK286" s="36">
        <v>0</v>
      </c>
      <c r="AL286" s="38">
        <v>0</v>
      </c>
      <c r="AM286" s="35">
        <v>0</v>
      </c>
      <c r="AN286" s="19">
        <v>0</v>
      </c>
      <c r="AO286" s="23">
        <v>0</v>
      </c>
      <c r="AP286" s="24">
        <v>0</v>
      </c>
      <c r="AQ286" s="58">
        <f t="shared" si="18"/>
        <v>2.16</v>
      </c>
      <c r="AR286" s="59">
        <f t="shared" si="19"/>
        <v>5400</v>
      </c>
      <c r="AS286" s="35">
        <v>3</v>
      </c>
    </row>
    <row r="287" spans="1:45" ht="16" x14ac:dyDescent="0.2">
      <c r="A287" s="53">
        <v>283</v>
      </c>
      <c r="B287" s="55" t="s">
        <v>307</v>
      </c>
      <c r="C287" s="54" t="s">
        <v>310</v>
      </c>
      <c r="D287" s="350"/>
      <c r="E287" s="53"/>
      <c r="F287" s="56"/>
      <c r="G287" s="53"/>
      <c r="H287" s="56"/>
      <c r="I287" s="57"/>
      <c r="J287" s="53"/>
      <c r="K287" s="56"/>
      <c r="L287" s="57"/>
      <c r="M287" s="58"/>
      <c r="N287" s="56"/>
      <c r="O287" s="57"/>
      <c r="P287" s="58">
        <f t="shared" si="16"/>
        <v>0.72</v>
      </c>
      <c r="Q287" s="59">
        <f t="shared" si="17"/>
        <v>1800</v>
      </c>
      <c r="R287" s="35">
        <v>1</v>
      </c>
      <c r="S287" s="19">
        <v>0</v>
      </c>
      <c r="T287" s="23">
        <v>0</v>
      </c>
      <c r="U287" s="24">
        <v>0</v>
      </c>
      <c r="V287" s="33">
        <v>0</v>
      </c>
      <c r="W287" s="34">
        <v>0</v>
      </c>
      <c r="X287" s="35">
        <v>0</v>
      </c>
      <c r="Y287" s="19">
        <v>0</v>
      </c>
      <c r="Z287" s="23">
        <v>0</v>
      </c>
      <c r="AA287" s="24">
        <v>0</v>
      </c>
      <c r="AB287" s="33">
        <v>0</v>
      </c>
      <c r="AC287" s="34">
        <v>0</v>
      </c>
      <c r="AD287" s="35">
        <v>0</v>
      </c>
      <c r="AE287" s="36">
        <v>0</v>
      </c>
      <c r="AF287" s="23">
        <v>0</v>
      </c>
      <c r="AG287" s="24">
        <v>0</v>
      </c>
      <c r="AH287" s="33">
        <v>0</v>
      </c>
      <c r="AI287" s="37">
        <v>0</v>
      </c>
      <c r="AJ287" s="35">
        <v>0</v>
      </c>
      <c r="AK287" s="36">
        <v>0</v>
      </c>
      <c r="AL287" s="38">
        <v>0</v>
      </c>
      <c r="AM287" s="35">
        <v>0</v>
      </c>
      <c r="AN287" s="19">
        <v>0</v>
      </c>
      <c r="AO287" s="23">
        <v>0</v>
      </c>
      <c r="AP287" s="24">
        <v>0</v>
      </c>
      <c r="AQ287" s="58">
        <f t="shared" si="18"/>
        <v>0.72</v>
      </c>
      <c r="AR287" s="59">
        <f t="shared" si="19"/>
        <v>1800</v>
      </c>
      <c r="AS287" s="35">
        <v>1</v>
      </c>
    </row>
    <row r="288" spans="1:45" ht="16" x14ac:dyDescent="0.2">
      <c r="A288" s="53">
        <v>284</v>
      </c>
      <c r="B288" s="55" t="s">
        <v>307</v>
      </c>
      <c r="C288" s="54" t="s">
        <v>311</v>
      </c>
      <c r="D288" s="350"/>
      <c r="E288" s="53"/>
      <c r="F288" s="56"/>
      <c r="G288" s="53"/>
      <c r="H288" s="56"/>
      <c r="I288" s="57"/>
      <c r="J288" s="53"/>
      <c r="K288" s="56"/>
      <c r="L288" s="57"/>
      <c r="M288" s="58"/>
      <c r="N288" s="56"/>
      <c r="O288" s="57"/>
      <c r="P288" s="58">
        <f t="shared" si="16"/>
        <v>2.16</v>
      </c>
      <c r="Q288" s="59">
        <f t="shared" si="17"/>
        <v>5400</v>
      </c>
      <c r="R288" s="35">
        <v>3</v>
      </c>
      <c r="S288" s="19">
        <v>0</v>
      </c>
      <c r="T288" s="23">
        <v>0</v>
      </c>
      <c r="U288" s="24">
        <v>0</v>
      </c>
      <c r="V288" s="33">
        <v>0</v>
      </c>
      <c r="W288" s="34">
        <v>0</v>
      </c>
      <c r="X288" s="35">
        <v>0</v>
      </c>
      <c r="Y288" s="19">
        <v>0</v>
      </c>
      <c r="Z288" s="23">
        <v>0</v>
      </c>
      <c r="AA288" s="24">
        <v>0</v>
      </c>
      <c r="AB288" s="33">
        <v>0</v>
      </c>
      <c r="AC288" s="34">
        <v>0</v>
      </c>
      <c r="AD288" s="35">
        <v>0</v>
      </c>
      <c r="AE288" s="36">
        <v>0</v>
      </c>
      <c r="AF288" s="23">
        <v>0</v>
      </c>
      <c r="AG288" s="24">
        <v>0</v>
      </c>
      <c r="AH288" s="33">
        <v>0</v>
      </c>
      <c r="AI288" s="37">
        <v>0</v>
      </c>
      <c r="AJ288" s="35">
        <v>0</v>
      </c>
      <c r="AK288" s="36">
        <v>0</v>
      </c>
      <c r="AL288" s="38">
        <v>0</v>
      </c>
      <c r="AM288" s="35">
        <v>0</v>
      </c>
      <c r="AN288" s="19">
        <v>0</v>
      </c>
      <c r="AO288" s="23">
        <v>0</v>
      </c>
      <c r="AP288" s="24">
        <v>0</v>
      </c>
      <c r="AQ288" s="58">
        <f t="shared" si="18"/>
        <v>2.16</v>
      </c>
      <c r="AR288" s="59">
        <f t="shared" si="19"/>
        <v>5400</v>
      </c>
      <c r="AS288" s="35">
        <v>3</v>
      </c>
    </row>
    <row r="289" spans="1:45" ht="16" x14ac:dyDescent="0.2">
      <c r="A289" s="53">
        <v>285</v>
      </c>
      <c r="B289" s="55" t="s">
        <v>307</v>
      </c>
      <c r="C289" s="54" t="s">
        <v>312</v>
      </c>
      <c r="D289" s="350"/>
      <c r="E289" s="53"/>
      <c r="F289" s="56"/>
      <c r="G289" s="53"/>
      <c r="H289" s="56"/>
      <c r="I289" s="57"/>
      <c r="J289" s="53"/>
      <c r="K289" s="56"/>
      <c r="L289" s="57"/>
      <c r="M289" s="58"/>
      <c r="N289" s="56"/>
      <c r="O289" s="57"/>
      <c r="P289" s="58">
        <f t="shared" si="16"/>
        <v>0.72</v>
      </c>
      <c r="Q289" s="59">
        <f t="shared" si="17"/>
        <v>1800</v>
      </c>
      <c r="R289" s="35">
        <v>1</v>
      </c>
      <c r="S289" s="19">
        <v>0</v>
      </c>
      <c r="T289" s="23">
        <v>0</v>
      </c>
      <c r="U289" s="24">
        <v>0</v>
      </c>
      <c r="V289" s="33">
        <v>0</v>
      </c>
      <c r="W289" s="34">
        <v>0</v>
      </c>
      <c r="X289" s="35">
        <v>0</v>
      </c>
      <c r="Y289" s="19">
        <v>0</v>
      </c>
      <c r="Z289" s="23">
        <v>0</v>
      </c>
      <c r="AA289" s="24">
        <v>0</v>
      </c>
      <c r="AB289" s="33">
        <v>0</v>
      </c>
      <c r="AC289" s="34">
        <v>0</v>
      </c>
      <c r="AD289" s="35">
        <v>0</v>
      </c>
      <c r="AE289" s="36">
        <v>0</v>
      </c>
      <c r="AF289" s="23">
        <v>0</v>
      </c>
      <c r="AG289" s="24">
        <v>0</v>
      </c>
      <c r="AH289" s="33">
        <v>0</v>
      </c>
      <c r="AI289" s="37">
        <v>0</v>
      </c>
      <c r="AJ289" s="35">
        <v>0</v>
      </c>
      <c r="AK289" s="36">
        <v>0</v>
      </c>
      <c r="AL289" s="38">
        <v>0</v>
      </c>
      <c r="AM289" s="35">
        <v>0</v>
      </c>
      <c r="AN289" s="19">
        <v>0</v>
      </c>
      <c r="AO289" s="23">
        <v>0</v>
      </c>
      <c r="AP289" s="24">
        <v>0</v>
      </c>
      <c r="AQ289" s="58">
        <f t="shared" si="18"/>
        <v>0.72</v>
      </c>
      <c r="AR289" s="59">
        <f t="shared" si="19"/>
        <v>1800</v>
      </c>
      <c r="AS289" s="35">
        <v>1</v>
      </c>
    </row>
    <row r="290" spans="1:45" ht="16" x14ac:dyDescent="0.2">
      <c r="A290" s="53">
        <v>286</v>
      </c>
      <c r="B290" s="55" t="s">
        <v>307</v>
      </c>
      <c r="C290" s="54" t="s">
        <v>313</v>
      </c>
      <c r="D290" s="350"/>
      <c r="E290" s="53"/>
      <c r="F290" s="56"/>
      <c r="G290" s="53"/>
      <c r="H290" s="56"/>
      <c r="I290" s="57"/>
      <c r="J290" s="53"/>
      <c r="K290" s="56"/>
      <c r="L290" s="57"/>
      <c r="M290" s="58"/>
      <c r="N290" s="56"/>
      <c r="O290" s="57"/>
      <c r="P290" s="58">
        <f t="shared" si="16"/>
        <v>1.44</v>
      </c>
      <c r="Q290" s="59">
        <f t="shared" si="17"/>
        <v>3600</v>
      </c>
      <c r="R290" s="35">
        <v>2</v>
      </c>
      <c r="S290" s="19">
        <v>0</v>
      </c>
      <c r="T290" s="23">
        <v>0</v>
      </c>
      <c r="U290" s="24">
        <v>0</v>
      </c>
      <c r="V290" s="33">
        <v>0</v>
      </c>
      <c r="W290" s="34">
        <v>0</v>
      </c>
      <c r="X290" s="35">
        <v>0</v>
      </c>
      <c r="Y290" s="19">
        <v>0</v>
      </c>
      <c r="Z290" s="23">
        <v>0</v>
      </c>
      <c r="AA290" s="24">
        <v>0</v>
      </c>
      <c r="AB290" s="33">
        <v>0</v>
      </c>
      <c r="AC290" s="34">
        <v>0</v>
      </c>
      <c r="AD290" s="35">
        <v>0</v>
      </c>
      <c r="AE290" s="36">
        <v>0</v>
      </c>
      <c r="AF290" s="23">
        <v>0</v>
      </c>
      <c r="AG290" s="24">
        <v>0</v>
      </c>
      <c r="AH290" s="33">
        <v>0</v>
      </c>
      <c r="AI290" s="37">
        <v>0</v>
      </c>
      <c r="AJ290" s="35">
        <v>0</v>
      </c>
      <c r="AK290" s="36">
        <v>0</v>
      </c>
      <c r="AL290" s="38">
        <v>0</v>
      </c>
      <c r="AM290" s="35">
        <v>0</v>
      </c>
      <c r="AN290" s="19">
        <v>0</v>
      </c>
      <c r="AO290" s="23">
        <v>0</v>
      </c>
      <c r="AP290" s="24">
        <v>0</v>
      </c>
      <c r="AQ290" s="58">
        <f t="shared" si="18"/>
        <v>1.44</v>
      </c>
      <c r="AR290" s="59">
        <f t="shared" si="19"/>
        <v>3600</v>
      </c>
      <c r="AS290" s="35">
        <v>2</v>
      </c>
    </row>
    <row r="291" spans="1:45" ht="16" x14ac:dyDescent="0.2">
      <c r="A291" s="53">
        <v>287</v>
      </c>
      <c r="B291" s="55" t="s">
        <v>307</v>
      </c>
      <c r="C291" s="54" t="s">
        <v>314</v>
      </c>
      <c r="D291" s="350"/>
      <c r="E291" s="53"/>
      <c r="F291" s="56"/>
      <c r="G291" s="53"/>
      <c r="H291" s="56"/>
      <c r="I291" s="57"/>
      <c r="J291" s="53"/>
      <c r="K291" s="56"/>
      <c r="L291" s="57"/>
      <c r="M291" s="58"/>
      <c r="N291" s="56"/>
      <c r="O291" s="57"/>
      <c r="P291" s="58">
        <f t="shared" si="16"/>
        <v>2.88</v>
      </c>
      <c r="Q291" s="59">
        <f t="shared" si="17"/>
        <v>7200</v>
      </c>
      <c r="R291" s="35">
        <v>4</v>
      </c>
      <c r="S291" s="19">
        <v>0</v>
      </c>
      <c r="T291" s="23">
        <v>0</v>
      </c>
      <c r="U291" s="24">
        <v>0</v>
      </c>
      <c r="V291" s="33">
        <v>0</v>
      </c>
      <c r="W291" s="34">
        <v>0</v>
      </c>
      <c r="X291" s="35">
        <v>0</v>
      </c>
      <c r="Y291" s="19">
        <v>0</v>
      </c>
      <c r="Z291" s="23">
        <v>0</v>
      </c>
      <c r="AA291" s="24">
        <v>0</v>
      </c>
      <c r="AB291" s="33">
        <v>0</v>
      </c>
      <c r="AC291" s="34">
        <v>0</v>
      </c>
      <c r="AD291" s="35">
        <v>0</v>
      </c>
      <c r="AE291" s="36">
        <v>0</v>
      </c>
      <c r="AF291" s="23">
        <v>0</v>
      </c>
      <c r="AG291" s="24">
        <v>0</v>
      </c>
      <c r="AH291" s="33">
        <v>0</v>
      </c>
      <c r="AI291" s="37">
        <v>0</v>
      </c>
      <c r="AJ291" s="35">
        <v>0</v>
      </c>
      <c r="AK291" s="36">
        <v>0</v>
      </c>
      <c r="AL291" s="38">
        <v>0</v>
      </c>
      <c r="AM291" s="35">
        <v>0</v>
      </c>
      <c r="AN291" s="19">
        <v>0</v>
      </c>
      <c r="AO291" s="23">
        <v>0</v>
      </c>
      <c r="AP291" s="24">
        <v>0</v>
      </c>
      <c r="AQ291" s="58">
        <f t="shared" si="18"/>
        <v>2.88</v>
      </c>
      <c r="AR291" s="59">
        <f t="shared" si="19"/>
        <v>7200</v>
      </c>
      <c r="AS291" s="35">
        <v>4</v>
      </c>
    </row>
    <row r="292" spans="1:45" ht="16" x14ac:dyDescent="0.2">
      <c r="A292" s="53">
        <v>288</v>
      </c>
      <c r="B292" s="55" t="s">
        <v>307</v>
      </c>
      <c r="C292" s="54" t="s">
        <v>315</v>
      </c>
      <c r="D292" s="350"/>
      <c r="E292" s="53"/>
      <c r="F292" s="56"/>
      <c r="G292" s="53"/>
      <c r="H292" s="56"/>
      <c r="I292" s="57"/>
      <c r="J292" s="53"/>
      <c r="K292" s="56"/>
      <c r="L292" s="57"/>
      <c r="M292" s="58"/>
      <c r="N292" s="56"/>
      <c r="O292" s="57"/>
      <c r="P292" s="58">
        <f t="shared" si="16"/>
        <v>10.08</v>
      </c>
      <c r="Q292" s="59">
        <f t="shared" si="17"/>
        <v>25200</v>
      </c>
      <c r="R292" s="35">
        <v>14</v>
      </c>
      <c r="S292" s="19">
        <v>0</v>
      </c>
      <c r="T292" s="23">
        <v>0</v>
      </c>
      <c r="U292" s="24">
        <v>0</v>
      </c>
      <c r="V292" s="33">
        <v>0</v>
      </c>
      <c r="W292" s="34">
        <v>0</v>
      </c>
      <c r="X292" s="35">
        <v>0</v>
      </c>
      <c r="Y292" s="19">
        <v>0</v>
      </c>
      <c r="Z292" s="23">
        <v>0</v>
      </c>
      <c r="AA292" s="24">
        <v>0</v>
      </c>
      <c r="AB292" s="33">
        <v>0</v>
      </c>
      <c r="AC292" s="34">
        <v>0</v>
      </c>
      <c r="AD292" s="35">
        <v>0</v>
      </c>
      <c r="AE292" s="36">
        <v>0</v>
      </c>
      <c r="AF292" s="23">
        <v>0</v>
      </c>
      <c r="AG292" s="24">
        <v>0</v>
      </c>
      <c r="AH292" s="33">
        <v>0</v>
      </c>
      <c r="AI292" s="37">
        <v>0</v>
      </c>
      <c r="AJ292" s="35">
        <v>0</v>
      </c>
      <c r="AK292" s="36">
        <v>0</v>
      </c>
      <c r="AL292" s="38">
        <v>0</v>
      </c>
      <c r="AM292" s="35">
        <v>0</v>
      </c>
      <c r="AN292" s="19">
        <v>0</v>
      </c>
      <c r="AO292" s="23">
        <v>0</v>
      </c>
      <c r="AP292" s="24">
        <v>0</v>
      </c>
      <c r="AQ292" s="58">
        <f t="shared" si="18"/>
        <v>10.08</v>
      </c>
      <c r="AR292" s="59">
        <f t="shared" si="19"/>
        <v>25200</v>
      </c>
      <c r="AS292" s="35">
        <v>14</v>
      </c>
    </row>
    <row r="293" spans="1:45" ht="16" x14ac:dyDescent="0.2">
      <c r="A293" s="53">
        <v>289</v>
      </c>
      <c r="B293" s="55" t="s">
        <v>307</v>
      </c>
      <c r="C293" s="54" t="s">
        <v>316</v>
      </c>
      <c r="D293" s="350"/>
      <c r="E293" s="53"/>
      <c r="F293" s="56"/>
      <c r="G293" s="53"/>
      <c r="H293" s="56"/>
      <c r="I293" s="57"/>
      <c r="J293" s="53"/>
      <c r="K293" s="56"/>
      <c r="L293" s="57"/>
      <c r="M293" s="58"/>
      <c r="N293" s="56"/>
      <c r="O293" s="57"/>
      <c r="P293" s="58">
        <f t="shared" si="16"/>
        <v>0</v>
      </c>
      <c r="Q293" s="59">
        <f t="shared" si="17"/>
        <v>0</v>
      </c>
      <c r="R293" s="35"/>
      <c r="S293" s="19">
        <v>0</v>
      </c>
      <c r="T293" s="23">
        <v>0</v>
      </c>
      <c r="U293" s="24">
        <v>0</v>
      </c>
      <c r="V293" s="33">
        <v>0</v>
      </c>
      <c r="W293" s="34">
        <v>0</v>
      </c>
      <c r="X293" s="35">
        <v>0</v>
      </c>
      <c r="Y293" s="19">
        <v>0</v>
      </c>
      <c r="Z293" s="23">
        <v>0</v>
      </c>
      <c r="AA293" s="24">
        <v>0</v>
      </c>
      <c r="AB293" s="33">
        <v>0</v>
      </c>
      <c r="AC293" s="34">
        <v>0</v>
      </c>
      <c r="AD293" s="35">
        <v>0</v>
      </c>
      <c r="AE293" s="36">
        <v>0</v>
      </c>
      <c r="AF293" s="23">
        <v>0</v>
      </c>
      <c r="AG293" s="24">
        <v>0</v>
      </c>
      <c r="AH293" s="33">
        <v>0</v>
      </c>
      <c r="AI293" s="37">
        <v>0</v>
      </c>
      <c r="AJ293" s="35">
        <v>0</v>
      </c>
      <c r="AK293" s="36">
        <v>0</v>
      </c>
      <c r="AL293" s="38">
        <v>0</v>
      </c>
      <c r="AM293" s="35">
        <v>0</v>
      </c>
      <c r="AN293" s="19">
        <v>0</v>
      </c>
      <c r="AO293" s="23">
        <v>0</v>
      </c>
      <c r="AP293" s="24">
        <v>0</v>
      </c>
      <c r="AQ293" s="58">
        <f t="shared" si="18"/>
        <v>0</v>
      </c>
      <c r="AR293" s="59">
        <f t="shared" si="19"/>
        <v>0</v>
      </c>
      <c r="AS293" s="35"/>
    </row>
    <row r="294" spans="1:45" ht="16" x14ac:dyDescent="0.2">
      <c r="A294" s="53">
        <v>290</v>
      </c>
      <c r="B294" s="55" t="s">
        <v>307</v>
      </c>
      <c r="C294" s="54" t="s">
        <v>317</v>
      </c>
      <c r="D294" s="350" t="s">
        <v>25</v>
      </c>
      <c r="E294" s="53"/>
      <c r="F294" s="56"/>
      <c r="G294" s="53"/>
      <c r="H294" s="56"/>
      <c r="I294" s="57"/>
      <c r="J294" s="53"/>
      <c r="K294" s="56"/>
      <c r="L294" s="57"/>
      <c r="M294" s="58"/>
      <c r="N294" s="56"/>
      <c r="O294" s="57"/>
      <c r="P294" s="58">
        <f t="shared" si="16"/>
        <v>1.44</v>
      </c>
      <c r="Q294" s="59">
        <f t="shared" si="17"/>
        <v>3600</v>
      </c>
      <c r="R294" s="35">
        <v>2</v>
      </c>
      <c r="S294" s="19">
        <v>0</v>
      </c>
      <c r="T294" s="23">
        <v>0</v>
      </c>
      <c r="U294" s="24">
        <v>0</v>
      </c>
      <c r="V294" s="33">
        <v>0</v>
      </c>
      <c r="W294" s="34">
        <v>0</v>
      </c>
      <c r="X294" s="35">
        <v>0</v>
      </c>
      <c r="Y294" s="19">
        <v>0</v>
      </c>
      <c r="Z294" s="23">
        <v>0</v>
      </c>
      <c r="AA294" s="24">
        <v>0</v>
      </c>
      <c r="AB294" s="33">
        <v>0</v>
      </c>
      <c r="AC294" s="34">
        <v>0</v>
      </c>
      <c r="AD294" s="35">
        <v>0</v>
      </c>
      <c r="AE294" s="36">
        <v>0</v>
      </c>
      <c r="AF294" s="23">
        <v>0</v>
      </c>
      <c r="AG294" s="24">
        <v>0</v>
      </c>
      <c r="AH294" s="33">
        <v>0</v>
      </c>
      <c r="AI294" s="37">
        <v>0</v>
      </c>
      <c r="AJ294" s="35">
        <v>0</v>
      </c>
      <c r="AK294" s="36">
        <v>0</v>
      </c>
      <c r="AL294" s="38">
        <v>0</v>
      </c>
      <c r="AM294" s="35">
        <v>0</v>
      </c>
      <c r="AN294" s="19">
        <v>0</v>
      </c>
      <c r="AO294" s="23">
        <v>0</v>
      </c>
      <c r="AP294" s="24">
        <v>0</v>
      </c>
      <c r="AQ294" s="58">
        <f t="shared" si="18"/>
        <v>1.44</v>
      </c>
      <c r="AR294" s="59">
        <f t="shared" si="19"/>
        <v>3600</v>
      </c>
      <c r="AS294" s="35">
        <v>2</v>
      </c>
    </row>
    <row r="295" spans="1:45" ht="16" x14ac:dyDescent="0.2">
      <c r="A295" s="53">
        <v>291</v>
      </c>
      <c r="B295" s="55" t="s">
        <v>307</v>
      </c>
      <c r="C295" s="54" t="s">
        <v>318</v>
      </c>
      <c r="D295" s="350"/>
      <c r="E295" s="53"/>
      <c r="F295" s="56"/>
      <c r="G295" s="53"/>
      <c r="H295" s="56"/>
      <c r="I295" s="57"/>
      <c r="J295" s="53"/>
      <c r="K295" s="56"/>
      <c r="L295" s="57"/>
      <c r="M295" s="58"/>
      <c r="N295" s="56"/>
      <c r="O295" s="57"/>
      <c r="P295" s="58">
        <f t="shared" si="16"/>
        <v>2.16</v>
      </c>
      <c r="Q295" s="59">
        <f t="shared" si="17"/>
        <v>5400</v>
      </c>
      <c r="R295" s="35">
        <v>3</v>
      </c>
      <c r="S295" s="19">
        <v>0</v>
      </c>
      <c r="T295" s="23">
        <v>0</v>
      </c>
      <c r="U295" s="24">
        <v>0</v>
      </c>
      <c r="V295" s="33">
        <v>0</v>
      </c>
      <c r="W295" s="34">
        <v>0</v>
      </c>
      <c r="X295" s="35">
        <v>0</v>
      </c>
      <c r="Y295" s="19">
        <v>0</v>
      </c>
      <c r="Z295" s="23">
        <v>0</v>
      </c>
      <c r="AA295" s="24">
        <v>0</v>
      </c>
      <c r="AB295" s="33">
        <v>0</v>
      </c>
      <c r="AC295" s="34">
        <v>0</v>
      </c>
      <c r="AD295" s="35">
        <v>0</v>
      </c>
      <c r="AE295" s="36">
        <v>0</v>
      </c>
      <c r="AF295" s="23">
        <v>0</v>
      </c>
      <c r="AG295" s="24">
        <v>0</v>
      </c>
      <c r="AH295" s="33">
        <v>0</v>
      </c>
      <c r="AI295" s="37">
        <v>0</v>
      </c>
      <c r="AJ295" s="35">
        <v>0</v>
      </c>
      <c r="AK295" s="36">
        <v>0</v>
      </c>
      <c r="AL295" s="38">
        <v>0</v>
      </c>
      <c r="AM295" s="35">
        <v>0</v>
      </c>
      <c r="AN295" s="19">
        <v>0</v>
      </c>
      <c r="AO295" s="23">
        <v>0</v>
      </c>
      <c r="AP295" s="24">
        <v>0</v>
      </c>
      <c r="AQ295" s="58">
        <f t="shared" si="18"/>
        <v>2.16</v>
      </c>
      <c r="AR295" s="59">
        <f t="shared" si="19"/>
        <v>5400</v>
      </c>
      <c r="AS295" s="35">
        <v>3</v>
      </c>
    </row>
    <row r="296" spans="1:45" ht="16" x14ac:dyDescent="0.2">
      <c r="A296" s="53">
        <v>292</v>
      </c>
      <c r="B296" s="55" t="s">
        <v>307</v>
      </c>
      <c r="C296" s="54" t="s">
        <v>319</v>
      </c>
      <c r="D296" s="350"/>
      <c r="E296" s="53"/>
      <c r="F296" s="56"/>
      <c r="G296" s="53"/>
      <c r="H296" s="56"/>
      <c r="I296" s="57"/>
      <c r="J296" s="53"/>
      <c r="K296" s="56"/>
      <c r="L296" s="57"/>
      <c r="M296" s="58"/>
      <c r="N296" s="56"/>
      <c r="O296" s="57"/>
      <c r="P296" s="58">
        <f t="shared" si="16"/>
        <v>0</v>
      </c>
      <c r="Q296" s="59">
        <f t="shared" si="17"/>
        <v>0</v>
      </c>
      <c r="R296" s="35"/>
      <c r="S296" s="19">
        <v>0</v>
      </c>
      <c r="T296" s="23">
        <v>0</v>
      </c>
      <c r="U296" s="24">
        <v>0</v>
      </c>
      <c r="V296" s="33">
        <v>0</v>
      </c>
      <c r="W296" s="34">
        <v>0</v>
      </c>
      <c r="X296" s="35">
        <v>0</v>
      </c>
      <c r="Y296" s="19">
        <v>0</v>
      </c>
      <c r="Z296" s="23">
        <v>0</v>
      </c>
      <c r="AA296" s="24">
        <v>0</v>
      </c>
      <c r="AB296" s="33">
        <v>0</v>
      </c>
      <c r="AC296" s="34">
        <v>0</v>
      </c>
      <c r="AD296" s="35">
        <v>0</v>
      </c>
      <c r="AE296" s="36">
        <v>0</v>
      </c>
      <c r="AF296" s="23">
        <v>0</v>
      </c>
      <c r="AG296" s="24">
        <v>0</v>
      </c>
      <c r="AH296" s="33">
        <v>0</v>
      </c>
      <c r="AI296" s="37">
        <v>0</v>
      </c>
      <c r="AJ296" s="35">
        <v>0</v>
      </c>
      <c r="AK296" s="36">
        <v>0</v>
      </c>
      <c r="AL296" s="38">
        <v>0</v>
      </c>
      <c r="AM296" s="35">
        <v>0</v>
      </c>
      <c r="AN296" s="19">
        <v>0</v>
      </c>
      <c r="AO296" s="23">
        <v>0</v>
      </c>
      <c r="AP296" s="24">
        <v>0</v>
      </c>
      <c r="AQ296" s="58">
        <f t="shared" si="18"/>
        <v>0</v>
      </c>
      <c r="AR296" s="59">
        <f t="shared" si="19"/>
        <v>0</v>
      </c>
      <c r="AS296" s="35"/>
    </row>
    <row r="297" spans="1:45" ht="16" x14ac:dyDescent="0.2">
      <c r="A297" s="53">
        <v>293</v>
      </c>
      <c r="B297" s="55" t="s">
        <v>307</v>
      </c>
      <c r="C297" s="54" t="s">
        <v>320</v>
      </c>
      <c r="D297" s="350"/>
      <c r="E297" s="53"/>
      <c r="F297" s="56"/>
      <c r="G297" s="53"/>
      <c r="H297" s="56"/>
      <c r="I297" s="57"/>
      <c r="J297" s="53"/>
      <c r="K297" s="56"/>
      <c r="L297" s="57"/>
      <c r="M297" s="58"/>
      <c r="N297" s="56"/>
      <c r="O297" s="57"/>
      <c r="P297" s="58">
        <f t="shared" si="16"/>
        <v>1.44</v>
      </c>
      <c r="Q297" s="59">
        <f t="shared" si="17"/>
        <v>3600</v>
      </c>
      <c r="R297" s="35">
        <v>2</v>
      </c>
      <c r="S297" s="19">
        <v>0</v>
      </c>
      <c r="T297" s="23">
        <v>0</v>
      </c>
      <c r="U297" s="24">
        <v>0</v>
      </c>
      <c r="V297" s="33">
        <v>0</v>
      </c>
      <c r="W297" s="34">
        <v>0</v>
      </c>
      <c r="X297" s="35">
        <v>0</v>
      </c>
      <c r="Y297" s="19">
        <v>0</v>
      </c>
      <c r="Z297" s="23">
        <v>0</v>
      </c>
      <c r="AA297" s="24">
        <v>0</v>
      </c>
      <c r="AB297" s="33">
        <v>0</v>
      </c>
      <c r="AC297" s="34">
        <v>0</v>
      </c>
      <c r="AD297" s="35">
        <v>0</v>
      </c>
      <c r="AE297" s="36">
        <v>0</v>
      </c>
      <c r="AF297" s="23">
        <v>0</v>
      </c>
      <c r="AG297" s="24">
        <v>0</v>
      </c>
      <c r="AH297" s="33">
        <v>0</v>
      </c>
      <c r="AI297" s="37">
        <v>0</v>
      </c>
      <c r="AJ297" s="35">
        <v>0</v>
      </c>
      <c r="AK297" s="36">
        <v>0</v>
      </c>
      <c r="AL297" s="38">
        <v>0</v>
      </c>
      <c r="AM297" s="35">
        <v>0</v>
      </c>
      <c r="AN297" s="19">
        <v>0</v>
      </c>
      <c r="AO297" s="23">
        <v>0</v>
      </c>
      <c r="AP297" s="24">
        <v>0</v>
      </c>
      <c r="AQ297" s="58">
        <f t="shared" si="18"/>
        <v>1.44</v>
      </c>
      <c r="AR297" s="59">
        <f t="shared" si="19"/>
        <v>3600</v>
      </c>
      <c r="AS297" s="35">
        <v>2</v>
      </c>
    </row>
    <row r="298" spans="1:45" ht="16" x14ac:dyDescent="0.2">
      <c r="A298" s="53">
        <v>294</v>
      </c>
      <c r="B298" s="55" t="s">
        <v>307</v>
      </c>
      <c r="C298" s="54" t="s">
        <v>321</v>
      </c>
      <c r="D298" s="350"/>
      <c r="E298" s="53"/>
      <c r="F298" s="56"/>
      <c r="G298" s="53"/>
      <c r="H298" s="56"/>
      <c r="I298" s="57"/>
      <c r="J298" s="53"/>
      <c r="K298" s="56"/>
      <c r="L298" s="57"/>
      <c r="M298" s="58"/>
      <c r="N298" s="56"/>
      <c r="O298" s="57"/>
      <c r="P298" s="58">
        <f t="shared" si="16"/>
        <v>2.88</v>
      </c>
      <c r="Q298" s="59">
        <f t="shared" si="17"/>
        <v>7200</v>
      </c>
      <c r="R298" s="35">
        <v>4</v>
      </c>
      <c r="S298" s="19">
        <v>0</v>
      </c>
      <c r="T298" s="23">
        <v>0</v>
      </c>
      <c r="U298" s="24">
        <v>0</v>
      </c>
      <c r="V298" s="33">
        <v>0</v>
      </c>
      <c r="W298" s="34">
        <v>0</v>
      </c>
      <c r="X298" s="35">
        <v>0</v>
      </c>
      <c r="Y298" s="19">
        <v>0</v>
      </c>
      <c r="Z298" s="23">
        <v>0</v>
      </c>
      <c r="AA298" s="24">
        <v>0</v>
      </c>
      <c r="AB298" s="33">
        <v>0</v>
      </c>
      <c r="AC298" s="34">
        <v>0</v>
      </c>
      <c r="AD298" s="35">
        <v>0</v>
      </c>
      <c r="AE298" s="36">
        <v>0</v>
      </c>
      <c r="AF298" s="23">
        <v>0</v>
      </c>
      <c r="AG298" s="24">
        <v>0</v>
      </c>
      <c r="AH298" s="33">
        <v>0</v>
      </c>
      <c r="AI298" s="37">
        <v>0</v>
      </c>
      <c r="AJ298" s="35">
        <v>0</v>
      </c>
      <c r="AK298" s="36">
        <v>0</v>
      </c>
      <c r="AL298" s="38">
        <v>0</v>
      </c>
      <c r="AM298" s="35">
        <v>0</v>
      </c>
      <c r="AN298" s="19">
        <v>0</v>
      </c>
      <c r="AO298" s="23">
        <v>0</v>
      </c>
      <c r="AP298" s="24">
        <v>0</v>
      </c>
      <c r="AQ298" s="58">
        <f t="shared" si="18"/>
        <v>2.88</v>
      </c>
      <c r="AR298" s="59">
        <f t="shared" si="19"/>
        <v>7200</v>
      </c>
      <c r="AS298" s="35">
        <v>4</v>
      </c>
    </row>
    <row r="299" spans="1:45" ht="16" x14ac:dyDescent="0.2">
      <c r="A299" s="53">
        <v>295</v>
      </c>
      <c r="B299" s="55" t="s">
        <v>307</v>
      </c>
      <c r="C299" s="54" t="s">
        <v>322</v>
      </c>
      <c r="D299" s="350"/>
      <c r="E299" s="53"/>
      <c r="F299" s="56"/>
      <c r="G299" s="53"/>
      <c r="H299" s="56"/>
      <c r="I299" s="57"/>
      <c r="J299" s="53"/>
      <c r="K299" s="56"/>
      <c r="L299" s="57"/>
      <c r="M299" s="58"/>
      <c r="N299" s="56"/>
      <c r="O299" s="57"/>
      <c r="P299" s="58">
        <f t="shared" si="16"/>
        <v>0.72</v>
      </c>
      <c r="Q299" s="59">
        <f t="shared" si="17"/>
        <v>1800</v>
      </c>
      <c r="R299" s="35">
        <v>1</v>
      </c>
      <c r="S299" s="19">
        <v>0</v>
      </c>
      <c r="T299" s="23">
        <v>0</v>
      </c>
      <c r="U299" s="24">
        <v>0</v>
      </c>
      <c r="V299" s="33">
        <v>0</v>
      </c>
      <c r="W299" s="34">
        <v>0</v>
      </c>
      <c r="X299" s="35">
        <v>0</v>
      </c>
      <c r="Y299" s="19">
        <v>0</v>
      </c>
      <c r="Z299" s="23">
        <v>0</v>
      </c>
      <c r="AA299" s="24">
        <v>0</v>
      </c>
      <c r="AB299" s="33">
        <v>0</v>
      </c>
      <c r="AC299" s="34">
        <v>0</v>
      </c>
      <c r="AD299" s="35">
        <v>0</v>
      </c>
      <c r="AE299" s="36">
        <v>0</v>
      </c>
      <c r="AF299" s="23">
        <v>0</v>
      </c>
      <c r="AG299" s="24">
        <v>0</v>
      </c>
      <c r="AH299" s="33">
        <v>0</v>
      </c>
      <c r="AI299" s="37">
        <v>0</v>
      </c>
      <c r="AJ299" s="35">
        <v>0</v>
      </c>
      <c r="AK299" s="36">
        <v>0</v>
      </c>
      <c r="AL299" s="38">
        <v>0</v>
      </c>
      <c r="AM299" s="35">
        <v>0</v>
      </c>
      <c r="AN299" s="19">
        <v>0</v>
      </c>
      <c r="AO299" s="23">
        <v>0</v>
      </c>
      <c r="AP299" s="24">
        <v>0</v>
      </c>
      <c r="AQ299" s="58">
        <f t="shared" si="18"/>
        <v>0.72</v>
      </c>
      <c r="AR299" s="59">
        <f t="shared" si="19"/>
        <v>1800</v>
      </c>
      <c r="AS299" s="35">
        <v>1</v>
      </c>
    </row>
    <row r="300" spans="1:45" ht="16" x14ac:dyDescent="0.2">
      <c r="A300" s="53">
        <v>296</v>
      </c>
      <c r="B300" s="55" t="s">
        <v>307</v>
      </c>
      <c r="C300" s="54" t="s">
        <v>323</v>
      </c>
      <c r="D300" s="350"/>
      <c r="E300" s="53"/>
      <c r="F300" s="56"/>
      <c r="G300" s="53"/>
      <c r="H300" s="56"/>
      <c r="I300" s="57"/>
      <c r="J300" s="53"/>
      <c r="K300" s="56"/>
      <c r="L300" s="57"/>
      <c r="M300" s="58"/>
      <c r="N300" s="56"/>
      <c r="O300" s="57"/>
      <c r="P300" s="58">
        <f t="shared" si="16"/>
        <v>3.6</v>
      </c>
      <c r="Q300" s="59">
        <f t="shared" si="17"/>
        <v>9000</v>
      </c>
      <c r="R300" s="35">
        <v>5</v>
      </c>
      <c r="S300" s="19">
        <v>0</v>
      </c>
      <c r="T300" s="23">
        <v>0</v>
      </c>
      <c r="U300" s="24">
        <v>0</v>
      </c>
      <c r="V300" s="33">
        <v>0</v>
      </c>
      <c r="W300" s="34">
        <v>0</v>
      </c>
      <c r="X300" s="35">
        <v>0</v>
      </c>
      <c r="Y300" s="19">
        <v>0</v>
      </c>
      <c r="Z300" s="23">
        <v>0</v>
      </c>
      <c r="AA300" s="24">
        <v>0</v>
      </c>
      <c r="AB300" s="33">
        <v>0</v>
      </c>
      <c r="AC300" s="34">
        <v>0</v>
      </c>
      <c r="AD300" s="35">
        <v>0</v>
      </c>
      <c r="AE300" s="36">
        <v>0</v>
      </c>
      <c r="AF300" s="23">
        <v>0</v>
      </c>
      <c r="AG300" s="24">
        <v>0</v>
      </c>
      <c r="AH300" s="33">
        <v>0</v>
      </c>
      <c r="AI300" s="37">
        <v>0</v>
      </c>
      <c r="AJ300" s="35">
        <v>0</v>
      </c>
      <c r="AK300" s="36">
        <v>0</v>
      </c>
      <c r="AL300" s="38">
        <v>0</v>
      </c>
      <c r="AM300" s="35">
        <v>0</v>
      </c>
      <c r="AN300" s="19">
        <v>0</v>
      </c>
      <c r="AO300" s="23">
        <v>0</v>
      </c>
      <c r="AP300" s="24">
        <v>0</v>
      </c>
      <c r="AQ300" s="58">
        <f t="shared" si="18"/>
        <v>3.6</v>
      </c>
      <c r="AR300" s="59">
        <f t="shared" si="19"/>
        <v>9000</v>
      </c>
      <c r="AS300" s="35">
        <v>5</v>
      </c>
    </row>
    <row r="301" spans="1:45" ht="16" x14ac:dyDescent="0.2">
      <c r="A301" s="53">
        <v>297</v>
      </c>
      <c r="B301" s="55" t="s">
        <v>307</v>
      </c>
      <c r="C301" s="54" t="s">
        <v>324</v>
      </c>
      <c r="D301" s="350"/>
      <c r="E301" s="53"/>
      <c r="F301" s="56"/>
      <c r="G301" s="53"/>
      <c r="H301" s="56"/>
      <c r="I301" s="57"/>
      <c r="J301" s="53"/>
      <c r="K301" s="56"/>
      <c r="L301" s="57"/>
      <c r="M301" s="58"/>
      <c r="N301" s="56"/>
      <c r="O301" s="57"/>
      <c r="P301" s="58">
        <f t="shared" si="16"/>
        <v>2.88</v>
      </c>
      <c r="Q301" s="59">
        <f t="shared" si="17"/>
        <v>7200</v>
      </c>
      <c r="R301" s="35">
        <v>4</v>
      </c>
      <c r="S301" s="19">
        <v>0</v>
      </c>
      <c r="T301" s="23">
        <v>0</v>
      </c>
      <c r="U301" s="24">
        <v>0</v>
      </c>
      <c r="V301" s="33">
        <v>0</v>
      </c>
      <c r="W301" s="34">
        <v>0</v>
      </c>
      <c r="X301" s="35">
        <v>0</v>
      </c>
      <c r="Y301" s="19">
        <v>0</v>
      </c>
      <c r="Z301" s="23">
        <v>0</v>
      </c>
      <c r="AA301" s="24">
        <v>0</v>
      </c>
      <c r="AB301" s="33">
        <v>0</v>
      </c>
      <c r="AC301" s="34">
        <v>0</v>
      </c>
      <c r="AD301" s="35">
        <v>0</v>
      </c>
      <c r="AE301" s="36">
        <v>0</v>
      </c>
      <c r="AF301" s="23">
        <v>0</v>
      </c>
      <c r="AG301" s="24">
        <v>0</v>
      </c>
      <c r="AH301" s="33">
        <v>0</v>
      </c>
      <c r="AI301" s="37">
        <v>0</v>
      </c>
      <c r="AJ301" s="35">
        <v>0</v>
      </c>
      <c r="AK301" s="36">
        <v>0</v>
      </c>
      <c r="AL301" s="38">
        <v>0</v>
      </c>
      <c r="AM301" s="35">
        <v>0</v>
      </c>
      <c r="AN301" s="19">
        <v>0</v>
      </c>
      <c r="AO301" s="23">
        <v>0</v>
      </c>
      <c r="AP301" s="24">
        <v>0</v>
      </c>
      <c r="AQ301" s="58">
        <f t="shared" si="18"/>
        <v>2.88</v>
      </c>
      <c r="AR301" s="59">
        <f t="shared" si="19"/>
        <v>7200</v>
      </c>
      <c r="AS301" s="35">
        <v>4</v>
      </c>
    </row>
    <row r="302" spans="1:45" ht="16" x14ac:dyDescent="0.2">
      <c r="A302" s="53">
        <v>298</v>
      </c>
      <c r="B302" s="55" t="s">
        <v>307</v>
      </c>
      <c r="C302" s="54" t="s">
        <v>325</v>
      </c>
      <c r="D302" s="350"/>
      <c r="E302" s="53"/>
      <c r="F302" s="56"/>
      <c r="G302" s="53"/>
      <c r="H302" s="56"/>
      <c r="I302" s="57"/>
      <c r="J302" s="53"/>
      <c r="K302" s="56"/>
      <c r="L302" s="57"/>
      <c r="M302" s="58"/>
      <c r="N302" s="56"/>
      <c r="O302" s="57"/>
      <c r="P302" s="58">
        <f t="shared" si="16"/>
        <v>8.64</v>
      </c>
      <c r="Q302" s="59">
        <f t="shared" si="17"/>
        <v>21600</v>
      </c>
      <c r="R302" s="35">
        <v>12</v>
      </c>
      <c r="S302" s="19">
        <v>0</v>
      </c>
      <c r="T302" s="23">
        <v>0</v>
      </c>
      <c r="U302" s="24">
        <v>0</v>
      </c>
      <c r="V302" s="33">
        <v>0</v>
      </c>
      <c r="W302" s="34">
        <v>0</v>
      </c>
      <c r="X302" s="35">
        <v>0</v>
      </c>
      <c r="Y302" s="19">
        <v>0</v>
      </c>
      <c r="Z302" s="23">
        <v>0</v>
      </c>
      <c r="AA302" s="24">
        <v>0</v>
      </c>
      <c r="AB302" s="33">
        <v>0</v>
      </c>
      <c r="AC302" s="34">
        <v>0</v>
      </c>
      <c r="AD302" s="35">
        <v>0</v>
      </c>
      <c r="AE302" s="36">
        <v>0</v>
      </c>
      <c r="AF302" s="23">
        <v>0</v>
      </c>
      <c r="AG302" s="24">
        <v>0</v>
      </c>
      <c r="AH302" s="33">
        <v>0</v>
      </c>
      <c r="AI302" s="37">
        <v>0</v>
      </c>
      <c r="AJ302" s="35">
        <v>0</v>
      </c>
      <c r="AK302" s="36">
        <v>0</v>
      </c>
      <c r="AL302" s="38">
        <v>0</v>
      </c>
      <c r="AM302" s="35">
        <v>0</v>
      </c>
      <c r="AN302" s="19">
        <v>0</v>
      </c>
      <c r="AO302" s="23">
        <v>0</v>
      </c>
      <c r="AP302" s="24">
        <v>0</v>
      </c>
      <c r="AQ302" s="58">
        <f t="shared" si="18"/>
        <v>8.64</v>
      </c>
      <c r="AR302" s="59">
        <f t="shared" si="19"/>
        <v>21600</v>
      </c>
      <c r="AS302" s="35">
        <v>12</v>
      </c>
    </row>
    <row r="303" spans="1:45" ht="16" x14ac:dyDescent="0.2">
      <c r="A303" s="53">
        <v>299</v>
      </c>
      <c r="B303" s="55" t="s">
        <v>307</v>
      </c>
      <c r="C303" s="54" t="s">
        <v>326</v>
      </c>
      <c r="D303" s="350"/>
      <c r="E303" s="53"/>
      <c r="F303" s="56"/>
      <c r="G303" s="53"/>
      <c r="H303" s="56"/>
      <c r="I303" s="57"/>
      <c r="J303" s="53"/>
      <c r="K303" s="56"/>
      <c r="L303" s="57"/>
      <c r="M303" s="58"/>
      <c r="N303" s="56"/>
      <c r="O303" s="57"/>
      <c r="P303" s="58">
        <f t="shared" si="16"/>
        <v>0</v>
      </c>
      <c r="Q303" s="59">
        <f t="shared" si="17"/>
        <v>0</v>
      </c>
      <c r="R303" s="35">
        <v>0</v>
      </c>
      <c r="S303" s="19">
        <v>0</v>
      </c>
      <c r="T303" s="23">
        <v>0</v>
      </c>
      <c r="U303" s="24">
        <v>0</v>
      </c>
      <c r="V303" s="33">
        <v>0</v>
      </c>
      <c r="W303" s="34">
        <v>0</v>
      </c>
      <c r="X303" s="35">
        <v>0</v>
      </c>
      <c r="Y303" s="19">
        <v>0</v>
      </c>
      <c r="Z303" s="23">
        <v>0</v>
      </c>
      <c r="AA303" s="24">
        <v>0</v>
      </c>
      <c r="AB303" s="33">
        <v>0</v>
      </c>
      <c r="AC303" s="34">
        <v>0</v>
      </c>
      <c r="AD303" s="35">
        <v>0</v>
      </c>
      <c r="AE303" s="36">
        <v>0</v>
      </c>
      <c r="AF303" s="23">
        <v>0</v>
      </c>
      <c r="AG303" s="24">
        <v>0</v>
      </c>
      <c r="AH303" s="33">
        <v>0</v>
      </c>
      <c r="AI303" s="37">
        <v>0</v>
      </c>
      <c r="AJ303" s="35">
        <v>0</v>
      </c>
      <c r="AK303" s="36">
        <v>0</v>
      </c>
      <c r="AL303" s="38">
        <v>0</v>
      </c>
      <c r="AM303" s="35">
        <v>0</v>
      </c>
      <c r="AN303" s="19">
        <v>0</v>
      </c>
      <c r="AO303" s="23">
        <v>0</v>
      </c>
      <c r="AP303" s="24">
        <v>0</v>
      </c>
      <c r="AQ303" s="58">
        <f t="shared" si="18"/>
        <v>0</v>
      </c>
      <c r="AR303" s="59">
        <f t="shared" si="19"/>
        <v>0</v>
      </c>
      <c r="AS303" s="35">
        <v>0</v>
      </c>
    </row>
    <row r="304" spans="1:45" ht="16" x14ac:dyDescent="0.2">
      <c r="A304" s="53">
        <v>300</v>
      </c>
      <c r="B304" s="55" t="s">
        <v>327</v>
      </c>
      <c r="C304" s="54" t="s">
        <v>328</v>
      </c>
      <c r="D304" s="350"/>
      <c r="E304" s="53"/>
      <c r="F304" s="56"/>
      <c r="G304" s="53"/>
      <c r="H304" s="56"/>
      <c r="I304" s="57"/>
      <c r="J304" s="53"/>
      <c r="K304" s="56"/>
      <c r="L304" s="57"/>
      <c r="M304" s="58"/>
      <c r="N304" s="56"/>
      <c r="O304" s="57"/>
      <c r="P304" s="58">
        <f t="shared" si="16"/>
        <v>1.44</v>
      </c>
      <c r="Q304" s="59">
        <f t="shared" si="17"/>
        <v>3600</v>
      </c>
      <c r="R304" s="35">
        <v>2</v>
      </c>
      <c r="S304" s="19">
        <v>0</v>
      </c>
      <c r="T304" s="23">
        <v>0</v>
      </c>
      <c r="U304" s="24">
        <v>0</v>
      </c>
      <c r="V304" s="33">
        <v>0</v>
      </c>
      <c r="W304" s="34">
        <v>0</v>
      </c>
      <c r="X304" s="35">
        <v>0</v>
      </c>
      <c r="Y304" s="19">
        <v>0</v>
      </c>
      <c r="Z304" s="23">
        <v>0</v>
      </c>
      <c r="AA304" s="24">
        <v>0</v>
      </c>
      <c r="AB304" s="33">
        <v>0</v>
      </c>
      <c r="AC304" s="34">
        <v>0</v>
      </c>
      <c r="AD304" s="35">
        <v>0</v>
      </c>
      <c r="AE304" s="36">
        <v>0</v>
      </c>
      <c r="AF304" s="23">
        <v>0</v>
      </c>
      <c r="AG304" s="24">
        <v>0</v>
      </c>
      <c r="AH304" s="33">
        <v>0</v>
      </c>
      <c r="AI304" s="37">
        <v>0</v>
      </c>
      <c r="AJ304" s="35">
        <v>0</v>
      </c>
      <c r="AK304" s="36">
        <v>0</v>
      </c>
      <c r="AL304" s="38">
        <v>0</v>
      </c>
      <c r="AM304" s="35">
        <v>0</v>
      </c>
      <c r="AN304" s="19">
        <v>0</v>
      </c>
      <c r="AO304" s="23">
        <v>0</v>
      </c>
      <c r="AP304" s="24">
        <v>0</v>
      </c>
      <c r="AQ304" s="58">
        <f t="shared" si="18"/>
        <v>1.44</v>
      </c>
      <c r="AR304" s="59">
        <f t="shared" si="19"/>
        <v>3600</v>
      </c>
      <c r="AS304" s="35">
        <v>2</v>
      </c>
    </row>
    <row r="305" spans="1:45" ht="16" x14ac:dyDescent="0.2">
      <c r="A305" s="53">
        <v>301</v>
      </c>
      <c r="B305" s="55" t="s">
        <v>327</v>
      </c>
      <c r="C305" s="54" t="s">
        <v>329</v>
      </c>
      <c r="D305" s="350"/>
      <c r="E305" s="53"/>
      <c r="F305" s="56"/>
      <c r="G305" s="53"/>
      <c r="H305" s="56"/>
      <c r="I305" s="57"/>
      <c r="J305" s="53"/>
      <c r="K305" s="56"/>
      <c r="L305" s="57"/>
      <c r="M305" s="58"/>
      <c r="N305" s="56"/>
      <c r="O305" s="57"/>
      <c r="P305" s="58">
        <f t="shared" si="16"/>
        <v>3.6</v>
      </c>
      <c r="Q305" s="59">
        <f t="shared" si="17"/>
        <v>9000</v>
      </c>
      <c r="R305" s="35">
        <v>5</v>
      </c>
      <c r="S305" s="19">
        <v>0</v>
      </c>
      <c r="T305" s="23">
        <v>0</v>
      </c>
      <c r="U305" s="24">
        <v>0</v>
      </c>
      <c r="V305" s="33">
        <v>0</v>
      </c>
      <c r="W305" s="34">
        <v>0</v>
      </c>
      <c r="X305" s="35">
        <v>0</v>
      </c>
      <c r="Y305" s="19">
        <v>0</v>
      </c>
      <c r="Z305" s="23">
        <v>0</v>
      </c>
      <c r="AA305" s="24">
        <v>0</v>
      </c>
      <c r="AB305" s="33">
        <v>0</v>
      </c>
      <c r="AC305" s="34">
        <v>0</v>
      </c>
      <c r="AD305" s="35">
        <v>0</v>
      </c>
      <c r="AE305" s="36">
        <v>0</v>
      </c>
      <c r="AF305" s="23">
        <v>0</v>
      </c>
      <c r="AG305" s="24">
        <v>0</v>
      </c>
      <c r="AH305" s="33">
        <v>0</v>
      </c>
      <c r="AI305" s="37">
        <v>0</v>
      </c>
      <c r="AJ305" s="35">
        <v>0</v>
      </c>
      <c r="AK305" s="36">
        <v>0</v>
      </c>
      <c r="AL305" s="38">
        <v>0</v>
      </c>
      <c r="AM305" s="35">
        <v>0</v>
      </c>
      <c r="AN305" s="19">
        <v>0</v>
      </c>
      <c r="AO305" s="23">
        <v>0</v>
      </c>
      <c r="AP305" s="24">
        <v>0</v>
      </c>
      <c r="AQ305" s="58">
        <f t="shared" si="18"/>
        <v>3.6</v>
      </c>
      <c r="AR305" s="59">
        <f t="shared" si="19"/>
        <v>9000</v>
      </c>
      <c r="AS305" s="35">
        <v>5</v>
      </c>
    </row>
    <row r="306" spans="1:45" ht="16" x14ac:dyDescent="0.2">
      <c r="A306" s="53">
        <v>302</v>
      </c>
      <c r="B306" s="55" t="s">
        <v>327</v>
      </c>
      <c r="C306" s="54" t="s">
        <v>330</v>
      </c>
      <c r="D306" s="350"/>
      <c r="E306" s="53"/>
      <c r="F306" s="56"/>
      <c r="G306" s="53"/>
      <c r="H306" s="56"/>
      <c r="I306" s="57"/>
      <c r="J306" s="53"/>
      <c r="K306" s="56"/>
      <c r="L306" s="57"/>
      <c r="M306" s="58"/>
      <c r="N306" s="56"/>
      <c r="O306" s="57"/>
      <c r="P306" s="58">
        <f t="shared" si="16"/>
        <v>2.88</v>
      </c>
      <c r="Q306" s="59">
        <f t="shared" si="17"/>
        <v>7200</v>
      </c>
      <c r="R306" s="35">
        <v>4</v>
      </c>
      <c r="S306" s="19">
        <v>0</v>
      </c>
      <c r="T306" s="23">
        <v>0</v>
      </c>
      <c r="U306" s="24">
        <v>0</v>
      </c>
      <c r="V306" s="33">
        <v>0</v>
      </c>
      <c r="W306" s="34">
        <v>0</v>
      </c>
      <c r="X306" s="35">
        <v>0</v>
      </c>
      <c r="Y306" s="19">
        <v>0</v>
      </c>
      <c r="Z306" s="23">
        <v>0</v>
      </c>
      <c r="AA306" s="24">
        <v>0</v>
      </c>
      <c r="AB306" s="33">
        <v>0</v>
      </c>
      <c r="AC306" s="34">
        <v>0</v>
      </c>
      <c r="AD306" s="35">
        <v>0</v>
      </c>
      <c r="AE306" s="36">
        <v>0</v>
      </c>
      <c r="AF306" s="23">
        <v>0</v>
      </c>
      <c r="AG306" s="24">
        <v>0</v>
      </c>
      <c r="AH306" s="33">
        <v>0</v>
      </c>
      <c r="AI306" s="37">
        <v>0</v>
      </c>
      <c r="AJ306" s="35">
        <v>0</v>
      </c>
      <c r="AK306" s="36">
        <v>0</v>
      </c>
      <c r="AL306" s="38">
        <v>0</v>
      </c>
      <c r="AM306" s="35">
        <v>0</v>
      </c>
      <c r="AN306" s="19">
        <v>0</v>
      </c>
      <c r="AO306" s="23">
        <v>0</v>
      </c>
      <c r="AP306" s="24">
        <v>0</v>
      </c>
      <c r="AQ306" s="58">
        <f t="shared" si="18"/>
        <v>2.88</v>
      </c>
      <c r="AR306" s="59">
        <f t="shared" si="19"/>
        <v>7200</v>
      </c>
      <c r="AS306" s="35">
        <v>4</v>
      </c>
    </row>
    <row r="307" spans="1:45" ht="16" x14ac:dyDescent="0.2">
      <c r="A307" s="53">
        <v>303</v>
      </c>
      <c r="B307" s="55" t="s">
        <v>327</v>
      </c>
      <c r="C307" s="54" t="s">
        <v>331</v>
      </c>
      <c r="D307" s="350"/>
      <c r="E307" s="53"/>
      <c r="F307" s="56"/>
      <c r="G307" s="53"/>
      <c r="H307" s="56"/>
      <c r="I307" s="57"/>
      <c r="J307" s="53"/>
      <c r="K307" s="56"/>
      <c r="L307" s="57"/>
      <c r="M307" s="58"/>
      <c r="N307" s="56"/>
      <c r="O307" s="57"/>
      <c r="P307" s="58">
        <f t="shared" si="16"/>
        <v>5.04</v>
      </c>
      <c r="Q307" s="59">
        <f t="shared" si="17"/>
        <v>12600</v>
      </c>
      <c r="R307" s="35">
        <v>7</v>
      </c>
      <c r="S307" s="19">
        <v>0</v>
      </c>
      <c r="T307" s="23">
        <v>0</v>
      </c>
      <c r="U307" s="24">
        <v>0</v>
      </c>
      <c r="V307" s="33">
        <v>0</v>
      </c>
      <c r="W307" s="34">
        <v>0</v>
      </c>
      <c r="X307" s="35">
        <v>0</v>
      </c>
      <c r="Y307" s="19">
        <v>0</v>
      </c>
      <c r="Z307" s="23">
        <v>0</v>
      </c>
      <c r="AA307" s="24">
        <v>0</v>
      </c>
      <c r="AB307" s="33">
        <v>0</v>
      </c>
      <c r="AC307" s="34">
        <v>0</v>
      </c>
      <c r="AD307" s="35">
        <v>0</v>
      </c>
      <c r="AE307" s="36">
        <v>0</v>
      </c>
      <c r="AF307" s="23">
        <v>0</v>
      </c>
      <c r="AG307" s="24">
        <v>0</v>
      </c>
      <c r="AH307" s="33">
        <v>0</v>
      </c>
      <c r="AI307" s="37">
        <v>0</v>
      </c>
      <c r="AJ307" s="35">
        <v>0</v>
      </c>
      <c r="AK307" s="36">
        <v>0</v>
      </c>
      <c r="AL307" s="38">
        <v>0</v>
      </c>
      <c r="AM307" s="35">
        <v>0</v>
      </c>
      <c r="AN307" s="19">
        <v>0</v>
      </c>
      <c r="AO307" s="23">
        <v>0</v>
      </c>
      <c r="AP307" s="24">
        <v>0</v>
      </c>
      <c r="AQ307" s="58">
        <f t="shared" si="18"/>
        <v>5.04</v>
      </c>
      <c r="AR307" s="59">
        <f t="shared" si="19"/>
        <v>12600</v>
      </c>
      <c r="AS307" s="35">
        <v>7</v>
      </c>
    </row>
    <row r="308" spans="1:45" ht="16" x14ac:dyDescent="0.2">
      <c r="A308" s="53">
        <v>304</v>
      </c>
      <c r="B308" s="55" t="s">
        <v>327</v>
      </c>
      <c r="C308" s="54" t="s">
        <v>332</v>
      </c>
      <c r="D308" s="350"/>
      <c r="E308" s="53"/>
      <c r="F308" s="56"/>
      <c r="G308" s="53"/>
      <c r="H308" s="56"/>
      <c r="I308" s="57"/>
      <c r="J308" s="53"/>
      <c r="K308" s="56"/>
      <c r="L308" s="57"/>
      <c r="M308" s="58"/>
      <c r="N308" s="56"/>
      <c r="O308" s="57"/>
      <c r="P308" s="58">
        <f t="shared" si="16"/>
        <v>2.88</v>
      </c>
      <c r="Q308" s="59">
        <f t="shared" si="17"/>
        <v>7200</v>
      </c>
      <c r="R308" s="35">
        <v>4</v>
      </c>
      <c r="S308" s="19">
        <v>0</v>
      </c>
      <c r="T308" s="23">
        <v>0</v>
      </c>
      <c r="U308" s="24">
        <v>0</v>
      </c>
      <c r="V308" s="33">
        <v>0</v>
      </c>
      <c r="W308" s="34">
        <v>0</v>
      </c>
      <c r="X308" s="35">
        <v>0</v>
      </c>
      <c r="Y308" s="19">
        <v>0</v>
      </c>
      <c r="Z308" s="23">
        <v>0</v>
      </c>
      <c r="AA308" s="24">
        <v>0</v>
      </c>
      <c r="AB308" s="33">
        <v>0</v>
      </c>
      <c r="AC308" s="34">
        <v>0</v>
      </c>
      <c r="AD308" s="35">
        <v>0</v>
      </c>
      <c r="AE308" s="36">
        <v>0</v>
      </c>
      <c r="AF308" s="23">
        <v>0</v>
      </c>
      <c r="AG308" s="24">
        <v>0</v>
      </c>
      <c r="AH308" s="33">
        <v>0</v>
      </c>
      <c r="AI308" s="37">
        <v>0</v>
      </c>
      <c r="AJ308" s="35">
        <v>0</v>
      </c>
      <c r="AK308" s="36">
        <v>0</v>
      </c>
      <c r="AL308" s="38">
        <v>0</v>
      </c>
      <c r="AM308" s="35">
        <v>0</v>
      </c>
      <c r="AN308" s="19">
        <v>0</v>
      </c>
      <c r="AO308" s="23">
        <v>0</v>
      </c>
      <c r="AP308" s="24">
        <v>0</v>
      </c>
      <c r="AQ308" s="58">
        <f t="shared" si="18"/>
        <v>2.88</v>
      </c>
      <c r="AR308" s="59">
        <f t="shared" si="19"/>
        <v>7200</v>
      </c>
      <c r="AS308" s="35">
        <v>4</v>
      </c>
    </row>
    <row r="309" spans="1:45" ht="16" x14ac:dyDescent="0.2">
      <c r="A309" s="53">
        <v>305</v>
      </c>
      <c r="B309" s="55" t="s">
        <v>327</v>
      </c>
      <c r="C309" s="54" t="s">
        <v>333</v>
      </c>
      <c r="D309" s="350"/>
      <c r="E309" s="53"/>
      <c r="F309" s="56"/>
      <c r="G309" s="53"/>
      <c r="H309" s="56"/>
      <c r="I309" s="57"/>
      <c r="J309" s="53"/>
      <c r="K309" s="56"/>
      <c r="L309" s="57"/>
      <c r="M309" s="58"/>
      <c r="N309" s="56"/>
      <c r="O309" s="57"/>
      <c r="P309" s="58">
        <f t="shared" si="16"/>
        <v>0.72</v>
      </c>
      <c r="Q309" s="59">
        <f t="shared" si="17"/>
        <v>1800</v>
      </c>
      <c r="R309" s="35">
        <v>1</v>
      </c>
      <c r="S309" s="19">
        <v>0</v>
      </c>
      <c r="T309" s="23">
        <v>0</v>
      </c>
      <c r="U309" s="24">
        <v>0</v>
      </c>
      <c r="V309" s="33">
        <v>0</v>
      </c>
      <c r="W309" s="34">
        <v>0</v>
      </c>
      <c r="X309" s="35">
        <v>0</v>
      </c>
      <c r="Y309" s="19">
        <v>0</v>
      </c>
      <c r="Z309" s="23">
        <v>0</v>
      </c>
      <c r="AA309" s="24">
        <v>0</v>
      </c>
      <c r="AB309" s="33">
        <v>0</v>
      </c>
      <c r="AC309" s="34">
        <v>0</v>
      </c>
      <c r="AD309" s="35">
        <v>0</v>
      </c>
      <c r="AE309" s="36">
        <v>0</v>
      </c>
      <c r="AF309" s="23">
        <v>0</v>
      </c>
      <c r="AG309" s="24">
        <v>0</v>
      </c>
      <c r="AH309" s="33">
        <v>0</v>
      </c>
      <c r="AI309" s="37">
        <v>0</v>
      </c>
      <c r="AJ309" s="35">
        <v>0</v>
      </c>
      <c r="AK309" s="36">
        <v>0</v>
      </c>
      <c r="AL309" s="38">
        <v>0</v>
      </c>
      <c r="AM309" s="35">
        <v>0</v>
      </c>
      <c r="AN309" s="19">
        <v>0</v>
      </c>
      <c r="AO309" s="23">
        <v>0</v>
      </c>
      <c r="AP309" s="24">
        <v>0</v>
      </c>
      <c r="AQ309" s="58">
        <f t="shared" si="18"/>
        <v>0.72</v>
      </c>
      <c r="AR309" s="59">
        <f t="shared" si="19"/>
        <v>1800</v>
      </c>
      <c r="AS309" s="35">
        <v>1</v>
      </c>
    </row>
    <row r="310" spans="1:45" ht="16" x14ac:dyDescent="0.2">
      <c r="A310" s="53">
        <v>306</v>
      </c>
      <c r="B310" s="55" t="s">
        <v>327</v>
      </c>
      <c r="C310" s="54" t="s">
        <v>334</v>
      </c>
      <c r="D310" s="350"/>
      <c r="E310" s="53"/>
      <c r="F310" s="56"/>
      <c r="G310" s="53"/>
      <c r="H310" s="56"/>
      <c r="I310" s="57"/>
      <c r="J310" s="53"/>
      <c r="K310" s="56"/>
      <c r="L310" s="57"/>
      <c r="M310" s="58"/>
      <c r="N310" s="56"/>
      <c r="O310" s="57"/>
      <c r="P310" s="58">
        <f t="shared" si="16"/>
        <v>2.88</v>
      </c>
      <c r="Q310" s="59">
        <f t="shared" si="17"/>
        <v>7200</v>
      </c>
      <c r="R310" s="35">
        <v>4</v>
      </c>
      <c r="S310" s="19">
        <v>0</v>
      </c>
      <c r="T310" s="23">
        <v>0</v>
      </c>
      <c r="U310" s="24">
        <v>0</v>
      </c>
      <c r="V310" s="33">
        <v>0</v>
      </c>
      <c r="W310" s="34">
        <v>0</v>
      </c>
      <c r="X310" s="35">
        <v>0</v>
      </c>
      <c r="Y310" s="19">
        <v>0</v>
      </c>
      <c r="Z310" s="23">
        <v>0</v>
      </c>
      <c r="AA310" s="24">
        <v>0</v>
      </c>
      <c r="AB310" s="33">
        <v>0</v>
      </c>
      <c r="AC310" s="34">
        <v>0</v>
      </c>
      <c r="AD310" s="35">
        <v>0</v>
      </c>
      <c r="AE310" s="36">
        <v>0</v>
      </c>
      <c r="AF310" s="23">
        <v>0</v>
      </c>
      <c r="AG310" s="24">
        <v>0</v>
      </c>
      <c r="AH310" s="33">
        <v>0</v>
      </c>
      <c r="AI310" s="37">
        <v>0</v>
      </c>
      <c r="AJ310" s="35">
        <v>0</v>
      </c>
      <c r="AK310" s="36">
        <v>0</v>
      </c>
      <c r="AL310" s="38">
        <v>0</v>
      </c>
      <c r="AM310" s="35">
        <v>0</v>
      </c>
      <c r="AN310" s="19">
        <v>0</v>
      </c>
      <c r="AO310" s="23">
        <v>0</v>
      </c>
      <c r="AP310" s="24">
        <v>0</v>
      </c>
      <c r="AQ310" s="58">
        <f t="shared" si="18"/>
        <v>2.88</v>
      </c>
      <c r="AR310" s="59">
        <f t="shared" si="19"/>
        <v>7200</v>
      </c>
      <c r="AS310" s="35">
        <v>4</v>
      </c>
    </row>
    <row r="311" spans="1:45" ht="16" x14ac:dyDescent="0.2">
      <c r="A311" s="53">
        <v>307</v>
      </c>
      <c r="B311" s="55" t="s">
        <v>327</v>
      </c>
      <c r="C311" s="54" t="s">
        <v>335</v>
      </c>
      <c r="D311" s="350" t="s">
        <v>25</v>
      </c>
      <c r="E311" s="53"/>
      <c r="F311" s="56"/>
      <c r="G311" s="53"/>
      <c r="H311" s="56"/>
      <c r="I311" s="57"/>
      <c r="J311" s="53"/>
      <c r="K311" s="56"/>
      <c r="L311" s="57"/>
      <c r="M311" s="58"/>
      <c r="N311" s="56"/>
      <c r="O311" s="57"/>
      <c r="P311" s="58">
        <f t="shared" si="16"/>
        <v>4.32</v>
      </c>
      <c r="Q311" s="59">
        <f t="shared" si="17"/>
        <v>10800</v>
      </c>
      <c r="R311" s="35">
        <v>6</v>
      </c>
      <c r="S311" s="19">
        <v>0</v>
      </c>
      <c r="T311" s="23">
        <v>0</v>
      </c>
      <c r="U311" s="24">
        <v>0</v>
      </c>
      <c r="V311" s="33">
        <v>0</v>
      </c>
      <c r="W311" s="34">
        <v>0</v>
      </c>
      <c r="X311" s="35">
        <v>0</v>
      </c>
      <c r="Y311" s="19">
        <v>0</v>
      </c>
      <c r="Z311" s="23">
        <v>0</v>
      </c>
      <c r="AA311" s="24">
        <v>0</v>
      </c>
      <c r="AB311" s="33">
        <v>0</v>
      </c>
      <c r="AC311" s="34">
        <v>0</v>
      </c>
      <c r="AD311" s="35">
        <v>0</v>
      </c>
      <c r="AE311" s="36">
        <v>0</v>
      </c>
      <c r="AF311" s="23">
        <v>0</v>
      </c>
      <c r="AG311" s="24">
        <v>0</v>
      </c>
      <c r="AH311" s="33">
        <v>0</v>
      </c>
      <c r="AI311" s="37">
        <v>0</v>
      </c>
      <c r="AJ311" s="35">
        <v>0</v>
      </c>
      <c r="AK311" s="36">
        <v>0</v>
      </c>
      <c r="AL311" s="38">
        <v>0</v>
      </c>
      <c r="AM311" s="35">
        <v>0</v>
      </c>
      <c r="AN311" s="19">
        <v>0</v>
      </c>
      <c r="AO311" s="23">
        <v>0</v>
      </c>
      <c r="AP311" s="24">
        <v>0</v>
      </c>
      <c r="AQ311" s="58">
        <f t="shared" si="18"/>
        <v>4.32</v>
      </c>
      <c r="AR311" s="59">
        <f t="shared" si="19"/>
        <v>10800</v>
      </c>
      <c r="AS311" s="35">
        <v>6</v>
      </c>
    </row>
    <row r="312" spans="1:45" ht="16" x14ac:dyDescent="0.2">
      <c r="A312" s="53">
        <v>308</v>
      </c>
      <c r="B312" s="55" t="s">
        <v>327</v>
      </c>
      <c r="C312" s="54" t="s">
        <v>336</v>
      </c>
      <c r="D312" s="350"/>
      <c r="E312" s="53"/>
      <c r="F312" s="56"/>
      <c r="G312" s="53"/>
      <c r="H312" s="56"/>
      <c r="I312" s="57"/>
      <c r="J312" s="53"/>
      <c r="K312" s="56"/>
      <c r="L312" s="57"/>
      <c r="M312" s="58"/>
      <c r="N312" s="56"/>
      <c r="O312" s="57"/>
      <c r="P312" s="58">
        <f t="shared" si="16"/>
        <v>1.44</v>
      </c>
      <c r="Q312" s="59">
        <f t="shared" si="17"/>
        <v>3600</v>
      </c>
      <c r="R312" s="35">
        <v>2</v>
      </c>
      <c r="S312" s="19">
        <v>0</v>
      </c>
      <c r="T312" s="23">
        <v>0</v>
      </c>
      <c r="U312" s="24">
        <v>0</v>
      </c>
      <c r="V312" s="33">
        <v>0</v>
      </c>
      <c r="W312" s="34">
        <v>0</v>
      </c>
      <c r="X312" s="35">
        <v>0</v>
      </c>
      <c r="Y312" s="19">
        <v>0</v>
      </c>
      <c r="Z312" s="23">
        <v>0</v>
      </c>
      <c r="AA312" s="24">
        <v>0</v>
      </c>
      <c r="AB312" s="33">
        <v>0</v>
      </c>
      <c r="AC312" s="34">
        <v>0</v>
      </c>
      <c r="AD312" s="35">
        <v>0</v>
      </c>
      <c r="AE312" s="36">
        <v>0</v>
      </c>
      <c r="AF312" s="23">
        <v>0</v>
      </c>
      <c r="AG312" s="24">
        <v>0</v>
      </c>
      <c r="AH312" s="33">
        <v>0</v>
      </c>
      <c r="AI312" s="37">
        <v>0</v>
      </c>
      <c r="AJ312" s="35">
        <v>0</v>
      </c>
      <c r="AK312" s="36">
        <v>0</v>
      </c>
      <c r="AL312" s="38">
        <v>0</v>
      </c>
      <c r="AM312" s="35">
        <v>0</v>
      </c>
      <c r="AN312" s="19">
        <v>0</v>
      </c>
      <c r="AO312" s="23">
        <v>0</v>
      </c>
      <c r="AP312" s="24">
        <v>0</v>
      </c>
      <c r="AQ312" s="58">
        <f t="shared" si="18"/>
        <v>1.44</v>
      </c>
      <c r="AR312" s="59">
        <f t="shared" si="19"/>
        <v>3600</v>
      </c>
      <c r="AS312" s="35">
        <v>2</v>
      </c>
    </row>
    <row r="313" spans="1:45" ht="16" x14ac:dyDescent="0.2">
      <c r="A313" s="53">
        <v>309</v>
      </c>
      <c r="B313" s="55" t="s">
        <v>327</v>
      </c>
      <c r="C313" s="54" t="s">
        <v>337</v>
      </c>
      <c r="D313" s="350"/>
      <c r="E313" s="53"/>
      <c r="F313" s="56"/>
      <c r="G313" s="53"/>
      <c r="H313" s="56"/>
      <c r="I313" s="57"/>
      <c r="J313" s="53"/>
      <c r="K313" s="56"/>
      <c r="L313" s="57"/>
      <c r="M313" s="58"/>
      <c r="N313" s="56"/>
      <c r="O313" s="57"/>
      <c r="P313" s="58">
        <f t="shared" si="16"/>
        <v>6.48</v>
      </c>
      <c r="Q313" s="59">
        <f t="shared" si="17"/>
        <v>16200</v>
      </c>
      <c r="R313" s="35">
        <v>9</v>
      </c>
      <c r="S313" s="19">
        <v>0</v>
      </c>
      <c r="T313" s="23">
        <v>0</v>
      </c>
      <c r="U313" s="24">
        <v>0</v>
      </c>
      <c r="V313" s="33">
        <v>0</v>
      </c>
      <c r="W313" s="34">
        <v>0</v>
      </c>
      <c r="X313" s="35">
        <v>0</v>
      </c>
      <c r="Y313" s="19">
        <v>0</v>
      </c>
      <c r="Z313" s="23">
        <v>0</v>
      </c>
      <c r="AA313" s="24">
        <v>0</v>
      </c>
      <c r="AB313" s="33">
        <v>0</v>
      </c>
      <c r="AC313" s="34">
        <v>0</v>
      </c>
      <c r="AD313" s="35">
        <v>0</v>
      </c>
      <c r="AE313" s="36">
        <v>0</v>
      </c>
      <c r="AF313" s="23">
        <v>0</v>
      </c>
      <c r="AG313" s="24">
        <v>0</v>
      </c>
      <c r="AH313" s="33">
        <v>0</v>
      </c>
      <c r="AI313" s="37">
        <v>0</v>
      </c>
      <c r="AJ313" s="35">
        <v>0</v>
      </c>
      <c r="AK313" s="36">
        <v>0</v>
      </c>
      <c r="AL313" s="38">
        <v>0</v>
      </c>
      <c r="AM313" s="35">
        <v>0</v>
      </c>
      <c r="AN313" s="19">
        <v>0</v>
      </c>
      <c r="AO313" s="23">
        <v>0</v>
      </c>
      <c r="AP313" s="24">
        <v>0</v>
      </c>
      <c r="AQ313" s="58">
        <f t="shared" si="18"/>
        <v>6.48</v>
      </c>
      <c r="AR313" s="59">
        <f t="shared" si="19"/>
        <v>16200</v>
      </c>
      <c r="AS313" s="35">
        <v>9</v>
      </c>
    </row>
    <row r="314" spans="1:45" ht="16" x14ac:dyDescent="0.2">
      <c r="A314" s="53">
        <v>310</v>
      </c>
      <c r="B314" s="55" t="s">
        <v>327</v>
      </c>
      <c r="C314" s="54" t="s">
        <v>338</v>
      </c>
      <c r="D314" s="350"/>
      <c r="E314" s="53"/>
      <c r="F314" s="56"/>
      <c r="G314" s="53"/>
      <c r="H314" s="56"/>
      <c r="I314" s="57"/>
      <c r="J314" s="53"/>
      <c r="K314" s="56"/>
      <c r="L314" s="57"/>
      <c r="M314" s="58"/>
      <c r="N314" s="56"/>
      <c r="O314" s="57"/>
      <c r="P314" s="58">
        <f t="shared" si="16"/>
        <v>0.72</v>
      </c>
      <c r="Q314" s="59">
        <f t="shared" si="17"/>
        <v>1800</v>
      </c>
      <c r="R314" s="35">
        <v>1</v>
      </c>
      <c r="S314" s="19">
        <v>0</v>
      </c>
      <c r="T314" s="23">
        <v>0</v>
      </c>
      <c r="U314" s="24">
        <v>0</v>
      </c>
      <c r="V314" s="33">
        <v>0</v>
      </c>
      <c r="W314" s="34">
        <v>0</v>
      </c>
      <c r="X314" s="35">
        <v>0</v>
      </c>
      <c r="Y314" s="19">
        <v>0</v>
      </c>
      <c r="Z314" s="23">
        <v>0</v>
      </c>
      <c r="AA314" s="24">
        <v>0</v>
      </c>
      <c r="AB314" s="33">
        <v>0</v>
      </c>
      <c r="AC314" s="34">
        <v>0</v>
      </c>
      <c r="AD314" s="35">
        <v>0</v>
      </c>
      <c r="AE314" s="36">
        <v>0</v>
      </c>
      <c r="AF314" s="23">
        <v>0</v>
      </c>
      <c r="AG314" s="24">
        <v>0</v>
      </c>
      <c r="AH314" s="33">
        <v>0</v>
      </c>
      <c r="AI314" s="37">
        <v>0</v>
      </c>
      <c r="AJ314" s="35">
        <v>0</v>
      </c>
      <c r="AK314" s="36">
        <v>0</v>
      </c>
      <c r="AL314" s="38">
        <v>0</v>
      </c>
      <c r="AM314" s="35">
        <v>0</v>
      </c>
      <c r="AN314" s="19">
        <v>0</v>
      </c>
      <c r="AO314" s="23">
        <v>0</v>
      </c>
      <c r="AP314" s="24">
        <v>0</v>
      </c>
      <c r="AQ314" s="58">
        <f t="shared" si="18"/>
        <v>0.72</v>
      </c>
      <c r="AR314" s="59">
        <f t="shared" si="19"/>
        <v>1800</v>
      </c>
      <c r="AS314" s="35">
        <v>1</v>
      </c>
    </row>
    <row r="315" spans="1:45" ht="16" x14ac:dyDescent="0.2">
      <c r="A315" s="53">
        <v>311</v>
      </c>
      <c r="B315" s="55" t="s">
        <v>327</v>
      </c>
      <c r="C315" s="54" t="s">
        <v>339</v>
      </c>
      <c r="D315" s="350"/>
      <c r="E315" s="53"/>
      <c r="F315" s="56"/>
      <c r="G315" s="53"/>
      <c r="H315" s="56"/>
      <c r="I315" s="57"/>
      <c r="J315" s="53"/>
      <c r="K315" s="56"/>
      <c r="L315" s="57"/>
      <c r="M315" s="58"/>
      <c r="N315" s="56"/>
      <c r="O315" s="57"/>
      <c r="P315" s="58">
        <f t="shared" si="16"/>
        <v>2.16</v>
      </c>
      <c r="Q315" s="59">
        <f t="shared" si="17"/>
        <v>5400</v>
      </c>
      <c r="R315" s="35">
        <v>3</v>
      </c>
      <c r="S315" s="19">
        <v>0</v>
      </c>
      <c r="T315" s="23">
        <v>0</v>
      </c>
      <c r="U315" s="24">
        <v>0</v>
      </c>
      <c r="V315" s="33">
        <v>0</v>
      </c>
      <c r="W315" s="34">
        <v>0</v>
      </c>
      <c r="X315" s="35">
        <v>0</v>
      </c>
      <c r="Y315" s="19">
        <v>0</v>
      </c>
      <c r="Z315" s="23">
        <v>0</v>
      </c>
      <c r="AA315" s="24">
        <v>0</v>
      </c>
      <c r="AB315" s="33">
        <v>0</v>
      </c>
      <c r="AC315" s="34">
        <v>0</v>
      </c>
      <c r="AD315" s="35">
        <v>0</v>
      </c>
      <c r="AE315" s="36">
        <v>0</v>
      </c>
      <c r="AF315" s="23">
        <v>0</v>
      </c>
      <c r="AG315" s="24">
        <v>0</v>
      </c>
      <c r="AH315" s="33">
        <v>0</v>
      </c>
      <c r="AI315" s="37">
        <v>0</v>
      </c>
      <c r="AJ315" s="35">
        <v>0</v>
      </c>
      <c r="AK315" s="36">
        <v>0</v>
      </c>
      <c r="AL315" s="38">
        <v>0</v>
      </c>
      <c r="AM315" s="35">
        <v>0</v>
      </c>
      <c r="AN315" s="19">
        <v>0</v>
      </c>
      <c r="AO315" s="23">
        <v>0</v>
      </c>
      <c r="AP315" s="24">
        <v>0</v>
      </c>
      <c r="AQ315" s="58">
        <f t="shared" si="18"/>
        <v>2.16</v>
      </c>
      <c r="AR315" s="59">
        <f t="shared" si="19"/>
        <v>5400</v>
      </c>
      <c r="AS315" s="35">
        <v>3</v>
      </c>
    </row>
    <row r="316" spans="1:45" ht="16" x14ac:dyDescent="0.2">
      <c r="A316" s="53">
        <v>312</v>
      </c>
      <c r="B316" s="55" t="s">
        <v>327</v>
      </c>
      <c r="C316" s="54" t="s">
        <v>340</v>
      </c>
      <c r="D316" s="350"/>
      <c r="E316" s="53"/>
      <c r="F316" s="56"/>
      <c r="G316" s="53"/>
      <c r="H316" s="56"/>
      <c r="I316" s="57"/>
      <c r="J316" s="53"/>
      <c r="K316" s="56"/>
      <c r="L316" s="57"/>
      <c r="M316" s="58"/>
      <c r="N316" s="56"/>
      <c r="O316" s="57"/>
      <c r="P316" s="58">
        <f t="shared" si="16"/>
        <v>2.16</v>
      </c>
      <c r="Q316" s="59">
        <f t="shared" si="17"/>
        <v>5400</v>
      </c>
      <c r="R316" s="35">
        <v>3</v>
      </c>
      <c r="S316" s="19">
        <v>0</v>
      </c>
      <c r="T316" s="23">
        <v>0</v>
      </c>
      <c r="U316" s="24">
        <v>0</v>
      </c>
      <c r="V316" s="33">
        <v>0</v>
      </c>
      <c r="W316" s="34">
        <v>0</v>
      </c>
      <c r="X316" s="35">
        <v>0</v>
      </c>
      <c r="Y316" s="19">
        <v>0</v>
      </c>
      <c r="Z316" s="23">
        <v>0</v>
      </c>
      <c r="AA316" s="24">
        <v>0</v>
      </c>
      <c r="AB316" s="33">
        <v>0</v>
      </c>
      <c r="AC316" s="34">
        <v>0</v>
      </c>
      <c r="AD316" s="35">
        <v>0</v>
      </c>
      <c r="AE316" s="36">
        <v>0</v>
      </c>
      <c r="AF316" s="23">
        <v>0</v>
      </c>
      <c r="AG316" s="24">
        <v>0</v>
      </c>
      <c r="AH316" s="33">
        <v>0</v>
      </c>
      <c r="AI316" s="37">
        <v>0</v>
      </c>
      <c r="AJ316" s="35">
        <v>0</v>
      </c>
      <c r="AK316" s="36">
        <v>0</v>
      </c>
      <c r="AL316" s="38">
        <v>0</v>
      </c>
      <c r="AM316" s="35">
        <v>0</v>
      </c>
      <c r="AN316" s="19">
        <v>0</v>
      </c>
      <c r="AO316" s="23">
        <v>0</v>
      </c>
      <c r="AP316" s="24">
        <v>0</v>
      </c>
      <c r="AQ316" s="58">
        <f t="shared" si="18"/>
        <v>2.16</v>
      </c>
      <c r="AR316" s="59">
        <f t="shared" si="19"/>
        <v>5400</v>
      </c>
      <c r="AS316" s="35">
        <v>3</v>
      </c>
    </row>
    <row r="317" spans="1:45" ht="16" x14ac:dyDescent="0.2">
      <c r="A317" s="53">
        <v>313</v>
      </c>
      <c r="B317" s="55" t="s">
        <v>327</v>
      </c>
      <c r="C317" s="54" t="s">
        <v>341</v>
      </c>
      <c r="D317" s="350"/>
      <c r="E317" s="53"/>
      <c r="F317" s="56"/>
      <c r="G317" s="53"/>
      <c r="H317" s="56"/>
      <c r="I317" s="57"/>
      <c r="J317" s="53"/>
      <c r="K317" s="56"/>
      <c r="L317" s="57"/>
      <c r="M317" s="58"/>
      <c r="N317" s="56"/>
      <c r="O317" s="57"/>
      <c r="P317" s="58">
        <f t="shared" si="16"/>
        <v>3.6</v>
      </c>
      <c r="Q317" s="59">
        <f t="shared" si="17"/>
        <v>9000</v>
      </c>
      <c r="R317" s="35">
        <v>5</v>
      </c>
      <c r="S317" s="19">
        <v>0</v>
      </c>
      <c r="T317" s="23">
        <v>0</v>
      </c>
      <c r="U317" s="24">
        <v>0</v>
      </c>
      <c r="V317" s="33">
        <v>0</v>
      </c>
      <c r="W317" s="34">
        <v>0</v>
      </c>
      <c r="X317" s="35">
        <v>0</v>
      </c>
      <c r="Y317" s="19">
        <v>0</v>
      </c>
      <c r="Z317" s="23">
        <v>0</v>
      </c>
      <c r="AA317" s="24">
        <v>0</v>
      </c>
      <c r="AB317" s="33">
        <v>0</v>
      </c>
      <c r="AC317" s="34">
        <v>0</v>
      </c>
      <c r="AD317" s="35">
        <v>0</v>
      </c>
      <c r="AE317" s="36">
        <v>0</v>
      </c>
      <c r="AF317" s="23">
        <v>0</v>
      </c>
      <c r="AG317" s="24">
        <v>0</v>
      </c>
      <c r="AH317" s="33">
        <v>0</v>
      </c>
      <c r="AI317" s="37">
        <v>0</v>
      </c>
      <c r="AJ317" s="35">
        <v>0</v>
      </c>
      <c r="AK317" s="36">
        <v>0</v>
      </c>
      <c r="AL317" s="38">
        <v>0</v>
      </c>
      <c r="AM317" s="35">
        <v>0</v>
      </c>
      <c r="AN317" s="19">
        <v>0</v>
      </c>
      <c r="AO317" s="23">
        <v>0</v>
      </c>
      <c r="AP317" s="24">
        <v>0</v>
      </c>
      <c r="AQ317" s="58">
        <f t="shared" si="18"/>
        <v>3.6</v>
      </c>
      <c r="AR317" s="59">
        <f t="shared" si="19"/>
        <v>9000</v>
      </c>
      <c r="AS317" s="35">
        <v>5</v>
      </c>
    </row>
    <row r="318" spans="1:45" ht="16" x14ac:dyDescent="0.2">
      <c r="A318" s="53">
        <v>314</v>
      </c>
      <c r="B318" s="55" t="s">
        <v>327</v>
      </c>
      <c r="C318" s="54" t="s">
        <v>283</v>
      </c>
      <c r="D318" s="350"/>
      <c r="E318" s="53"/>
      <c r="F318" s="56"/>
      <c r="G318" s="53"/>
      <c r="H318" s="56"/>
      <c r="I318" s="57"/>
      <c r="J318" s="53"/>
      <c r="K318" s="56"/>
      <c r="L318" s="57"/>
      <c r="M318" s="58"/>
      <c r="N318" s="56"/>
      <c r="O318" s="57"/>
      <c r="P318" s="58">
        <f t="shared" si="16"/>
        <v>0</v>
      </c>
      <c r="Q318" s="59">
        <f t="shared" si="17"/>
        <v>0</v>
      </c>
      <c r="R318" s="35">
        <v>0</v>
      </c>
      <c r="S318" s="19">
        <v>0</v>
      </c>
      <c r="T318" s="23">
        <v>0</v>
      </c>
      <c r="U318" s="24">
        <v>0</v>
      </c>
      <c r="V318" s="33">
        <v>0</v>
      </c>
      <c r="W318" s="34">
        <v>0</v>
      </c>
      <c r="X318" s="35">
        <v>0</v>
      </c>
      <c r="Y318" s="19">
        <v>0</v>
      </c>
      <c r="Z318" s="23">
        <v>0</v>
      </c>
      <c r="AA318" s="24">
        <v>0</v>
      </c>
      <c r="AB318" s="33">
        <v>0</v>
      </c>
      <c r="AC318" s="34">
        <v>0</v>
      </c>
      <c r="AD318" s="35">
        <v>0</v>
      </c>
      <c r="AE318" s="36">
        <v>0</v>
      </c>
      <c r="AF318" s="23">
        <v>0</v>
      </c>
      <c r="AG318" s="24">
        <v>0</v>
      </c>
      <c r="AH318" s="33">
        <v>0</v>
      </c>
      <c r="AI318" s="37">
        <v>0</v>
      </c>
      <c r="AJ318" s="35">
        <v>0</v>
      </c>
      <c r="AK318" s="36">
        <v>0</v>
      </c>
      <c r="AL318" s="38">
        <v>0</v>
      </c>
      <c r="AM318" s="35">
        <v>0</v>
      </c>
      <c r="AN318" s="19">
        <v>0</v>
      </c>
      <c r="AO318" s="23">
        <v>0</v>
      </c>
      <c r="AP318" s="24">
        <v>0</v>
      </c>
      <c r="AQ318" s="58">
        <f t="shared" si="18"/>
        <v>0</v>
      </c>
      <c r="AR318" s="59">
        <f t="shared" si="19"/>
        <v>0</v>
      </c>
      <c r="AS318" s="35">
        <v>0</v>
      </c>
    </row>
    <row r="319" spans="1:45" ht="16" x14ac:dyDescent="0.2">
      <c r="A319" s="53">
        <v>315</v>
      </c>
      <c r="B319" s="55" t="s">
        <v>327</v>
      </c>
      <c r="C319" s="54" t="s">
        <v>342</v>
      </c>
      <c r="D319" s="350"/>
      <c r="E319" s="53"/>
      <c r="F319" s="56"/>
      <c r="G319" s="53"/>
      <c r="H319" s="56"/>
      <c r="I319" s="57"/>
      <c r="J319" s="53"/>
      <c r="K319" s="56"/>
      <c r="L319" s="57"/>
      <c r="M319" s="58"/>
      <c r="N319" s="56"/>
      <c r="O319" s="57"/>
      <c r="P319" s="58">
        <f t="shared" si="16"/>
        <v>2.88</v>
      </c>
      <c r="Q319" s="59">
        <f t="shared" si="17"/>
        <v>7200</v>
      </c>
      <c r="R319" s="35">
        <v>4</v>
      </c>
      <c r="S319" s="19">
        <v>0</v>
      </c>
      <c r="T319" s="23">
        <v>0</v>
      </c>
      <c r="U319" s="24">
        <v>0</v>
      </c>
      <c r="V319" s="33">
        <v>0</v>
      </c>
      <c r="W319" s="34">
        <v>0</v>
      </c>
      <c r="X319" s="35">
        <v>0</v>
      </c>
      <c r="Y319" s="19">
        <v>0</v>
      </c>
      <c r="Z319" s="23">
        <v>0</v>
      </c>
      <c r="AA319" s="24">
        <v>0</v>
      </c>
      <c r="AB319" s="33">
        <v>0</v>
      </c>
      <c r="AC319" s="34">
        <v>0</v>
      </c>
      <c r="AD319" s="35">
        <v>0</v>
      </c>
      <c r="AE319" s="36">
        <v>0</v>
      </c>
      <c r="AF319" s="23">
        <v>0</v>
      </c>
      <c r="AG319" s="24">
        <v>0</v>
      </c>
      <c r="AH319" s="33">
        <v>0</v>
      </c>
      <c r="AI319" s="37">
        <v>0</v>
      </c>
      <c r="AJ319" s="35">
        <v>0</v>
      </c>
      <c r="AK319" s="36">
        <v>0</v>
      </c>
      <c r="AL319" s="38">
        <v>0</v>
      </c>
      <c r="AM319" s="35">
        <v>0</v>
      </c>
      <c r="AN319" s="19">
        <v>0</v>
      </c>
      <c r="AO319" s="23">
        <v>0</v>
      </c>
      <c r="AP319" s="24">
        <v>0</v>
      </c>
      <c r="AQ319" s="58">
        <f t="shared" si="18"/>
        <v>2.88</v>
      </c>
      <c r="AR319" s="59">
        <f t="shared" si="19"/>
        <v>7200</v>
      </c>
      <c r="AS319" s="35">
        <v>4</v>
      </c>
    </row>
    <row r="320" spans="1:45" ht="16" x14ac:dyDescent="0.2">
      <c r="A320" s="53">
        <v>316</v>
      </c>
      <c r="B320" s="55" t="s">
        <v>327</v>
      </c>
      <c r="C320" s="54" t="s">
        <v>343</v>
      </c>
      <c r="D320" s="350"/>
      <c r="E320" s="53"/>
      <c r="F320" s="56"/>
      <c r="G320" s="53"/>
      <c r="H320" s="56"/>
      <c r="I320" s="57"/>
      <c r="J320" s="53"/>
      <c r="K320" s="56"/>
      <c r="L320" s="57"/>
      <c r="M320" s="58"/>
      <c r="N320" s="56"/>
      <c r="O320" s="57"/>
      <c r="P320" s="58">
        <f t="shared" si="16"/>
        <v>1.44</v>
      </c>
      <c r="Q320" s="59">
        <f t="shared" si="17"/>
        <v>3600</v>
      </c>
      <c r="R320" s="35">
        <v>2</v>
      </c>
      <c r="S320" s="19">
        <v>0</v>
      </c>
      <c r="T320" s="23">
        <v>0</v>
      </c>
      <c r="U320" s="24">
        <v>0</v>
      </c>
      <c r="V320" s="33">
        <v>0</v>
      </c>
      <c r="W320" s="34">
        <v>0</v>
      </c>
      <c r="X320" s="35">
        <v>0</v>
      </c>
      <c r="Y320" s="19">
        <v>0</v>
      </c>
      <c r="Z320" s="23">
        <v>0</v>
      </c>
      <c r="AA320" s="24">
        <v>0</v>
      </c>
      <c r="AB320" s="33">
        <v>0</v>
      </c>
      <c r="AC320" s="34">
        <v>0</v>
      </c>
      <c r="AD320" s="35">
        <v>0</v>
      </c>
      <c r="AE320" s="36">
        <v>0</v>
      </c>
      <c r="AF320" s="23">
        <v>0</v>
      </c>
      <c r="AG320" s="24">
        <v>0</v>
      </c>
      <c r="AH320" s="33">
        <v>0</v>
      </c>
      <c r="AI320" s="37">
        <v>0</v>
      </c>
      <c r="AJ320" s="35">
        <v>0</v>
      </c>
      <c r="AK320" s="36">
        <v>0</v>
      </c>
      <c r="AL320" s="38">
        <v>0</v>
      </c>
      <c r="AM320" s="35">
        <v>0</v>
      </c>
      <c r="AN320" s="19">
        <v>0</v>
      </c>
      <c r="AO320" s="23">
        <v>0</v>
      </c>
      <c r="AP320" s="24">
        <v>0</v>
      </c>
      <c r="AQ320" s="58">
        <f t="shared" si="18"/>
        <v>1.44</v>
      </c>
      <c r="AR320" s="59">
        <f t="shared" si="19"/>
        <v>3600</v>
      </c>
      <c r="AS320" s="35">
        <v>2</v>
      </c>
    </row>
    <row r="321" spans="1:45" ht="16" x14ac:dyDescent="0.2">
      <c r="A321" s="53">
        <v>317</v>
      </c>
      <c r="B321" s="55" t="s">
        <v>327</v>
      </c>
      <c r="C321" s="54" t="s">
        <v>142</v>
      </c>
      <c r="D321" s="350"/>
      <c r="E321" s="53"/>
      <c r="F321" s="56"/>
      <c r="G321" s="53"/>
      <c r="H321" s="56"/>
      <c r="I321" s="57"/>
      <c r="J321" s="53"/>
      <c r="K321" s="56"/>
      <c r="L321" s="57"/>
      <c r="M321" s="58"/>
      <c r="N321" s="56"/>
      <c r="O321" s="57"/>
      <c r="P321" s="58">
        <f t="shared" si="16"/>
        <v>4.32</v>
      </c>
      <c r="Q321" s="59">
        <f t="shared" si="17"/>
        <v>10800</v>
      </c>
      <c r="R321" s="35">
        <v>6</v>
      </c>
      <c r="S321" s="19">
        <v>0</v>
      </c>
      <c r="T321" s="23">
        <v>0</v>
      </c>
      <c r="U321" s="24">
        <v>0</v>
      </c>
      <c r="V321" s="33">
        <v>0</v>
      </c>
      <c r="W321" s="34">
        <v>0</v>
      </c>
      <c r="X321" s="35">
        <v>0</v>
      </c>
      <c r="Y321" s="19">
        <v>0</v>
      </c>
      <c r="Z321" s="23">
        <v>0</v>
      </c>
      <c r="AA321" s="24">
        <v>0</v>
      </c>
      <c r="AB321" s="33">
        <v>0</v>
      </c>
      <c r="AC321" s="34">
        <v>0</v>
      </c>
      <c r="AD321" s="35">
        <v>0</v>
      </c>
      <c r="AE321" s="36">
        <v>0</v>
      </c>
      <c r="AF321" s="23">
        <v>0</v>
      </c>
      <c r="AG321" s="24">
        <v>0</v>
      </c>
      <c r="AH321" s="33">
        <v>0</v>
      </c>
      <c r="AI321" s="37">
        <v>0</v>
      </c>
      <c r="AJ321" s="35">
        <v>0</v>
      </c>
      <c r="AK321" s="36">
        <v>0</v>
      </c>
      <c r="AL321" s="38">
        <v>0</v>
      </c>
      <c r="AM321" s="35">
        <v>0</v>
      </c>
      <c r="AN321" s="19">
        <v>0</v>
      </c>
      <c r="AO321" s="23">
        <v>0</v>
      </c>
      <c r="AP321" s="24">
        <v>0</v>
      </c>
      <c r="AQ321" s="58">
        <f t="shared" si="18"/>
        <v>4.32</v>
      </c>
      <c r="AR321" s="59">
        <f t="shared" si="19"/>
        <v>10800</v>
      </c>
      <c r="AS321" s="35">
        <v>6</v>
      </c>
    </row>
    <row r="322" spans="1:45" ht="16" x14ac:dyDescent="0.2">
      <c r="A322" s="53">
        <v>318</v>
      </c>
      <c r="B322" s="55" t="s">
        <v>327</v>
      </c>
      <c r="C322" s="54" t="s">
        <v>344</v>
      </c>
      <c r="D322" s="350"/>
      <c r="E322" s="53"/>
      <c r="F322" s="56"/>
      <c r="G322" s="53"/>
      <c r="H322" s="56"/>
      <c r="I322" s="57"/>
      <c r="J322" s="53"/>
      <c r="K322" s="56"/>
      <c r="L322" s="57"/>
      <c r="M322" s="58"/>
      <c r="N322" s="56"/>
      <c r="O322" s="57"/>
      <c r="P322" s="58">
        <f t="shared" si="16"/>
        <v>2.88</v>
      </c>
      <c r="Q322" s="59">
        <f t="shared" si="17"/>
        <v>7200</v>
      </c>
      <c r="R322" s="35">
        <v>4</v>
      </c>
      <c r="S322" s="19">
        <v>0</v>
      </c>
      <c r="T322" s="23">
        <v>0</v>
      </c>
      <c r="U322" s="24">
        <v>0</v>
      </c>
      <c r="V322" s="33">
        <v>0</v>
      </c>
      <c r="W322" s="34">
        <v>0</v>
      </c>
      <c r="X322" s="35">
        <v>0</v>
      </c>
      <c r="Y322" s="19">
        <v>0</v>
      </c>
      <c r="Z322" s="23">
        <v>0</v>
      </c>
      <c r="AA322" s="24">
        <v>0</v>
      </c>
      <c r="AB322" s="33">
        <v>0</v>
      </c>
      <c r="AC322" s="34">
        <v>0</v>
      </c>
      <c r="AD322" s="35">
        <v>0</v>
      </c>
      <c r="AE322" s="36">
        <v>0</v>
      </c>
      <c r="AF322" s="23">
        <v>0</v>
      </c>
      <c r="AG322" s="24">
        <v>0</v>
      </c>
      <c r="AH322" s="33">
        <v>0</v>
      </c>
      <c r="AI322" s="37">
        <v>0</v>
      </c>
      <c r="AJ322" s="35">
        <v>0</v>
      </c>
      <c r="AK322" s="36">
        <v>0</v>
      </c>
      <c r="AL322" s="38">
        <v>0</v>
      </c>
      <c r="AM322" s="35">
        <v>0</v>
      </c>
      <c r="AN322" s="19">
        <v>0</v>
      </c>
      <c r="AO322" s="23">
        <v>0</v>
      </c>
      <c r="AP322" s="24">
        <v>0</v>
      </c>
      <c r="AQ322" s="58">
        <f t="shared" si="18"/>
        <v>2.88</v>
      </c>
      <c r="AR322" s="59">
        <f t="shared" si="19"/>
        <v>7200</v>
      </c>
      <c r="AS322" s="35">
        <v>4</v>
      </c>
    </row>
    <row r="323" spans="1:45" ht="16" x14ac:dyDescent="0.2">
      <c r="A323" s="53">
        <v>319</v>
      </c>
      <c r="B323" s="55" t="s">
        <v>327</v>
      </c>
      <c r="C323" s="54" t="s">
        <v>345</v>
      </c>
      <c r="D323" s="350"/>
      <c r="E323" s="53"/>
      <c r="F323" s="56"/>
      <c r="G323" s="53"/>
      <c r="H323" s="56"/>
      <c r="I323" s="57"/>
      <c r="J323" s="53"/>
      <c r="K323" s="56"/>
      <c r="L323" s="57"/>
      <c r="M323" s="58"/>
      <c r="N323" s="56"/>
      <c r="O323" s="57"/>
      <c r="P323" s="58">
        <f t="shared" si="16"/>
        <v>0.72</v>
      </c>
      <c r="Q323" s="59">
        <f t="shared" si="17"/>
        <v>1800</v>
      </c>
      <c r="R323" s="35">
        <v>1</v>
      </c>
      <c r="S323" s="19">
        <v>0</v>
      </c>
      <c r="T323" s="23">
        <v>0</v>
      </c>
      <c r="U323" s="24">
        <v>0</v>
      </c>
      <c r="V323" s="33">
        <v>0</v>
      </c>
      <c r="W323" s="34">
        <v>0</v>
      </c>
      <c r="X323" s="35">
        <v>0</v>
      </c>
      <c r="Y323" s="19">
        <v>0</v>
      </c>
      <c r="Z323" s="23">
        <v>0</v>
      </c>
      <c r="AA323" s="24">
        <v>0</v>
      </c>
      <c r="AB323" s="33">
        <v>0</v>
      </c>
      <c r="AC323" s="34">
        <v>0</v>
      </c>
      <c r="AD323" s="35">
        <v>0</v>
      </c>
      <c r="AE323" s="36">
        <v>0</v>
      </c>
      <c r="AF323" s="23">
        <v>0</v>
      </c>
      <c r="AG323" s="24">
        <v>0</v>
      </c>
      <c r="AH323" s="33">
        <v>0</v>
      </c>
      <c r="AI323" s="37">
        <v>0</v>
      </c>
      <c r="AJ323" s="35">
        <v>0</v>
      </c>
      <c r="AK323" s="36">
        <v>0</v>
      </c>
      <c r="AL323" s="38">
        <v>0</v>
      </c>
      <c r="AM323" s="35">
        <v>0</v>
      </c>
      <c r="AN323" s="19">
        <v>0</v>
      </c>
      <c r="AO323" s="23">
        <v>0</v>
      </c>
      <c r="AP323" s="24">
        <v>0</v>
      </c>
      <c r="AQ323" s="58">
        <f t="shared" si="18"/>
        <v>0.72</v>
      </c>
      <c r="AR323" s="59">
        <f t="shared" si="19"/>
        <v>1800</v>
      </c>
      <c r="AS323" s="35">
        <v>1</v>
      </c>
    </row>
    <row r="324" spans="1:45" ht="16" x14ac:dyDescent="0.2">
      <c r="A324" s="53">
        <v>320</v>
      </c>
      <c r="B324" s="55" t="s">
        <v>327</v>
      </c>
      <c r="C324" s="54" t="s">
        <v>346</v>
      </c>
      <c r="D324" s="350"/>
      <c r="E324" s="53"/>
      <c r="F324" s="56"/>
      <c r="G324" s="53"/>
      <c r="H324" s="56"/>
      <c r="I324" s="57"/>
      <c r="J324" s="53"/>
      <c r="K324" s="56"/>
      <c r="L324" s="57"/>
      <c r="M324" s="58"/>
      <c r="N324" s="56"/>
      <c r="O324" s="57"/>
      <c r="P324" s="58">
        <f t="shared" si="16"/>
        <v>2.88</v>
      </c>
      <c r="Q324" s="59">
        <f t="shared" si="17"/>
        <v>7200</v>
      </c>
      <c r="R324" s="35">
        <v>4</v>
      </c>
      <c r="S324" s="19">
        <v>0</v>
      </c>
      <c r="T324" s="23">
        <v>0</v>
      </c>
      <c r="U324" s="24">
        <v>0</v>
      </c>
      <c r="V324" s="33">
        <v>0</v>
      </c>
      <c r="W324" s="34">
        <v>0</v>
      </c>
      <c r="X324" s="35">
        <v>0</v>
      </c>
      <c r="Y324" s="19">
        <v>0</v>
      </c>
      <c r="Z324" s="23">
        <v>0</v>
      </c>
      <c r="AA324" s="24">
        <v>0</v>
      </c>
      <c r="AB324" s="33">
        <v>0</v>
      </c>
      <c r="AC324" s="34">
        <v>0</v>
      </c>
      <c r="AD324" s="35">
        <v>0</v>
      </c>
      <c r="AE324" s="36">
        <v>0</v>
      </c>
      <c r="AF324" s="23">
        <v>0</v>
      </c>
      <c r="AG324" s="24">
        <v>0</v>
      </c>
      <c r="AH324" s="33">
        <v>0</v>
      </c>
      <c r="AI324" s="37">
        <v>0</v>
      </c>
      <c r="AJ324" s="35">
        <v>0</v>
      </c>
      <c r="AK324" s="36">
        <v>0</v>
      </c>
      <c r="AL324" s="38">
        <v>0</v>
      </c>
      <c r="AM324" s="35">
        <v>0</v>
      </c>
      <c r="AN324" s="19">
        <v>0</v>
      </c>
      <c r="AO324" s="23">
        <v>0</v>
      </c>
      <c r="AP324" s="24">
        <v>0</v>
      </c>
      <c r="AQ324" s="58">
        <f t="shared" si="18"/>
        <v>2.88</v>
      </c>
      <c r="AR324" s="59">
        <f t="shared" si="19"/>
        <v>7200</v>
      </c>
      <c r="AS324" s="35">
        <v>4</v>
      </c>
    </row>
    <row r="325" spans="1:45" ht="16" x14ac:dyDescent="0.2">
      <c r="A325" s="53">
        <v>321</v>
      </c>
      <c r="B325" s="55" t="s">
        <v>347</v>
      </c>
      <c r="C325" s="54" t="s">
        <v>348</v>
      </c>
      <c r="D325" s="350"/>
      <c r="E325" s="53"/>
      <c r="F325" s="56"/>
      <c r="G325" s="53"/>
      <c r="H325" s="56"/>
      <c r="I325" s="57"/>
      <c r="J325" s="53"/>
      <c r="K325" s="56"/>
      <c r="L325" s="57"/>
      <c r="M325" s="58"/>
      <c r="N325" s="56"/>
      <c r="O325" s="57"/>
      <c r="P325" s="58">
        <f t="shared" ref="P325:P344" si="20">Q325/2500</f>
        <v>1.44</v>
      </c>
      <c r="Q325" s="59">
        <f t="shared" ref="Q325:Q344" si="21">R325*1800</f>
        <v>3600</v>
      </c>
      <c r="R325" s="35">
        <v>2</v>
      </c>
      <c r="S325" s="19">
        <v>0</v>
      </c>
      <c r="T325" s="23">
        <v>0</v>
      </c>
      <c r="U325" s="24">
        <v>0</v>
      </c>
      <c r="V325" s="33">
        <v>0</v>
      </c>
      <c r="W325" s="34">
        <v>0</v>
      </c>
      <c r="X325" s="35">
        <v>0</v>
      </c>
      <c r="Y325" s="19">
        <v>0</v>
      </c>
      <c r="Z325" s="23">
        <v>0</v>
      </c>
      <c r="AA325" s="24">
        <v>0</v>
      </c>
      <c r="AB325" s="33">
        <v>0</v>
      </c>
      <c r="AC325" s="34">
        <v>0</v>
      </c>
      <c r="AD325" s="35">
        <v>0</v>
      </c>
      <c r="AE325" s="36">
        <v>0</v>
      </c>
      <c r="AF325" s="23">
        <v>0</v>
      </c>
      <c r="AG325" s="24">
        <v>0</v>
      </c>
      <c r="AH325" s="33">
        <v>0</v>
      </c>
      <c r="AI325" s="37">
        <v>0</v>
      </c>
      <c r="AJ325" s="35">
        <v>0</v>
      </c>
      <c r="AK325" s="36">
        <v>0</v>
      </c>
      <c r="AL325" s="38">
        <v>0</v>
      </c>
      <c r="AM325" s="35">
        <v>0</v>
      </c>
      <c r="AN325" s="19">
        <v>0</v>
      </c>
      <c r="AO325" s="23">
        <v>0</v>
      </c>
      <c r="AP325" s="24">
        <v>0</v>
      </c>
      <c r="AQ325" s="58">
        <f t="shared" ref="AQ325:AQ344" si="22">AR325/2500</f>
        <v>1.44</v>
      </c>
      <c r="AR325" s="59">
        <f t="shared" ref="AR325:AR344" si="23">AS325*1800</f>
        <v>3600</v>
      </c>
      <c r="AS325" s="35">
        <v>2</v>
      </c>
    </row>
    <row r="326" spans="1:45" ht="16" x14ac:dyDescent="0.2">
      <c r="A326" s="53">
        <v>322</v>
      </c>
      <c r="B326" s="55" t="s">
        <v>347</v>
      </c>
      <c r="C326" s="54" t="s">
        <v>349</v>
      </c>
      <c r="D326" s="350"/>
      <c r="E326" s="53"/>
      <c r="F326" s="56"/>
      <c r="G326" s="53"/>
      <c r="H326" s="56"/>
      <c r="I326" s="57"/>
      <c r="J326" s="53"/>
      <c r="K326" s="56"/>
      <c r="L326" s="57"/>
      <c r="M326" s="58"/>
      <c r="N326" s="56"/>
      <c r="O326" s="57"/>
      <c r="P326" s="58">
        <f t="shared" si="20"/>
        <v>1.44</v>
      </c>
      <c r="Q326" s="59">
        <f t="shared" si="21"/>
        <v>3600</v>
      </c>
      <c r="R326" s="35">
        <v>2</v>
      </c>
      <c r="S326" s="19">
        <v>0</v>
      </c>
      <c r="T326" s="23">
        <v>0</v>
      </c>
      <c r="U326" s="24">
        <v>0</v>
      </c>
      <c r="V326" s="33">
        <v>0</v>
      </c>
      <c r="W326" s="34">
        <v>0</v>
      </c>
      <c r="X326" s="35">
        <v>0</v>
      </c>
      <c r="Y326" s="19">
        <v>0</v>
      </c>
      <c r="Z326" s="23">
        <v>0</v>
      </c>
      <c r="AA326" s="24">
        <v>0</v>
      </c>
      <c r="AB326" s="33">
        <v>0</v>
      </c>
      <c r="AC326" s="34">
        <v>0</v>
      </c>
      <c r="AD326" s="35">
        <v>0</v>
      </c>
      <c r="AE326" s="36">
        <v>0</v>
      </c>
      <c r="AF326" s="23">
        <v>0</v>
      </c>
      <c r="AG326" s="24">
        <v>0</v>
      </c>
      <c r="AH326" s="33">
        <v>0</v>
      </c>
      <c r="AI326" s="37">
        <v>0</v>
      </c>
      <c r="AJ326" s="35">
        <v>0</v>
      </c>
      <c r="AK326" s="36">
        <v>0</v>
      </c>
      <c r="AL326" s="38">
        <v>0</v>
      </c>
      <c r="AM326" s="35">
        <v>0</v>
      </c>
      <c r="AN326" s="19">
        <v>0</v>
      </c>
      <c r="AO326" s="23">
        <v>0</v>
      </c>
      <c r="AP326" s="24">
        <v>0</v>
      </c>
      <c r="AQ326" s="58">
        <f t="shared" si="22"/>
        <v>1.44</v>
      </c>
      <c r="AR326" s="59">
        <f t="shared" si="23"/>
        <v>3600</v>
      </c>
      <c r="AS326" s="35">
        <v>2</v>
      </c>
    </row>
    <row r="327" spans="1:45" ht="16" x14ac:dyDescent="0.2">
      <c r="A327" s="53">
        <v>323</v>
      </c>
      <c r="B327" s="55" t="s">
        <v>347</v>
      </c>
      <c r="C327" s="54" t="s">
        <v>350</v>
      </c>
      <c r="D327" s="350"/>
      <c r="E327" s="53"/>
      <c r="F327" s="56"/>
      <c r="G327" s="53"/>
      <c r="H327" s="56"/>
      <c r="I327" s="57"/>
      <c r="J327" s="53"/>
      <c r="K327" s="56"/>
      <c r="L327" s="57"/>
      <c r="M327" s="58"/>
      <c r="N327" s="56"/>
      <c r="O327" s="57"/>
      <c r="P327" s="58">
        <f t="shared" si="20"/>
        <v>5.76</v>
      </c>
      <c r="Q327" s="59">
        <f t="shared" si="21"/>
        <v>14400</v>
      </c>
      <c r="R327" s="35">
        <v>8</v>
      </c>
      <c r="S327" s="19">
        <v>0</v>
      </c>
      <c r="T327" s="23">
        <v>0</v>
      </c>
      <c r="U327" s="24">
        <v>0</v>
      </c>
      <c r="V327" s="33">
        <v>0</v>
      </c>
      <c r="W327" s="34">
        <v>0</v>
      </c>
      <c r="X327" s="35">
        <v>0</v>
      </c>
      <c r="Y327" s="19">
        <v>0</v>
      </c>
      <c r="Z327" s="23">
        <v>0</v>
      </c>
      <c r="AA327" s="24">
        <v>0</v>
      </c>
      <c r="AB327" s="33">
        <v>0</v>
      </c>
      <c r="AC327" s="34">
        <v>0</v>
      </c>
      <c r="AD327" s="35">
        <v>0</v>
      </c>
      <c r="AE327" s="36">
        <v>0</v>
      </c>
      <c r="AF327" s="23">
        <v>0</v>
      </c>
      <c r="AG327" s="24">
        <v>0</v>
      </c>
      <c r="AH327" s="33">
        <v>0</v>
      </c>
      <c r="AI327" s="37">
        <v>0</v>
      </c>
      <c r="AJ327" s="35">
        <v>0</v>
      </c>
      <c r="AK327" s="36">
        <v>0</v>
      </c>
      <c r="AL327" s="38">
        <v>0</v>
      </c>
      <c r="AM327" s="35">
        <v>0</v>
      </c>
      <c r="AN327" s="19">
        <v>0</v>
      </c>
      <c r="AO327" s="23">
        <v>0</v>
      </c>
      <c r="AP327" s="24">
        <v>0</v>
      </c>
      <c r="AQ327" s="58">
        <f t="shared" si="22"/>
        <v>5.76</v>
      </c>
      <c r="AR327" s="59">
        <f t="shared" si="23"/>
        <v>14400</v>
      </c>
      <c r="AS327" s="35">
        <v>8</v>
      </c>
    </row>
    <row r="328" spans="1:45" ht="16" x14ac:dyDescent="0.2">
      <c r="A328" s="53">
        <v>324</v>
      </c>
      <c r="B328" s="55" t="s">
        <v>347</v>
      </c>
      <c r="C328" s="54" t="s">
        <v>351</v>
      </c>
      <c r="D328" s="350" t="s">
        <v>25</v>
      </c>
      <c r="E328" s="53"/>
      <c r="F328" s="56"/>
      <c r="G328" s="53"/>
      <c r="H328" s="56"/>
      <c r="I328" s="57"/>
      <c r="J328" s="53"/>
      <c r="K328" s="56"/>
      <c r="L328" s="57"/>
      <c r="M328" s="58"/>
      <c r="N328" s="56"/>
      <c r="O328" s="57"/>
      <c r="P328" s="58">
        <f t="shared" si="20"/>
        <v>1.44</v>
      </c>
      <c r="Q328" s="59">
        <f t="shared" si="21"/>
        <v>3600</v>
      </c>
      <c r="R328" s="35">
        <v>2</v>
      </c>
      <c r="S328" s="19">
        <v>0</v>
      </c>
      <c r="T328" s="23">
        <v>0</v>
      </c>
      <c r="U328" s="24">
        <v>0</v>
      </c>
      <c r="V328" s="33">
        <v>0</v>
      </c>
      <c r="W328" s="34">
        <v>0</v>
      </c>
      <c r="X328" s="35">
        <v>0</v>
      </c>
      <c r="Y328" s="19">
        <v>0</v>
      </c>
      <c r="Z328" s="23">
        <v>0</v>
      </c>
      <c r="AA328" s="24">
        <v>0</v>
      </c>
      <c r="AB328" s="33">
        <v>0</v>
      </c>
      <c r="AC328" s="34">
        <v>0</v>
      </c>
      <c r="AD328" s="35">
        <v>0</v>
      </c>
      <c r="AE328" s="36">
        <v>0</v>
      </c>
      <c r="AF328" s="23">
        <v>0</v>
      </c>
      <c r="AG328" s="24">
        <v>0</v>
      </c>
      <c r="AH328" s="33">
        <v>0</v>
      </c>
      <c r="AI328" s="37">
        <v>0</v>
      </c>
      <c r="AJ328" s="35">
        <v>0</v>
      </c>
      <c r="AK328" s="36">
        <v>0</v>
      </c>
      <c r="AL328" s="38">
        <v>0</v>
      </c>
      <c r="AM328" s="35">
        <v>0</v>
      </c>
      <c r="AN328" s="19">
        <v>0</v>
      </c>
      <c r="AO328" s="23">
        <v>0</v>
      </c>
      <c r="AP328" s="24">
        <v>0</v>
      </c>
      <c r="AQ328" s="58">
        <f t="shared" si="22"/>
        <v>1.44</v>
      </c>
      <c r="AR328" s="59">
        <f t="shared" si="23"/>
        <v>3600</v>
      </c>
      <c r="AS328" s="35">
        <v>2</v>
      </c>
    </row>
    <row r="329" spans="1:45" ht="16" x14ac:dyDescent="0.2">
      <c r="A329" s="53">
        <v>325</v>
      </c>
      <c r="B329" s="55" t="s">
        <v>347</v>
      </c>
      <c r="C329" s="54" t="s">
        <v>352</v>
      </c>
      <c r="D329" s="350"/>
      <c r="E329" s="53"/>
      <c r="F329" s="56"/>
      <c r="G329" s="53"/>
      <c r="H329" s="56"/>
      <c r="I329" s="57"/>
      <c r="J329" s="53"/>
      <c r="K329" s="56"/>
      <c r="L329" s="57"/>
      <c r="M329" s="58"/>
      <c r="N329" s="56"/>
      <c r="O329" s="57"/>
      <c r="P329" s="58">
        <f t="shared" si="20"/>
        <v>0.72</v>
      </c>
      <c r="Q329" s="59">
        <f t="shared" si="21"/>
        <v>1800</v>
      </c>
      <c r="R329" s="35">
        <v>1</v>
      </c>
      <c r="S329" s="19">
        <v>0</v>
      </c>
      <c r="T329" s="23">
        <v>0</v>
      </c>
      <c r="U329" s="24">
        <v>0</v>
      </c>
      <c r="V329" s="33">
        <v>0</v>
      </c>
      <c r="W329" s="34">
        <v>0</v>
      </c>
      <c r="X329" s="35">
        <v>0</v>
      </c>
      <c r="Y329" s="19">
        <v>0</v>
      </c>
      <c r="Z329" s="23">
        <v>0</v>
      </c>
      <c r="AA329" s="24">
        <v>0</v>
      </c>
      <c r="AB329" s="33">
        <v>0</v>
      </c>
      <c r="AC329" s="34">
        <v>0</v>
      </c>
      <c r="AD329" s="35">
        <v>0</v>
      </c>
      <c r="AE329" s="36">
        <v>0</v>
      </c>
      <c r="AF329" s="23">
        <v>0</v>
      </c>
      <c r="AG329" s="24">
        <v>0</v>
      </c>
      <c r="AH329" s="33">
        <v>0</v>
      </c>
      <c r="AI329" s="37">
        <v>0</v>
      </c>
      <c r="AJ329" s="35">
        <v>0</v>
      </c>
      <c r="AK329" s="36">
        <v>0</v>
      </c>
      <c r="AL329" s="38">
        <v>0</v>
      </c>
      <c r="AM329" s="35">
        <v>0</v>
      </c>
      <c r="AN329" s="19">
        <v>0</v>
      </c>
      <c r="AO329" s="23">
        <v>0</v>
      </c>
      <c r="AP329" s="24">
        <v>0</v>
      </c>
      <c r="AQ329" s="58">
        <f t="shared" si="22"/>
        <v>0.72</v>
      </c>
      <c r="AR329" s="59">
        <f t="shared" si="23"/>
        <v>1800</v>
      </c>
      <c r="AS329" s="35">
        <v>1</v>
      </c>
    </row>
    <row r="330" spans="1:45" ht="16" x14ac:dyDescent="0.2">
      <c r="A330" s="53">
        <v>326</v>
      </c>
      <c r="B330" s="55" t="s">
        <v>347</v>
      </c>
      <c r="C330" s="54" t="s">
        <v>353</v>
      </c>
      <c r="D330" s="350"/>
      <c r="E330" s="53"/>
      <c r="F330" s="56"/>
      <c r="G330" s="53"/>
      <c r="H330" s="56"/>
      <c r="I330" s="57"/>
      <c r="J330" s="53"/>
      <c r="K330" s="56"/>
      <c r="L330" s="57"/>
      <c r="M330" s="58"/>
      <c r="N330" s="56"/>
      <c r="O330" s="57"/>
      <c r="P330" s="58">
        <f t="shared" si="20"/>
        <v>0</v>
      </c>
      <c r="Q330" s="59">
        <f t="shared" si="21"/>
        <v>0</v>
      </c>
      <c r="R330" s="35">
        <v>0</v>
      </c>
      <c r="S330" s="19">
        <v>0</v>
      </c>
      <c r="T330" s="23">
        <v>0</v>
      </c>
      <c r="U330" s="24">
        <v>0</v>
      </c>
      <c r="V330" s="33">
        <v>0</v>
      </c>
      <c r="W330" s="34">
        <v>0</v>
      </c>
      <c r="X330" s="35">
        <v>0</v>
      </c>
      <c r="Y330" s="19">
        <v>0</v>
      </c>
      <c r="Z330" s="23">
        <v>0</v>
      </c>
      <c r="AA330" s="24">
        <v>0</v>
      </c>
      <c r="AB330" s="33">
        <v>0</v>
      </c>
      <c r="AC330" s="34">
        <v>0</v>
      </c>
      <c r="AD330" s="35">
        <v>0</v>
      </c>
      <c r="AE330" s="36">
        <v>0</v>
      </c>
      <c r="AF330" s="23">
        <v>0</v>
      </c>
      <c r="AG330" s="24">
        <v>0</v>
      </c>
      <c r="AH330" s="33">
        <v>0</v>
      </c>
      <c r="AI330" s="37">
        <v>0</v>
      </c>
      <c r="AJ330" s="35">
        <v>0</v>
      </c>
      <c r="AK330" s="36">
        <v>0</v>
      </c>
      <c r="AL330" s="38">
        <v>0</v>
      </c>
      <c r="AM330" s="35">
        <v>0</v>
      </c>
      <c r="AN330" s="19">
        <v>0</v>
      </c>
      <c r="AO330" s="23">
        <v>0</v>
      </c>
      <c r="AP330" s="24">
        <v>0</v>
      </c>
      <c r="AQ330" s="58">
        <f t="shared" si="22"/>
        <v>0</v>
      </c>
      <c r="AR330" s="59">
        <f t="shared" si="23"/>
        <v>0</v>
      </c>
      <c r="AS330" s="35">
        <v>0</v>
      </c>
    </row>
    <row r="331" spans="1:45" ht="16" x14ac:dyDescent="0.2">
      <c r="A331" s="53">
        <v>327</v>
      </c>
      <c r="B331" s="55" t="s">
        <v>347</v>
      </c>
      <c r="C331" s="54" t="s">
        <v>354</v>
      </c>
      <c r="D331" s="350"/>
      <c r="E331" s="53"/>
      <c r="F331" s="56"/>
      <c r="G331" s="53"/>
      <c r="H331" s="56"/>
      <c r="I331" s="57"/>
      <c r="J331" s="53"/>
      <c r="K331" s="56"/>
      <c r="L331" s="57"/>
      <c r="M331" s="58"/>
      <c r="N331" s="56"/>
      <c r="O331" s="57"/>
      <c r="P331" s="58">
        <f t="shared" si="20"/>
        <v>3.6</v>
      </c>
      <c r="Q331" s="59">
        <f t="shared" si="21"/>
        <v>9000</v>
      </c>
      <c r="R331" s="35">
        <v>5</v>
      </c>
      <c r="S331" s="19">
        <v>0</v>
      </c>
      <c r="T331" s="23">
        <v>0</v>
      </c>
      <c r="U331" s="24">
        <v>0</v>
      </c>
      <c r="V331" s="33">
        <v>0</v>
      </c>
      <c r="W331" s="34">
        <v>0</v>
      </c>
      <c r="X331" s="35">
        <v>0</v>
      </c>
      <c r="Y331" s="19">
        <v>0</v>
      </c>
      <c r="Z331" s="23">
        <v>0</v>
      </c>
      <c r="AA331" s="24">
        <v>0</v>
      </c>
      <c r="AB331" s="33">
        <v>0</v>
      </c>
      <c r="AC331" s="34">
        <v>0</v>
      </c>
      <c r="AD331" s="35">
        <v>0</v>
      </c>
      <c r="AE331" s="36">
        <v>0</v>
      </c>
      <c r="AF331" s="23">
        <v>0</v>
      </c>
      <c r="AG331" s="24">
        <v>0</v>
      </c>
      <c r="AH331" s="33">
        <v>0</v>
      </c>
      <c r="AI331" s="37">
        <v>0</v>
      </c>
      <c r="AJ331" s="35">
        <v>0</v>
      </c>
      <c r="AK331" s="36">
        <v>0</v>
      </c>
      <c r="AL331" s="38">
        <v>0</v>
      </c>
      <c r="AM331" s="35">
        <v>0</v>
      </c>
      <c r="AN331" s="19">
        <v>0</v>
      </c>
      <c r="AO331" s="23">
        <v>0</v>
      </c>
      <c r="AP331" s="24">
        <v>0</v>
      </c>
      <c r="AQ331" s="58">
        <f t="shared" si="22"/>
        <v>3.6</v>
      </c>
      <c r="AR331" s="59">
        <f t="shared" si="23"/>
        <v>9000</v>
      </c>
      <c r="AS331" s="35">
        <v>5</v>
      </c>
    </row>
    <row r="332" spans="1:45" ht="16" x14ac:dyDescent="0.2">
      <c r="A332" s="53">
        <v>328</v>
      </c>
      <c r="B332" s="55" t="s">
        <v>347</v>
      </c>
      <c r="C332" s="54" t="s">
        <v>355</v>
      </c>
      <c r="D332" s="350"/>
      <c r="E332" s="53"/>
      <c r="F332" s="56"/>
      <c r="G332" s="53"/>
      <c r="H332" s="56"/>
      <c r="I332" s="57"/>
      <c r="J332" s="53"/>
      <c r="K332" s="56"/>
      <c r="L332" s="57"/>
      <c r="M332" s="58"/>
      <c r="N332" s="56"/>
      <c r="O332" s="57"/>
      <c r="P332" s="58">
        <f t="shared" si="20"/>
        <v>15.84</v>
      </c>
      <c r="Q332" s="59">
        <f t="shared" si="21"/>
        <v>39600</v>
      </c>
      <c r="R332" s="35">
        <v>22</v>
      </c>
      <c r="S332" s="19">
        <v>0</v>
      </c>
      <c r="T332" s="23">
        <v>0</v>
      </c>
      <c r="U332" s="24">
        <v>0</v>
      </c>
      <c r="V332" s="33">
        <v>0</v>
      </c>
      <c r="W332" s="34">
        <v>0</v>
      </c>
      <c r="X332" s="35">
        <v>0</v>
      </c>
      <c r="Y332" s="19">
        <v>0</v>
      </c>
      <c r="Z332" s="23">
        <v>0</v>
      </c>
      <c r="AA332" s="24">
        <v>0</v>
      </c>
      <c r="AB332" s="33">
        <v>0</v>
      </c>
      <c r="AC332" s="34">
        <v>0</v>
      </c>
      <c r="AD332" s="35">
        <v>0</v>
      </c>
      <c r="AE332" s="36">
        <v>0</v>
      </c>
      <c r="AF332" s="23">
        <v>0</v>
      </c>
      <c r="AG332" s="24">
        <v>0</v>
      </c>
      <c r="AH332" s="33">
        <v>0</v>
      </c>
      <c r="AI332" s="37">
        <v>0</v>
      </c>
      <c r="AJ332" s="35">
        <v>0</v>
      </c>
      <c r="AK332" s="36">
        <v>0</v>
      </c>
      <c r="AL332" s="38">
        <v>0</v>
      </c>
      <c r="AM332" s="35">
        <v>0</v>
      </c>
      <c r="AN332" s="19">
        <v>0</v>
      </c>
      <c r="AO332" s="23">
        <v>0</v>
      </c>
      <c r="AP332" s="24">
        <v>0</v>
      </c>
      <c r="AQ332" s="58">
        <f t="shared" si="22"/>
        <v>15.84</v>
      </c>
      <c r="AR332" s="59">
        <f t="shared" si="23"/>
        <v>39600</v>
      </c>
      <c r="AS332" s="35">
        <v>22</v>
      </c>
    </row>
    <row r="333" spans="1:45" ht="16" x14ac:dyDescent="0.2">
      <c r="A333" s="53">
        <v>329</v>
      </c>
      <c r="B333" s="55" t="s">
        <v>356</v>
      </c>
      <c r="C333" s="54" t="s">
        <v>357</v>
      </c>
      <c r="D333" s="350"/>
      <c r="E333" s="53"/>
      <c r="F333" s="56"/>
      <c r="G333" s="53"/>
      <c r="H333" s="56"/>
      <c r="I333" s="57"/>
      <c r="J333" s="53"/>
      <c r="K333" s="56"/>
      <c r="L333" s="57"/>
      <c r="M333" s="58"/>
      <c r="N333" s="56"/>
      <c r="O333" s="57"/>
      <c r="P333" s="58">
        <f t="shared" si="20"/>
        <v>2.88</v>
      </c>
      <c r="Q333" s="59">
        <f t="shared" si="21"/>
        <v>7200</v>
      </c>
      <c r="R333" s="35">
        <v>4</v>
      </c>
      <c r="S333" s="19">
        <v>0</v>
      </c>
      <c r="T333" s="23">
        <v>0</v>
      </c>
      <c r="U333" s="24">
        <v>0</v>
      </c>
      <c r="V333" s="33">
        <v>0</v>
      </c>
      <c r="W333" s="34">
        <v>0</v>
      </c>
      <c r="X333" s="35">
        <v>0</v>
      </c>
      <c r="Y333" s="19">
        <v>0</v>
      </c>
      <c r="Z333" s="23">
        <v>0</v>
      </c>
      <c r="AA333" s="24">
        <v>0</v>
      </c>
      <c r="AB333" s="33">
        <v>0</v>
      </c>
      <c r="AC333" s="34">
        <v>0</v>
      </c>
      <c r="AD333" s="35">
        <v>0</v>
      </c>
      <c r="AE333" s="36">
        <v>0</v>
      </c>
      <c r="AF333" s="23">
        <v>0</v>
      </c>
      <c r="AG333" s="24">
        <v>0</v>
      </c>
      <c r="AH333" s="33">
        <v>0</v>
      </c>
      <c r="AI333" s="37">
        <v>0</v>
      </c>
      <c r="AJ333" s="35">
        <v>0</v>
      </c>
      <c r="AK333" s="36">
        <v>0</v>
      </c>
      <c r="AL333" s="38">
        <v>0</v>
      </c>
      <c r="AM333" s="35">
        <v>0</v>
      </c>
      <c r="AN333" s="19">
        <v>0</v>
      </c>
      <c r="AO333" s="23">
        <v>0</v>
      </c>
      <c r="AP333" s="24">
        <v>0</v>
      </c>
      <c r="AQ333" s="58">
        <f t="shared" si="22"/>
        <v>2.88</v>
      </c>
      <c r="AR333" s="59">
        <f t="shared" si="23"/>
        <v>7200</v>
      </c>
      <c r="AS333" s="35">
        <v>4</v>
      </c>
    </row>
    <row r="334" spans="1:45" ht="16" x14ac:dyDescent="0.2">
      <c r="A334" s="53">
        <v>330</v>
      </c>
      <c r="B334" s="55" t="s">
        <v>356</v>
      </c>
      <c r="C334" s="54" t="s">
        <v>358</v>
      </c>
      <c r="D334" s="350"/>
      <c r="E334" s="53"/>
      <c r="F334" s="56"/>
      <c r="G334" s="53"/>
      <c r="H334" s="56"/>
      <c r="I334" s="57"/>
      <c r="J334" s="53"/>
      <c r="K334" s="56"/>
      <c r="L334" s="57"/>
      <c r="M334" s="58"/>
      <c r="N334" s="56"/>
      <c r="O334" s="57"/>
      <c r="P334" s="58">
        <f t="shared" si="20"/>
        <v>4.32</v>
      </c>
      <c r="Q334" s="59">
        <f t="shared" si="21"/>
        <v>10800</v>
      </c>
      <c r="R334" s="35">
        <v>6</v>
      </c>
      <c r="S334" s="19">
        <v>0</v>
      </c>
      <c r="T334" s="23">
        <v>0</v>
      </c>
      <c r="U334" s="24">
        <v>0</v>
      </c>
      <c r="V334" s="33">
        <v>0</v>
      </c>
      <c r="W334" s="34">
        <v>0</v>
      </c>
      <c r="X334" s="35">
        <v>0</v>
      </c>
      <c r="Y334" s="19">
        <v>0</v>
      </c>
      <c r="Z334" s="23">
        <v>0</v>
      </c>
      <c r="AA334" s="24">
        <v>0</v>
      </c>
      <c r="AB334" s="33">
        <v>0</v>
      </c>
      <c r="AC334" s="34">
        <v>0</v>
      </c>
      <c r="AD334" s="35">
        <v>0</v>
      </c>
      <c r="AE334" s="36">
        <v>0</v>
      </c>
      <c r="AF334" s="23">
        <v>0</v>
      </c>
      <c r="AG334" s="24">
        <v>0</v>
      </c>
      <c r="AH334" s="33">
        <v>0</v>
      </c>
      <c r="AI334" s="37">
        <v>0</v>
      </c>
      <c r="AJ334" s="35">
        <v>0</v>
      </c>
      <c r="AK334" s="36">
        <v>0</v>
      </c>
      <c r="AL334" s="38">
        <v>0</v>
      </c>
      <c r="AM334" s="35">
        <v>0</v>
      </c>
      <c r="AN334" s="19">
        <v>0</v>
      </c>
      <c r="AO334" s="23">
        <v>0</v>
      </c>
      <c r="AP334" s="24">
        <v>0</v>
      </c>
      <c r="AQ334" s="58">
        <f t="shared" si="22"/>
        <v>4.32</v>
      </c>
      <c r="AR334" s="59">
        <f t="shared" si="23"/>
        <v>10800</v>
      </c>
      <c r="AS334" s="35">
        <v>6</v>
      </c>
    </row>
    <row r="335" spans="1:45" ht="16" x14ac:dyDescent="0.2">
      <c r="A335" s="53">
        <v>331</v>
      </c>
      <c r="B335" s="55" t="s">
        <v>356</v>
      </c>
      <c r="C335" s="54" t="s">
        <v>359</v>
      </c>
      <c r="D335" s="350"/>
      <c r="E335" s="53"/>
      <c r="F335" s="56"/>
      <c r="G335" s="53"/>
      <c r="H335" s="56"/>
      <c r="I335" s="57"/>
      <c r="J335" s="53"/>
      <c r="K335" s="56"/>
      <c r="L335" s="57"/>
      <c r="M335" s="58"/>
      <c r="N335" s="56"/>
      <c r="O335" s="57"/>
      <c r="P335" s="58">
        <f t="shared" si="20"/>
        <v>2.16</v>
      </c>
      <c r="Q335" s="59">
        <f t="shared" si="21"/>
        <v>5400</v>
      </c>
      <c r="R335" s="35">
        <v>3</v>
      </c>
      <c r="S335" s="19">
        <v>0</v>
      </c>
      <c r="T335" s="23">
        <v>0</v>
      </c>
      <c r="U335" s="24">
        <v>0</v>
      </c>
      <c r="V335" s="33">
        <v>0</v>
      </c>
      <c r="W335" s="34">
        <v>0</v>
      </c>
      <c r="X335" s="35">
        <v>0</v>
      </c>
      <c r="Y335" s="19">
        <v>0</v>
      </c>
      <c r="Z335" s="23">
        <v>0</v>
      </c>
      <c r="AA335" s="24">
        <v>0</v>
      </c>
      <c r="AB335" s="33">
        <v>0</v>
      </c>
      <c r="AC335" s="34">
        <v>0</v>
      </c>
      <c r="AD335" s="35">
        <v>0</v>
      </c>
      <c r="AE335" s="36">
        <v>0</v>
      </c>
      <c r="AF335" s="23">
        <v>0</v>
      </c>
      <c r="AG335" s="24">
        <v>0</v>
      </c>
      <c r="AH335" s="33">
        <v>0</v>
      </c>
      <c r="AI335" s="37">
        <v>0</v>
      </c>
      <c r="AJ335" s="35">
        <v>0</v>
      </c>
      <c r="AK335" s="36">
        <v>0</v>
      </c>
      <c r="AL335" s="38">
        <v>0</v>
      </c>
      <c r="AM335" s="35">
        <v>0</v>
      </c>
      <c r="AN335" s="19">
        <v>0</v>
      </c>
      <c r="AO335" s="23">
        <v>0</v>
      </c>
      <c r="AP335" s="24">
        <v>0</v>
      </c>
      <c r="AQ335" s="58">
        <f t="shared" si="22"/>
        <v>2.16</v>
      </c>
      <c r="AR335" s="59">
        <f t="shared" si="23"/>
        <v>5400</v>
      </c>
      <c r="AS335" s="35">
        <v>3</v>
      </c>
    </row>
    <row r="336" spans="1:45" ht="16" x14ac:dyDescent="0.2">
      <c r="A336" s="53">
        <v>332</v>
      </c>
      <c r="B336" s="55" t="s">
        <v>356</v>
      </c>
      <c r="C336" s="54" t="s">
        <v>360</v>
      </c>
      <c r="D336" s="350"/>
      <c r="E336" s="53"/>
      <c r="F336" s="56"/>
      <c r="G336" s="53"/>
      <c r="H336" s="56"/>
      <c r="I336" s="57"/>
      <c r="J336" s="53"/>
      <c r="K336" s="56"/>
      <c r="L336" s="57"/>
      <c r="M336" s="58"/>
      <c r="N336" s="56"/>
      <c r="O336" s="57"/>
      <c r="P336" s="58">
        <f t="shared" si="20"/>
        <v>7.92</v>
      </c>
      <c r="Q336" s="59">
        <f t="shared" si="21"/>
        <v>19800</v>
      </c>
      <c r="R336" s="35">
        <v>11</v>
      </c>
      <c r="S336" s="19">
        <v>0</v>
      </c>
      <c r="T336" s="23">
        <v>0</v>
      </c>
      <c r="U336" s="24">
        <v>0</v>
      </c>
      <c r="V336" s="33">
        <v>0</v>
      </c>
      <c r="W336" s="34">
        <v>0</v>
      </c>
      <c r="X336" s="35">
        <v>0</v>
      </c>
      <c r="Y336" s="19">
        <v>0</v>
      </c>
      <c r="Z336" s="23">
        <v>0</v>
      </c>
      <c r="AA336" s="24">
        <v>0</v>
      </c>
      <c r="AB336" s="33">
        <v>0</v>
      </c>
      <c r="AC336" s="34">
        <v>0</v>
      </c>
      <c r="AD336" s="35">
        <v>0</v>
      </c>
      <c r="AE336" s="36">
        <v>0</v>
      </c>
      <c r="AF336" s="23">
        <v>0</v>
      </c>
      <c r="AG336" s="24">
        <v>0</v>
      </c>
      <c r="AH336" s="33">
        <v>0</v>
      </c>
      <c r="AI336" s="37">
        <v>0</v>
      </c>
      <c r="AJ336" s="35">
        <v>0</v>
      </c>
      <c r="AK336" s="36">
        <v>0</v>
      </c>
      <c r="AL336" s="38">
        <v>0</v>
      </c>
      <c r="AM336" s="35">
        <v>0</v>
      </c>
      <c r="AN336" s="19">
        <v>0</v>
      </c>
      <c r="AO336" s="23">
        <v>0</v>
      </c>
      <c r="AP336" s="24">
        <v>0</v>
      </c>
      <c r="AQ336" s="58">
        <f t="shared" si="22"/>
        <v>7.92</v>
      </c>
      <c r="AR336" s="59">
        <f t="shared" si="23"/>
        <v>19800</v>
      </c>
      <c r="AS336" s="35">
        <v>11</v>
      </c>
    </row>
    <row r="337" spans="1:45" ht="16" x14ac:dyDescent="0.2">
      <c r="A337" s="53">
        <v>333</v>
      </c>
      <c r="B337" s="55" t="s">
        <v>356</v>
      </c>
      <c r="C337" s="54" t="s">
        <v>361</v>
      </c>
      <c r="D337" s="350"/>
      <c r="E337" s="53"/>
      <c r="F337" s="56"/>
      <c r="G337" s="53"/>
      <c r="H337" s="56"/>
      <c r="I337" s="57"/>
      <c r="J337" s="53"/>
      <c r="K337" s="56"/>
      <c r="L337" s="57"/>
      <c r="M337" s="58"/>
      <c r="N337" s="56"/>
      <c r="O337" s="57"/>
      <c r="P337" s="58">
        <f t="shared" si="20"/>
        <v>4.32</v>
      </c>
      <c r="Q337" s="59">
        <f t="shared" si="21"/>
        <v>10800</v>
      </c>
      <c r="R337" s="35">
        <v>6</v>
      </c>
      <c r="S337" s="19">
        <v>0</v>
      </c>
      <c r="T337" s="23">
        <v>0</v>
      </c>
      <c r="U337" s="24">
        <v>0</v>
      </c>
      <c r="V337" s="33">
        <v>0</v>
      </c>
      <c r="W337" s="34">
        <v>0</v>
      </c>
      <c r="X337" s="35">
        <v>0</v>
      </c>
      <c r="Y337" s="19">
        <v>0</v>
      </c>
      <c r="Z337" s="23">
        <v>0</v>
      </c>
      <c r="AA337" s="24">
        <v>0</v>
      </c>
      <c r="AB337" s="33">
        <v>0</v>
      </c>
      <c r="AC337" s="34">
        <v>0</v>
      </c>
      <c r="AD337" s="35">
        <v>0</v>
      </c>
      <c r="AE337" s="36">
        <v>0</v>
      </c>
      <c r="AF337" s="23">
        <v>0</v>
      </c>
      <c r="AG337" s="24">
        <v>0</v>
      </c>
      <c r="AH337" s="33">
        <v>0</v>
      </c>
      <c r="AI337" s="37">
        <v>0</v>
      </c>
      <c r="AJ337" s="35">
        <v>0</v>
      </c>
      <c r="AK337" s="36">
        <v>0</v>
      </c>
      <c r="AL337" s="38">
        <v>0</v>
      </c>
      <c r="AM337" s="35">
        <v>0</v>
      </c>
      <c r="AN337" s="19">
        <v>0</v>
      </c>
      <c r="AO337" s="23">
        <v>0</v>
      </c>
      <c r="AP337" s="24">
        <v>0</v>
      </c>
      <c r="AQ337" s="58">
        <f t="shared" si="22"/>
        <v>4.32</v>
      </c>
      <c r="AR337" s="59">
        <f t="shared" si="23"/>
        <v>10800</v>
      </c>
      <c r="AS337" s="35">
        <v>6</v>
      </c>
    </row>
    <row r="338" spans="1:45" ht="16" x14ac:dyDescent="0.2">
      <c r="A338" s="53">
        <v>334</v>
      </c>
      <c r="B338" s="55" t="s">
        <v>356</v>
      </c>
      <c r="C338" s="54" t="s">
        <v>362</v>
      </c>
      <c r="D338" s="350"/>
      <c r="E338" s="53"/>
      <c r="F338" s="56"/>
      <c r="G338" s="53"/>
      <c r="H338" s="56"/>
      <c r="I338" s="57"/>
      <c r="J338" s="53"/>
      <c r="K338" s="56"/>
      <c r="L338" s="57"/>
      <c r="M338" s="58"/>
      <c r="N338" s="56"/>
      <c r="O338" s="57"/>
      <c r="P338" s="58">
        <f t="shared" si="20"/>
        <v>6.48</v>
      </c>
      <c r="Q338" s="59">
        <f t="shared" si="21"/>
        <v>16200</v>
      </c>
      <c r="R338" s="35">
        <v>9</v>
      </c>
      <c r="S338" s="19">
        <v>0</v>
      </c>
      <c r="T338" s="23">
        <v>0</v>
      </c>
      <c r="U338" s="24">
        <v>0</v>
      </c>
      <c r="V338" s="33">
        <v>0</v>
      </c>
      <c r="W338" s="34">
        <v>0</v>
      </c>
      <c r="X338" s="35">
        <v>0</v>
      </c>
      <c r="Y338" s="19">
        <v>0</v>
      </c>
      <c r="Z338" s="23">
        <v>0</v>
      </c>
      <c r="AA338" s="24">
        <v>0</v>
      </c>
      <c r="AB338" s="33">
        <v>0</v>
      </c>
      <c r="AC338" s="34">
        <v>0</v>
      </c>
      <c r="AD338" s="35">
        <v>0</v>
      </c>
      <c r="AE338" s="36">
        <v>0</v>
      </c>
      <c r="AF338" s="23">
        <v>0</v>
      </c>
      <c r="AG338" s="24">
        <v>0</v>
      </c>
      <c r="AH338" s="33">
        <v>0</v>
      </c>
      <c r="AI338" s="37">
        <v>0</v>
      </c>
      <c r="AJ338" s="35">
        <v>0</v>
      </c>
      <c r="AK338" s="36">
        <v>0</v>
      </c>
      <c r="AL338" s="38">
        <v>0</v>
      </c>
      <c r="AM338" s="35">
        <v>0</v>
      </c>
      <c r="AN338" s="19">
        <v>0</v>
      </c>
      <c r="AO338" s="23">
        <v>0</v>
      </c>
      <c r="AP338" s="24">
        <v>0</v>
      </c>
      <c r="AQ338" s="58">
        <f t="shared" si="22"/>
        <v>6.48</v>
      </c>
      <c r="AR338" s="59">
        <f t="shared" si="23"/>
        <v>16200</v>
      </c>
      <c r="AS338" s="35">
        <v>9</v>
      </c>
    </row>
    <row r="339" spans="1:45" ht="16" x14ac:dyDescent="0.2">
      <c r="A339" s="53">
        <v>335</v>
      </c>
      <c r="B339" s="55" t="s">
        <v>356</v>
      </c>
      <c r="C339" s="54" t="s">
        <v>363</v>
      </c>
      <c r="D339" s="350"/>
      <c r="E339" s="53"/>
      <c r="F339" s="56"/>
      <c r="G339" s="53"/>
      <c r="H339" s="56"/>
      <c r="I339" s="57"/>
      <c r="J339" s="53"/>
      <c r="K339" s="56"/>
      <c r="L339" s="57"/>
      <c r="M339" s="58"/>
      <c r="N339" s="56"/>
      <c r="O339" s="57"/>
      <c r="P339" s="58">
        <f t="shared" si="20"/>
        <v>5.04</v>
      </c>
      <c r="Q339" s="59">
        <f t="shared" si="21"/>
        <v>12600</v>
      </c>
      <c r="R339" s="35">
        <v>7</v>
      </c>
      <c r="S339" s="19">
        <v>0</v>
      </c>
      <c r="T339" s="23">
        <v>0</v>
      </c>
      <c r="U339" s="24">
        <v>0</v>
      </c>
      <c r="V339" s="33">
        <v>0</v>
      </c>
      <c r="W339" s="34">
        <v>0</v>
      </c>
      <c r="X339" s="35">
        <v>0</v>
      </c>
      <c r="Y339" s="19">
        <v>0</v>
      </c>
      <c r="Z339" s="23">
        <v>0</v>
      </c>
      <c r="AA339" s="24">
        <v>0</v>
      </c>
      <c r="AB339" s="33">
        <v>0</v>
      </c>
      <c r="AC339" s="34">
        <v>0</v>
      </c>
      <c r="AD339" s="35">
        <v>0</v>
      </c>
      <c r="AE339" s="36">
        <v>0</v>
      </c>
      <c r="AF339" s="23">
        <v>0</v>
      </c>
      <c r="AG339" s="24">
        <v>0</v>
      </c>
      <c r="AH339" s="33">
        <v>0</v>
      </c>
      <c r="AI339" s="37">
        <v>0</v>
      </c>
      <c r="AJ339" s="35">
        <v>0</v>
      </c>
      <c r="AK339" s="36">
        <v>0</v>
      </c>
      <c r="AL339" s="38">
        <v>0</v>
      </c>
      <c r="AM339" s="35">
        <v>0</v>
      </c>
      <c r="AN339" s="19">
        <v>0</v>
      </c>
      <c r="AO339" s="23">
        <v>0</v>
      </c>
      <c r="AP339" s="24">
        <v>0</v>
      </c>
      <c r="AQ339" s="58">
        <f t="shared" si="22"/>
        <v>5.04</v>
      </c>
      <c r="AR339" s="59">
        <f t="shared" si="23"/>
        <v>12600</v>
      </c>
      <c r="AS339" s="35">
        <v>7</v>
      </c>
    </row>
    <row r="340" spans="1:45" ht="16" x14ac:dyDescent="0.2">
      <c r="A340" s="53">
        <v>336</v>
      </c>
      <c r="B340" s="55" t="s">
        <v>356</v>
      </c>
      <c r="C340" s="54" t="s">
        <v>364</v>
      </c>
      <c r="D340" s="350"/>
      <c r="E340" s="53"/>
      <c r="F340" s="56"/>
      <c r="G340" s="53"/>
      <c r="H340" s="56"/>
      <c r="I340" s="57"/>
      <c r="J340" s="53"/>
      <c r="K340" s="56"/>
      <c r="L340" s="57"/>
      <c r="M340" s="58"/>
      <c r="N340" s="56"/>
      <c r="O340" s="57"/>
      <c r="P340" s="58">
        <f t="shared" si="20"/>
        <v>2.88</v>
      </c>
      <c r="Q340" s="59">
        <f t="shared" si="21"/>
        <v>7200</v>
      </c>
      <c r="R340" s="35">
        <v>4</v>
      </c>
      <c r="S340" s="19">
        <v>0</v>
      </c>
      <c r="T340" s="23">
        <v>0</v>
      </c>
      <c r="U340" s="24">
        <v>0</v>
      </c>
      <c r="V340" s="33">
        <v>0</v>
      </c>
      <c r="W340" s="34">
        <v>0</v>
      </c>
      <c r="X340" s="35">
        <v>0</v>
      </c>
      <c r="Y340" s="19">
        <v>0</v>
      </c>
      <c r="Z340" s="23">
        <v>0</v>
      </c>
      <c r="AA340" s="24">
        <v>0</v>
      </c>
      <c r="AB340" s="33">
        <v>0</v>
      </c>
      <c r="AC340" s="34">
        <v>0</v>
      </c>
      <c r="AD340" s="35">
        <v>0</v>
      </c>
      <c r="AE340" s="36">
        <v>0</v>
      </c>
      <c r="AF340" s="23">
        <v>0</v>
      </c>
      <c r="AG340" s="24">
        <v>0</v>
      </c>
      <c r="AH340" s="33">
        <v>0</v>
      </c>
      <c r="AI340" s="37">
        <v>0</v>
      </c>
      <c r="AJ340" s="35">
        <v>0</v>
      </c>
      <c r="AK340" s="36">
        <v>0</v>
      </c>
      <c r="AL340" s="38">
        <v>0</v>
      </c>
      <c r="AM340" s="35">
        <v>0</v>
      </c>
      <c r="AN340" s="19">
        <v>0</v>
      </c>
      <c r="AO340" s="23">
        <v>0</v>
      </c>
      <c r="AP340" s="24">
        <v>0</v>
      </c>
      <c r="AQ340" s="58">
        <f t="shared" si="22"/>
        <v>2.88</v>
      </c>
      <c r="AR340" s="59">
        <f t="shared" si="23"/>
        <v>7200</v>
      </c>
      <c r="AS340" s="35">
        <v>4</v>
      </c>
    </row>
    <row r="341" spans="1:45" ht="16" x14ac:dyDescent="0.2">
      <c r="A341" s="53">
        <v>337</v>
      </c>
      <c r="B341" s="55" t="s">
        <v>356</v>
      </c>
      <c r="C341" s="54" t="s">
        <v>365</v>
      </c>
      <c r="D341" s="350"/>
      <c r="E341" s="53"/>
      <c r="F341" s="56"/>
      <c r="G341" s="53"/>
      <c r="H341" s="56"/>
      <c r="I341" s="57"/>
      <c r="J341" s="53"/>
      <c r="K341" s="56"/>
      <c r="L341" s="57"/>
      <c r="M341" s="58"/>
      <c r="N341" s="56"/>
      <c r="O341" s="57"/>
      <c r="P341" s="58">
        <f t="shared" si="20"/>
        <v>7.2</v>
      </c>
      <c r="Q341" s="59">
        <f t="shared" si="21"/>
        <v>18000</v>
      </c>
      <c r="R341" s="35">
        <v>10</v>
      </c>
      <c r="S341" s="19">
        <v>0</v>
      </c>
      <c r="T341" s="23">
        <v>0</v>
      </c>
      <c r="U341" s="24">
        <v>0</v>
      </c>
      <c r="V341" s="33">
        <v>0</v>
      </c>
      <c r="W341" s="34">
        <v>0</v>
      </c>
      <c r="X341" s="35">
        <v>0</v>
      </c>
      <c r="Y341" s="19">
        <v>0</v>
      </c>
      <c r="Z341" s="23">
        <v>0</v>
      </c>
      <c r="AA341" s="24">
        <v>0</v>
      </c>
      <c r="AB341" s="33">
        <v>0</v>
      </c>
      <c r="AC341" s="34">
        <v>0</v>
      </c>
      <c r="AD341" s="35">
        <v>0</v>
      </c>
      <c r="AE341" s="36">
        <v>0</v>
      </c>
      <c r="AF341" s="23">
        <v>0</v>
      </c>
      <c r="AG341" s="24">
        <v>0</v>
      </c>
      <c r="AH341" s="33">
        <v>0</v>
      </c>
      <c r="AI341" s="37">
        <v>0</v>
      </c>
      <c r="AJ341" s="35">
        <v>0</v>
      </c>
      <c r="AK341" s="36">
        <v>0</v>
      </c>
      <c r="AL341" s="38">
        <v>0</v>
      </c>
      <c r="AM341" s="35">
        <v>0</v>
      </c>
      <c r="AN341" s="19">
        <v>0</v>
      </c>
      <c r="AO341" s="23">
        <v>0</v>
      </c>
      <c r="AP341" s="24">
        <v>0</v>
      </c>
      <c r="AQ341" s="58">
        <f t="shared" si="22"/>
        <v>7.2</v>
      </c>
      <c r="AR341" s="59">
        <f t="shared" si="23"/>
        <v>18000</v>
      </c>
      <c r="AS341" s="35">
        <v>10</v>
      </c>
    </row>
    <row r="342" spans="1:45" ht="16" x14ac:dyDescent="0.2">
      <c r="A342" s="53">
        <v>338</v>
      </c>
      <c r="B342" s="55" t="s">
        <v>356</v>
      </c>
      <c r="C342" s="54" t="s">
        <v>366</v>
      </c>
      <c r="D342" s="350"/>
      <c r="E342" s="53"/>
      <c r="F342" s="56"/>
      <c r="G342" s="53"/>
      <c r="H342" s="56"/>
      <c r="I342" s="57"/>
      <c r="J342" s="53"/>
      <c r="K342" s="56"/>
      <c r="L342" s="57"/>
      <c r="M342" s="58"/>
      <c r="N342" s="56"/>
      <c r="O342" s="57"/>
      <c r="P342" s="58">
        <f t="shared" si="20"/>
        <v>8.64</v>
      </c>
      <c r="Q342" s="59">
        <f t="shared" si="21"/>
        <v>21600</v>
      </c>
      <c r="R342" s="35">
        <v>12</v>
      </c>
      <c r="S342" s="19">
        <v>0</v>
      </c>
      <c r="T342" s="23">
        <v>0</v>
      </c>
      <c r="U342" s="24">
        <v>0</v>
      </c>
      <c r="V342" s="33">
        <v>0</v>
      </c>
      <c r="W342" s="34">
        <v>0</v>
      </c>
      <c r="X342" s="35">
        <v>0</v>
      </c>
      <c r="Y342" s="19">
        <v>0</v>
      </c>
      <c r="Z342" s="23">
        <v>0</v>
      </c>
      <c r="AA342" s="24">
        <v>0</v>
      </c>
      <c r="AB342" s="33">
        <v>0</v>
      </c>
      <c r="AC342" s="34">
        <v>0</v>
      </c>
      <c r="AD342" s="35">
        <v>0</v>
      </c>
      <c r="AE342" s="36">
        <v>0</v>
      </c>
      <c r="AF342" s="23">
        <v>0</v>
      </c>
      <c r="AG342" s="24">
        <v>0</v>
      </c>
      <c r="AH342" s="33">
        <v>0</v>
      </c>
      <c r="AI342" s="37">
        <v>0</v>
      </c>
      <c r="AJ342" s="35">
        <v>0</v>
      </c>
      <c r="AK342" s="36">
        <v>0</v>
      </c>
      <c r="AL342" s="38">
        <v>0</v>
      </c>
      <c r="AM342" s="35">
        <v>0</v>
      </c>
      <c r="AN342" s="19">
        <v>0</v>
      </c>
      <c r="AO342" s="23">
        <v>0</v>
      </c>
      <c r="AP342" s="24">
        <v>0</v>
      </c>
      <c r="AQ342" s="58">
        <f t="shared" si="22"/>
        <v>8.64</v>
      </c>
      <c r="AR342" s="59">
        <f t="shared" si="23"/>
        <v>21600</v>
      </c>
      <c r="AS342" s="35">
        <v>12</v>
      </c>
    </row>
    <row r="343" spans="1:45" ht="16" x14ac:dyDescent="0.2">
      <c r="A343" s="53">
        <v>339</v>
      </c>
      <c r="B343" s="55" t="s">
        <v>356</v>
      </c>
      <c r="C343" s="54" t="s">
        <v>356</v>
      </c>
      <c r="D343" s="350"/>
      <c r="E343" s="53"/>
      <c r="F343" s="56"/>
      <c r="G343" s="53"/>
      <c r="H343" s="56"/>
      <c r="I343" s="57"/>
      <c r="J343" s="53"/>
      <c r="K343" s="56"/>
      <c r="L343" s="57"/>
      <c r="M343" s="58"/>
      <c r="N343" s="56"/>
      <c r="O343" s="57"/>
      <c r="P343" s="58">
        <f t="shared" si="20"/>
        <v>15.84</v>
      </c>
      <c r="Q343" s="59">
        <f t="shared" si="21"/>
        <v>39600</v>
      </c>
      <c r="R343" s="35">
        <v>22</v>
      </c>
      <c r="S343" s="19">
        <v>0</v>
      </c>
      <c r="T343" s="23">
        <v>0</v>
      </c>
      <c r="U343" s="24">
        <v>0</v>
      </c>
      <c r="V343" s="33">
        <v>0</v>
      </c>
      <c r="W343" s="34">
        <v>0</v>
      </c>
      <c r="X343" s="35">
        <v>0</v>
      </c>
      <c r="Y343" s="19">
        <v>0</v>
      </c>
      <c r="Z343" s="23">
        <v>0</v>
      </c>
      <c r="AA343" s="24">
        <v>0</v>
      </c>
      <c r="AB343" s="33">
        <v>0</v>
      </c>
      <c r="AC343" s="34">
        <v>0</v>
      </c>
      <c r="AD343" s="35">
        <v>0</v>
      </c>
      <c r="AE343" s="36">
        <v>0</v>
      </c>
      <c r="AF343" s="23">
        <v>0</v>
      </c>
      <c r="AG343" s="24">
        <v>0</v>
      </c>
      <c r="AH343" s="33">
        <v>0</v>
      </c>
      <c r="AI343" s="37">
        <v>0</v>
      </c>
      <c r="AJ343" s="35">
        <v>0</v>
      </c>
      <c r="AK343" s="36">
        <v>0</v>
      </c>
      <c r="AL343" s="38">
        <v>0</v>
      </c>
      <c r="AM343" s="35">
        <v>0</v>
      </c>
      <c r="AN343" s="19">
        <v>0</v>
      </c>
      <c r="AO343" s="23">
        <v>0</v>
      </c>
      <c r="AP343" s="24">
        <v>0</v>
      </c>
      <c r="AQ343" s="58">
        <f t="shared" si="22"/>
        <v>15.84</v>
      </c>
      <c r="AR343" s="59">
        <f t="shared" si="23"/>
        <v>39600</v>
      </c>
      <c r="AS343" s="35">
        <v>22</v>
      </c>
    </row>
    <row r="344" spans="1:45" x14ac:dyDescent="0.2">
      <c r="P344" s="58">
        <f t="shared" si="20"/>
        <v>1111.68</v>
      </c>
      <c r="Q344" s="59">
        <f t="shared" si="21"/>
        <v>2779200</v>
      </c>
      <c r="R344" s="60">
        <f>SUM(R4:R343)</f>
        <v>1544</v>
      </c>
      <c r="AQ344" s="58">
        <f t="shared" si="22"/>
        <v>1111.68</v>
      </c>
      <c r="AR344" s="59">
        <f t="shared" si="23"/>
        <v>2779200</v>
      </c>
      <c r="AS344" s="61">
        <f>SUM(AS4:AS343)</f>
        <v>1544</v>
      </c>
    </row>
  </sheetData>
  <mergeCells count="39">
    <mergeCell ref="D311:D327"/>
    <mergeCell ref="D328:D343"/>
    <mergeCell ref="D209:D225"/>
    <mergeCell ref="D226:D242"/>
    <mergeCell ref="D243:D259"/>
    <mergeCell ref="D260:D276"/>
    <mergeCell ref="D277:D293"/>
    <mergeCell ref="D294:D310"/>
    <mergeCell ref="D192:D208"/>
    <mergeCell ref="D4:D20"/>
    <mergeCell ref="D21:D37"/>
    <mergeCell ref="D38:D55"/>
    <mergeCell ref="D56:D72"/>
    <mergeCell ref="D73:D89"/>
    <mergeCell ref="D90:D106"/>
    <mergeCell ref="D107:D123"/>
    <mergeCell ref="D124:D140"/>
    <mergeCell ref="D141:D157"/>
    <mergeCell ref="D158:D174"/>
    <mergeCell ref="D175:D191"/>
    <mergeCell ref="AQ2:AS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1:H1"/>
    <mergeCell ref="A2:A3"/>
    <mergeCell ref="B2:B3"/>
    <mergeCell ref="C2:C3"/>
    <mergeCell ref="D2:D3"/>
    <mergeCell ref="E2:F2"/>
    <mergeCell ref="G2: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71B85-CA7B-2649-A936-8BE863B729F1}">
  <dimension ref="A1:AF146"/>
  <sheetViews>
    <sheetView topLeftCell="K120" workbookViewId="0">
      <selection activeCell="T137" sqref="T137"/>
    </sheetView>
  </sheetViews>
  <sheetFormatPr baseColWidth="10" defaultRowHeight="15" x14ac:dyDescent="0.2"/>
  <cols>
    <col min="20" max="20" width="13.1640625" bestFit="1" customWidth="1"/>
    <col min="22" max="22" width="8.1640625" hidden="1" customWidth="1"/>
    <col min="23" max="23" width="5.33203125" hidden="1" customWidth="1"/>
    <col min="24" max="24" width="11.6640625" hidden="1" customWidth="1"/>
    <col min="25" max="25" width="10.5" hidden="1" customWidth="1"/>
  </cols>
  <sheetData>
    <row r="1" spans="1:32" x14ac:dyDescent="0.2">
      <c r="A1" s="85"/>
      <c r="B1" s="85"/>
      <c r="C1" s="85"/>
      <c r="D1" s="85"/>
      <c r="E1" s="114"/>
      <c r="F1" s="85"/>
      <c r="G1" s="94"/>
      <c r="H1" s="115"/>
      <c r="I1" s="94"/>
      <c r="J1" s="115"/>
      <c r="K1" s="94"/>
      <c r="L1" s="115"/>
      <c r="M1" s="94"/>
      <c r="N1" s="115"/>
      <c r="O1" s="115"/>
      <c r="P1" s="115"/>
      <c r="Q1" s="249"/>
      <c r="R1" s="115"/>
      <c r="S1" s="94"/>
      <c r="T1" s="85"/>
      <c r="U1" s="85"/>
      <c r="V1" s="276"/>
      <c r="W1" s="277"/>
      <c r="X1" s="278"/>
      <c r="Y1" s="278"/>
      <c r="Z1" s="279"/>
      <c r="AA1" s="280"/>
      <c r="AB1" s="281"/>
      <c r="AC1" s="281"/>
      <c r="AD1" s="276"/>
      <c r="AE1" s="276"/>
      <c r="AF1" s="276"/>
    </row>
    <row r="2" spans="1:32" ht="21" thickBot="1" x14ac:dyDescent="0.25">
      <c r="A2" s="372" t="s">
        <v>418</v>
      </c>
      <c r="B2" s="372"/>
      <c r="C2" s="372"/>
      <c r="D2" s="372"/>
      <c r="E2" s="372"/>
      <c r="F2" s="372"/>
      <c r="G2" s="372"/>
      <c r="H2" s="372"/>
      <c r="I2" s="372"/>
      <c r="J2" s="372"/>
      <c r="K2" s="372"/>
      <c r="L2" s="372"/>
      <c r="M2" s="372"/>
      <c r="N2" s="372"/>
      <c r="O2" s="372"/>
      <c r="P2" s="372"/>
      <c r="Q2" s="372"/>
      <c r="R2" s="372"/>
      <c r="S2" s="372"/>
      <c r="T2" s="372"/>
      <c r="U2" s="117"/>
      <c r="V2" s="282">
        <f>+H146</f>
        <v>0</v>
      </c>
      <c r="W2" s="277"/>
      <c r="X2" s="278"/>
      <c r="Y2" s="283">
        <f>476985.41+34720</f>
        <v>511705.41</v>
      </c>
      <c r="Z2" s="279"/>
      <c r="AA2" s="280"/>
      <c r="AB2" s="281"/>
      <c r="AC2" s="284"/>
      <c r="AD2" s="276"/>
      <c r="AE2" s="276"/>
      <c r="AF2" s="276"/>
    </row>
    <row r="3" spans="1:32" ht="16" x14ac:dyDescent="0.2">
      <c r="A3" s="325" t="s">
        <v>1</v>
      </c>
      <c r="B3" s="327" t="s">
        <v>2</v>
      </c>
      <c r="C3" s="327" t="s">
        <v>3</v>
      </c>
      <c r="D3" s="329" t="s">
        <v>4</v>
      </c>
      <c r="E3" s="331" t="s">
        <v>6</v>
      </c>
      <c r="F3" s="332"/>
      <c r="G3" s="331" t="s">
        <v>7</v>
      </c>
      <c r="H3" s="332"/>
      <c r="I3" s="331" t="s">
        <v>419</v>
      </c>
      <c r="J3" s="332"/>
      <c r="K3" s="331" t="s">
        <v>420</v>
      </c>
      <c r="L3" s="332"/>
      <c r="M3" s="331" t="s">
        <v>421</v>
      </c>
      <c r="N3" s="332"/>
      <c r="O3" s="331" t="s">
        <v>422</v>
      </c>
      <c r="P3" s="332"/>
      <c r="Q3" s="331" t="s">
        <v>663</v>
      </c>
      <c r="R3" s="332"/>
      <c r="S3" s="343" t="s">
        <v>18</v>
      </c>
      <c r="T3" s="333"/>
      <c r="U3" s="178"/>
      <c r="V3" s="360">
        <v>3872299.36</v>
      </c>
      <c r="W3" s="360"/>
      <c r="X3" s="285">
        <v>1794116.5</v>
      </c>
      <c r="Y3" s="283">
        <f>+Y2/5092</f>
        <v>100.49202867242734</v>
      </c>
      <c r="Z3" s="277">
        <v>1459509.5</v>
      </c>
      <c r="AA3" s="286">
        <v>2566297.11</v>
      </c>
      <c r="AB3" s="281"/>
      <c r="AC3" s="281"/>
      <c r="AD3" s="276"/>
      <c r="AE3" s="276"/>
      <c r="AF3" s="276"/>
    </row>
    <row r="4" spans="1:32" ht="17" thickBot="1" x14ac:dyDescent="0.25">
      <c r="A4" s="326"/>
      <c r="B4" s="328"/>
      <c r="C4" s="328"/>
      <c r="D4" s="330"/>
      <c r="E4" s="250" t="s">
        <v>19</v>
      </c>
      <c r="F4" s="251" t="s">
        <v>20</v>
      </c>
      <c r="G4" s="250" t="s">
        <v>19</v>
      </c>
      <c r="H4" s="252" t="s">
        <v>20</v>
      </c>
      <c r="I4" s="250" t="s">
        <v>19</v>
      </c>
      <c r="J4" s="252" t="s">
        <v>20</v>
      </c>
      <c r="K4" s="250" t="s">
        <v>19</v>
      </c>
      <c r="L4" s="252" t="s">
        <v>20</v>
      </c>
      <c r="M4" s="250" t="s">
        <v>19</v>
      </c>
      <c r="N4" s="252" t="s">
        <v>20</v>
      </c>
      <c r="O4" s="250" t="s">
        <v>19</v>
      </c>
      <c r="P4" s="252" t="s">
        <v>20</v>
      </c>
      <c r="Q4" s="250" t="s">
        <v>19</v>
      </c>
      <c r="R4" s="252" t="s">
        <v>20</v>
      </c>
      <c r="S4" s="253" t="s">
        <v>19</v>
      </c>
      <c r="T4" s="66" t="s">
        <v>20</v>
      </c>
      <c r="U4" s="179"/>
      <c r="V4" s="287">
        <f>+V3/4899</f>
        <v>790.42648703817099</v>
      </c>
      <c r="W4" s="277"/>
      <c r="X4" s="285">
        <f>+X3/1779</f>
        <v>1008.4971894322654</v>
      </c>
      <c r="Y4" s="283">
        <f>+Y3</f>
        <v>100.49202867242734</v>
      </c>
      <c r="Z4" s="288">
        <f>+Z3/I133</f>
        <v>165.75917092561045</v>
      </c>
      <c r="AA4" s="286">
        <f>+AA3/11160</f>
        <v>229.954938172043</v>
      </c>
      <c r="AB4" s="281"/>
      <c r="AC4" s="281"/>
      <c r="AD4" s="276"/>
      <c r="AE4" s="276"/>
      <c r="AF4" s="276"/>
    </row>
    <row r="5" spans="1:32" x14ac:dyDescent="0.2">
      <c r="A5" s="86">
        <v>1</v>
      </c>
      <c r="B5" s="361" t="s">
        <v>423</v>
      </c>
      <c r="C5" s="93" t="s">
        <v>424</v>
      </c>
      <c r="D5" s="370" t="s">
        <v>425</v>
      </c>
      <c r="E5" s="254">
        <v>0</v>
      </c>
      <c r="F5" s="255">
        <v>0</v>
      </c>
      <c r="G5" s="256">
        <v>280</v>
      </c>
      <c r="H5" s="257">
        <f>+G5*Y5</f>
        <v>28137.768028279654</v>
      </c>
      <c r="I5" s="256">
        <v>275</v>
      </c>
      <c r="J5" s="257">
        <f t="shared" ref="J5:J10" si="0">+I5*Z5</f>
        <v>45583.772004542872</v>
      </c>
      <c r="K5" s="256">
        <v>29</v>
      </c>
      <c r="L5" s="258">
        <v>24931.105172591448</v>
      </c>
      <c r="M5" s="256">
        <v>28</v>
      </c>
      <c r="N5" s="255">
        <f>+M5*X5</f>
        <v>28237.921304103431</v>
      </c>
      <c r="O5" s="259">
        <v>268</v>
      </c>
      <c r="P5" s="257">
        <f t="shared" ref="P5:P68" si="1">+O5*AA5</f>
        <v>61627.923430107527</v>
      </c>
      <c r="Q5" s="254">
        <v>102</v>
      </c>
      <c r="R5" s="257">
        <f>+Q5*V5</f>
        <v>80623.501677893437</v>
      </c>
      <c r="S5" s="256">
        <f>+G5+I5+K5+M5+O5+Q5</f>
        <v>982</v>
      </c>
      <c r="T5" s="260">
        <f>+H5+J5+L5+N5+P5+R5</f>
        <v>269141.99161751836</v>
      </c>
      <c r="U5" s="116"/>
      <c r="V5" s="289">
        <f>+V4</f>
        <v>790.42648703817099</v>
      </c>
      <c r="W5" s="277"/>
      <c r="X5" s="290">
        <f>+X4</f>
        <v>1008.4971894322654</v>
      </c>
      <c r="Y5" s="283">
        <f t="shared" ref="Y5:AA18" si="2">+Y4</f>
        <v>100.49202867242734</v>
      </c>
      <c r="Z5" s="288">
        <f>+Z4</f>
        <v>165.75917092561045</v>
      </c>
      <c r="AA5" s="286">
        <f>+AA4</f>
        <v>229.954938172043</v>
      </c>
      <c r="AB5" s="281"/>
      <c r="AC5" s="281"/>
      <c r="AD5" s="276"/>
      <c r="AE5" s="276"/>
      <c r="AF5" s="276"/>
    </row>
    <row r="6" spans="1:32" x14ac:dyDescent="0.2">
      <c r="A6" s="86">
        <f>+A5+1</f>
        <v>2</v>
      </c>
      <c r="B6" s="362"/>
      <c r="C6" s="93" t="s">
        <v>426</v>
      </c>
      <c r="D6" s="371"/>
      <c r="E6" s="93">
        <v>0</v>
      </c>
      <c r="F6" s="87">
        <v>0</v>
      </c>
      <c r="G6" s="88">
        <v>130</v>
      </c>
      <c r="H6" s="89">
        <f>+G6*Y5</f>
        <v>13063.963727415554</v>
      </c>
      <c r="I6" s="88">
        <v>174</v>
      </c>
      <c r="J6" s="89">
        <f t="shared" si="0"/>
        <v>28842.095741056219</v>
      </c>
      <c r="K6" s="88">
        <v>38</v>
      </c>
      <c r="L6" s="90">
        <v>32668.344708912929</v>
      </c>
      <c r="M6" s="88">
        <v>14</v>
      </c>
      <c r="N6" s="87">
        <f t="shared" ref="N6:N77" si="3">+M6*X6</f>
        <v>14118.960652051715</v>
      </c>
      <c r="O6" s="91">
        <v>134</v>
      </c>
      <c r="P6" s="89">
        <f t="shared" si="1"/>
        <v>30813.961715053763</v>
      </c>
      <c r="Q6" s="93">
        <v>42</v>
      </c>
      <c r="R6" s="89">
        <f t="shared" ref="R6:R69" si="4">+Q6*V6</f>
        <v>33197.912455603182</v>
      </c>
      <c r="S6" s="88">
        <f t="shared" ref="S6:T67" si="5">+G6+I6+K6+M6+O6+Q6</f>
        <v>532</v>
      </c>
      <c r="T6" s="92">
        <f t="shared" si="5"/>
        <v>152705.23900009337</v>
      </c>
      <c r="U6" s="116"/>
      <c r="V6" s="289">
        <f t="shared" ref="V6:X21" si="6">+V5</f>
        <v>790.42648703817099</v>
      </c>
      <c r="W6" s="291">
        <f t="shared" si="6"/>
        <v>0</v>
      </c>
      <c r="X6" s="290">
        <f t="shared" si="6"/>
        <v>1008.4971894322654</v>
      </c>
      <c r="Y6" s="283">
        <f t="shared" si="2"/>
        <v>100.49202867242734</v>
      </c>
      <c r="Z6" s="288">
        <f t="shared" si="2"/>
        <v>165.75917092561045</v>
      </c>
      <c r="AA6" s="286">
        <f t="shared" si="2"/>
        <v>229.954938172043</v>
      </c>
      <c r="AB6" s="281"/>
      <c r="AC6" s="281"/>
      <c r="AD6" s="276"/>
      <c r="AE6" s="276"/>
      <c r="AF6" s="276"/>
    </row>
    <row r="7" spans="1:32" x14ac:dyDescent="0.2">
      <c r="A7" s="86">
        <f t="shared" ref="A7:A70" si="7">+A6+1</f>
        <v>3</v>
      </c>
      <c r="B7" s="362"/>
      <c r="C7" s="93" t="s">
        <v>427</v>
      </c>
      <c r="D7" s="371"/>
      <c r="E7" s="93">
        <v>0</v>
      </c>
      <c r="F7" s="87">
        <v>0</v>
      </c>
      <c r="G7" s="88">
        <v>354</v>
      </c>
      <c r="H7" s="89">
        <f>+G7*Y6</f>
        <v>35574.178150039275</v>
      </c>
      <c r="I7" s="88">
        <v>373</v>
      </c>
      <c r="J7" s="89">
        <f t="shared" si="0"/>
        <v>61828.1707552527</v>
      </c>
      <c r="K7" s="88">
        <v>39</v>
      </c>
      <c r="L7" s="90">
        <v>33528.037990726429</v>
      </c>
      <c r="M7" s="88">
        <v>9</v>
      </c>
      <c r="N7" s="87">
        <f t="shared" si="3"/>
        <v>9076.4747048903882</v>
      </c>
      <c r="O7" s="91">
        <v>377</v>
      </c>
      <c r="P7" s="89">
        <f t="shared" si="1"/>
        <v>86693.011690860207</v>
      </c>
      <c r="Q7" s="93">
        <v>202</v>
      </c>
      <c r="R7" s="89">
        <f t="shared" si="4"/>
        <v>159666.15038171053</v>
      </c>
      <c r="S7" s="88">
        <f t="shared" si="5"/>
        <v>1354</v>
      </c>
      <c r="T7" s="92">
        <f t="shared" si="5"/>
        <v>386366.02367347956</v>
      </c>
      <c r="U7" s="116"/>
      <c r="V7" s="289">
        <f t="shared" si="6"/>
        <v>790.42648703817099</v>
      </c>
      <c r="W7" s="291">
        <f t="shared" si="6"/>
        <v>0</v>
      </c>
      <c r="X7" s="290">
        <f t="shared" si="6"/>
        <v>1008.4971894322654</v>
      </c>
      <c r="Y7" s="283">
        <f t="shared" si="2"/>
        <v>100.49202867242734</v>
      </c>
      <c r="Z7" s="288">
        <f t="shared" si="2"/>
        <v>165.75917092561045</v>
      </c>
      <c r="AA7" s="286">
        <f t="shared" si="2"/>
        <v>229.954938172043</v>
      </c>
      <c r="AB7" s="281"/>
      <c r="AC7" s="281"/>
      <c r="AD7" s="276"/>
      <c r="AE7" s="276"/>
      <c r="AF7" s="276"/>
    </row>
    <row r="8" spans="1:32" x14ac:dyDescent="0.2">
      <c r="A8" s="86">
        <f t="shared" si="7"/>
        <v>4</v>
      </c>
      <c r="B8" s="362"/>
      <c r="C8" s="93" t="s">
        <v>428</v>
      </c>
      <c r="D8" s="371"/>
      <c r="E8" s="93">
        <v>0</v>
      </c>
      <c r="F8" s="87">
        <v>0</v>
      </c>
      <c r="G8" s="88">
        <v>204</v>
      </c>
      <c r="H8" s="89">
        <f>+G8*Y7</f>
        <v>20500.373849175176</v>
      </c>
      <c r="I8" s="88">
        <v>171</v>
      </c>
      <c r="J8" s="89">
        <f t="shared" si="0"/>
        <v>28344.818228279386</v>
      </c>
      <c r="K8" s="88">
        <v>12</v>
      </c>
      <c r="L8" s="90">
        <v>10316.319381761978</v>
      </c>
      <c r="M8" s="88">
        <v>5</v>
      </c>
      <c r="N8" s="87">
        <f t="shared" si="3"/>
        <v>5042.4859471613272</v>
      </c>
      <c r="O8" s="91">
        <v>123</v>
      </c>
      <c r="P8" s="89">
        <f t="shared" si="1"/>
        <v>28284.457395161287</v>
      </c>
      <c r="Q8" s="93">
        <v>53</v>
      </c>
      <c r="R8" s="89">
        <f t="shared" si="4"/>
        <v>41892.603813023059</v>
      </c>
      <c r="S8" s="88">
        <f t="shared" si="5"/>
        <v>568</v>
      </c>
      <c r="T8" s="92">
        <f t="shared" si="5"/>
        <v>134381.05861456221</v>
      </c>
      <c r="U8" s="116"/>
      <c r="V8" s="289">
        <f t="shared" si="6"/>
        <v>790.42648703817099</v>
      </c>
      <c r="W8" s="291">
        <f t="shared" si="6"/>
        <v>0</v>
      </c>
      <c r="X8" s="290">
        <f t="shared" si="6"/>
        <v>1008.4971894322654</v>
      </c>
      <c r="Y8" s="283">
        <f t="shared" si="2"/>
        <v>100.49202867242734</v>
      </c>
      <c r="Z8" s="288">
        <f t="shared" si="2"/>
        <v>165.75917092561045</v>
      </c>
      <c r="AA8" s="286">
        <f t="shared" si="2"/>
        <v>229.954938172043</v>
      </c>
      <c r="AB8" s="281"/>
      <c r="AC8" s="281"/>
      <c r="AD8" s="276"/>
      <c r="AE8" s="276"/>
      <c r="AF8" s="276"/>
    </row>
    <row r="9" spans="1:32" x14ac:dyDescent="0.2">
      <c r="A9" s="86">
        <f t="shared" si="7"/>
        <v>5</v>
      </c>
      <c r="B9" s="362"/>
      <c r="C9" s="93" t="s">
        <v>429</v>
      </c>
      <c r="D9" s="371"/>
      <c r="E9" s="93">
        <v>0</v>
      </c>
      <c r="F9" s="87">
        <v>0</v>
      </c>
      <c r="G9" s="88">
        <v>108</v>
      </c>
      <c r="H9" s="89">
        <f>+G9*Y8</f>
        <v>10853.139096622153</v>
      </c>
      <c r="I9" s="88">
        <v>167</v>
      </c>
      <c r="J9" s="89">
        <f t="shared" si="0"/>
        <v>27681.781544576945</v>
      </c>
      <c r="K9" s="88">
        <v>15</v>
      </c>
      <c r="L9" s="90">
        <v>12895.399227202473</v>
      </c>
      <c r="M9" s="88">
        <v>8</v>
      </c>
      <c r="N9" s="87">
        <f t="shared" si="3"/>
        <v>8067.977515458123</v>
      </c>
      <c r="O9" s="91">
        <v>125</v>
      </c>
      <c r="P9" s="89">
        <f t="shared" si="1"/>
        <v>28744.367271505376</v>
      </c>
      <c r="Q9" s="93">
        <v>11</v>
      </c>
      <c r="R9" s="89">
        <f t="shared" si="4"/>
        <v>8694.6913574198807</v>
      </c>
      <c r="S9" s="88">
        <f t="shared" si="5"/>
        <v>434</v>
      </c>
      <c r="T9" s="92">
        <f t="shared" si="5"/>
        <v>96937.356012784949</v>
      </c>
      <c r="U9" s="116"/>
      <c r="V9" s="289">
        <f t="shared" si="6"/>
        <v>790.42648703817099</v>
      </c>
      <c r="W9" s="291">
        <f t="shared" si="6"/>
        <v>0</v>
      </c>
      <c r="X9" s="290">
        <f t="shared" si="6"/>
        <v>1008.4971894322654</v>
      </c>
      <c r="Y9" s="283">
        <f t="shared" si="2"/>
        <v>100.49202867242734</v>
      </c>
      <c r="Z9" s="288">
        <f t="shared" si="2"/>
        <v>165.75917092561045</v>
      </c>
      <c r="AA9" s="286">
        <f t="shared" si="2"/>
        <v>229.954938172043</v>
      </c>
      <c r="AB9" s="281"/>
      <c r="AC9" s="281"/>
      <c r="AD9" s="276"/>
      <c r="AE9" s="276"/>
      <c r="AF9" s="276"/>
    </row>
    <row r="10" spans="1:32" x14ac:dyDescent="0.2">
      <c r="A10" s="86">
        <f t="shared" si="7"/>
        <v>6</v>
      </c>
      <c r="B10" s="362"/>
      <c r="C10" s="93" t="s">
        <v>430</v>
      </c>
      <c r="D10" s="371"/>
      <c r="E10" s="93">
        <v>0</v>
      </c>
      <c r="F10" s="87">
        <v>0</v>
      </c>
      <c r="G10" s="88">
        <v>967</v>
      </c>
      <c r="H10" s="89">
        <f>+G10*Y9</f>
        <v>97175.791726237236</v>
      </c>
      <c r="I10" s="88">
        <v>946</v>
      </c>
      <c r="J10" s="89">
        <f t="shared" si="0"/>
        <v>156808.17569562749</v>
      </c>
      <c r="K10" s="88">
        <v>153</v>
      </c>
      <c r="L10" s="90">
        <v>131533.07211746523</v>
      </c>
      <c r="M10" s="88">
        <v>247</v>
      </c>
      <c r="N10" s="87">
        <f t="shared" si="3"/>
        <v>249098.80578976954</v>
      </c>
      <c r="O10" s="91">
        <v>990</v>
      </c>
      <c r="P10" s="89">
        <f t="shared" si="1"/>
        <v>227655.38879032258</v>
      </c>
      <c r="Q10" s="93">
        <v>463</v>
      </c>
      <c r="R10" s="89">
        <f t="shared" si="4"/>
        <v>365967.46349867317</v>
      </c>
      <c r="S10" s="88">
        <f t="shared" si="5"/>
        <v>3766</v>
      </c>
      <c r="T10" s="92">
        <f t="shared" si="5"/>
        <v>1228238.6976180952</v>
      </c>
      <c r="U10" s="116"/>
      <c r="V10" s="289">
        <f t="shared" si="6"/>
        <v>790.42648703817099</v>
      </c>
      <c r="W10" s="291">
        <f t="shared" si="6"/>
        <v>0</v>
      </c>
      <c r="X10" s="290">
        <f t="shared" si="6"/>
        <v>1008.4971894322654</v>
      </c>
      <c r="Y10" s="283">
        <f>+Y9</f>
        <v>100.49202867242734</v>
      </c>
      <c r="Z10" s="288">
        <f>+Z9</f>
        <v>165.75917092561045</v>
      </c>
      <c r="AA10" s="286">
        <f t="shared" si="2"/>
        <v>229.954938172043</v>
      </c>
      <c r="AB10" s="281"/>
      <c r="AC10" s="281"/>
      <c r="AD10" s="276"/>
      <c r="AE10" s="276"/>
      <c r="AF10" s="276"/>
    </row>
    <row r="11" spans="1:32" x14ac:dyDescent="0.2">
      <c r="A11" s="86">
        <f t="shared" si="7"/>
        <v>7</v>
      </c>
      <c r="B11" s="363"/>
      <c r="C11" s="93" t="s">
        <v>431</v>
      </c>
      <c r="D11" s="371"/>
      <c r="E11" s="93">
        <v>0</v>
      </c>
      <c r="F11" s="87">
        <v>0</v>
      </c>
      <c r="G11" s="88">
        <v>0</v>
      </c>
      <c r="H11" s="89">
        <v>0</v>
      </c>
      <c r="I11" s="88">
        <v>0</v>
      </c>
      <c r="J11" s="89">
        <v>0</v>
      </c>
      <c r="K11" s="88">
        <v>0</v>
      </c>
      <c r="L11" s="90">
        <v>0</v>
      </c>
      <c r="M11" s="88">
        <v>0</v>
      </c>
      <c r="N11" s="87">
        <f t="shared" si="3"/>
        <v>0</v>
      </c>
      <c r="O11" s="91">
        <v>4</v>
      </c>
      <c r="P11" s="89">
        <f t="shared" si="1"/>
        <v>919.819752688172</v>
      </c>
      <c r="Q11" s="93">
        <v>33</v>
      </c>
      <c r="R11" s="89">
        <f t="shared" si="4"/>
        <v>26084.074072259642</v>
      </c>
      <c r="S11" s="88">
        <f t="shared" si="5"/>
        <v>37</v>
      </c>
      <c r="T11" s="92">
        <f t="shared" si="5"/>
        <v>27003.893824947812</v>
      </c>
      <c r="U11" s="116"/>
      <c r="V11" s="289">
        <f t="shared" si="6"/>
        <v>790.42648703817099</v>
      </c>
      <c r="W11" s="291">
        <f t="shared" si="6"/>
        <v>0</v>
      </c>
      <c r="X11" s="290">
        <f t="shared" si="6"/>
        <v>1008.4971894322654</v>
      </c>
      <c r="Y11" s="283"/>
      <c r="Z11" s="288"/>
      <c r="AA11" s="286">
        <f t="shared" si="2"/>
        <v>229.954938172043</v>
      </c>
      <c r="AB11" s="281"/>
      <c r="AC11" s="281"/>
      <c r="AD11" s="276"/>
      <c r="AE11" s="276"/>
      <c r="AF11" s="276"/>
    </row>
    <row r="12" spans="1:32" x14ac:dyDescent="0.2">
      <c r="A12" s="86">
        <f t="shared" si="7"/>
        <v>8</v>
      </c>
      <c r="B12" s="369" t="s">
        <v>432</v>
      </c>
      <c r="C12" s="93" t="s">
        <v>433</v>
      </c>
      <c r="D12" s="371"/>
      <c r="E12" s="93">
        <v>0</v>
      </c>
      <c r="F12" s="87">
        <v>0</v>
      </c>
      <c r="G12" s="88">
        <v>99</v>
      </c>
      <c r="H12" s="89">
        <f>+G12*Y10</f>
        <v>9948.7108385703068</v>
      </c>
      <c r="I12" s="88">
        <v>93</v>
      </c>
      <c r="J12" s="89">
        <f t="shared" ref="J12:J35" si="8">+I12*Z12</f>
        <v>15415.602896081771</v>
      </c>
      <c r="K12" s="88">
        <v>20</v>
      </c>
      <c r="L12" s="90">
        <v>17193.865636269962</v>
      </c>
      <c r="M12" s="88">
        <v>0</v>
      </c>
      <c r="N12" s="87">
        <f t="shared" si="3"/>
        <v>0</v>
      </c>
      <c r="O12" s="91">
        <v>120</v>
      </c>
      <c r="P12" s="89">
        <f t="shared" si="1"/>
        <v>27594.59258064516</v>
      </c>
      <c r="Q12" s="93">
        <v>0</v>
      </c>
      <c r="R12" s="89">
        <f t="shared" si="4"/>
        <v>0</v>
      </c>
      <c r="S12" s="88">
        <f t="shared" si="5"/>
        <v>332</v>
      </c>
      <c r="T12" s="92">
        <f t="shared" si="5"/>
        <v>70152.771951567192</v>
      </c>
      <c r="U12" s="116"/>
      <c r="V12" s="289">
        <f t="shared" si="6"/>
        <v>790.42648703817099</v>
      </c>
      <c r="W12" s="291">
        <f t="shared" si="6"/>
        <v>0</v>
      </c>
      <c r="X12" s="290">
        <f t="shared" si="6"/>
        <v>1008.4971894322654</v>
      </c>
      <c r="Y12" s="283">
        <f>+Y10</f>
        <v>100.49202867242734</v>
      </c>
      <c r="Z12" s="288">
        <f>+Z10</f>
        <v>165.75917092561045</v>
      </c>
      <c r="AA12" s="286">
        <f t="shared" si="2"/>
        <v>229.954938172043</v>
      </c>
      <c r="AB12" s="281"/>
      <c r="AC12" s="281"/>
      <c r="AD12" s="276"/>
      <c r="AE12" s="276"/>
      <c r="AF12" s="276"/>
    </row>
    <row r="13" spans="1:32" x14ac:dyDescent="0.2">
      <c r="A13" s="86">
        <f t="shared" si="7"/>
        <v>9</v>
      </c>
      <c r="B13" s="369"/>
      <c r="C13" s="93" t="s">
        <v>434</v>
      </c>
      <c r="D13" s="371"/>
      <c r="E13" s="93">
        <v>0</v>
      </c>
      <c r="F13" s="87">
        <v>0</v>
      </c>
      <c r="G13" s="88">
        <v>13</v>
      </c>
      <c r="H13" s="89">
        <f>+G13*Y12</f>
        <v>1306.3963727415553</v>
      </c>
      <c r="I13" s="88">
        <v>7</v>
      </c>
      <c r="J13" s="89">
        <f t="shared" si="8"/>
        <v>1160.3141964792731</v>
      </c>
      <c r="K13" s="88">
        <v>4</v>
      </c>
      <c r="L13" s="90">
        <v>3438.7731272539927</v>
      </c>
      <c r="M13" s="88">
        <v>0</v>
      </c>
      <c r="N13" s="87">
        <f t="shared" si="3"/>
        <v>0</v>
      </c>
      <c r="O13" s="91">
        <v>0</v>
      </c>
      <c r="P13" s="89">
        <f t="shared" si="1"/>
        <v>0</v>
      </c>
      <c r="Q13" s="93">
        <v>9</v>
      </c>
      <c r="R13" s="89">
        <f t="shared" si="4"/>
        <v>7113.8383833435391</v>
      </c>
      <c r="S13" s="88">
        <f t="shared" si="5"/>
        <v>33</v>
      </c>
      <c r="T13" s="92">
        <f t="shared" si="5"/>
        <v>13019.322079818361</v>
      </c>
      <c r="U13" s="116"/>
      <c r="V13" s="289">
        <f t="shared" si="6"/>
        <v>790.42648703817099</v>
      </c>
      <c r="W13" s="291">
        <f t="shared" si="6"/>
        <v>0</v>
      </c>
      <c r="X13" s="290">
        <f t="shared" si="6"/>
        <v>1008.4971894322654</v>
      </c>
      <c r="Y13" s="283">
        <f t="shared" si="2"/>
        <v>100.49202867242734</v>
      </c>
      <c r="Z13" s="288">
        <f t="shared" si="2"/>
        <v>165.75917092561045</v>
      </c>
      <c r="AA13" s="286">
        <f t="shared" si="2"/>
        <v>229.954938172043</v>
      </c>
      <c r="AB13" s="281"/>
      <c r="AC13" s="281"/>
      <c r="AD13" s="276"/>
      <c r="AE13" s="276"/>
      <c r="AF13" s="276"/>
    </row>
    <row r="14" spans="1:32" x14ac:dyDescent="0.2">
      <c r="A14" s="86">
        <f t="shared" si="7"/>
        <v>10</v>
      </c>
      <c r="B14" s="369"/>
      <c r="C14" s="93" t="s">
        <v>435</v>
      </c>
      <c r="D14" s="371"/>
      <c r="E14" s="93">
        <v>0</v>
      </c>
      <c r="F14" s="87">
        <v>0</v>
      </c>
      <c r="G14" s="88">
        <v>101</v>
      </c>
      <c r="H14" s="89">
        <f>+G14*Y13</f>
        <v>10149.694895915161</v>
      </c>
      <c r="I14" s="88">
        <v>94</v>
      </c>
      <c r="J14" s="89">
        <f t="shared" si="8"/>
        <v>15581.362067007381</v>
      </c>
      <c r="K14" s="88">
        <v>0</v>
      </c>
      <c r="L14" s="90">
        <v>0</v>
      </c>
      <c r="M14" s="88">
        <v>0</v>
      </c>
      <c r="N14" s="87">
        <f t="shared" si="3"/>
        <v>0</v>
      </c>
      <c r="O14" s="91">
        <v>120</v>
      </c>
      <c r="P14" s="89">
        <f t="shared" si="1"/>
        <v>27594.59258064516</v>
      </c>
      <c r="Q14" s="93">
        <v>0</v>
      </c>
      <c r="R14" s="89">
        <f t="shared" si="4"/>
        <v>0</v>
      </c>
      <c r="S14" s="88">
        <f t="shared" si="5"/>
        <v>315</v>
      </c>
      <c r="T14" s="92">
        <f t="shared" si="5"/>
        <v>53325.649543567706</v>
      </c>
      <c r="U14" s="116"/>
      <c r="V14" s="289">
        <f t="shared" si="6"/>
        <v>790.42648703817099</v>
      </c>
      <c r="W14" s="291">
        <f t="shared" si="6"/>
        <v>0</v>
      </c>
      <c r="X14" s="290">
        <f t="shared" si="6"/>
        <v>1008.4971894322654</v>
      </c>
      <c r="Y14" s="283">
        <f t="shared" si="2"/>
        <v>100.49202867242734</v>
      </c>
      <c r="Z14" s="288">
        <f t="shared" si="2"/>
        <v>165.75917092561045</v>
      </c>
      <c r="AA14" s="286">
        <f t="shared" si="2"/>
        <v>229.954938172043</v>
      </c>
      <c r="AB14" s="281"/>
      <c r="AC14" s="281"/>
      <c r="AD14" s="276"/>
      <c r="AE14" s="276"/>
      <c r="AF14" s="276"/>
    </row>
    <row r="15" spans="1:32" x14ac:dyDescent="0.2">
      <c r="A15" s="86">
        <f t="shared" si="7"/>
        <v>11</v>
      </c>
      <c r="B15" s="369"/>
      <c r="C15" s="93" t="s">
        <v>436</v>
      </c>
      <c r="D15" s="371"/>
      <c r="E15" s="93">
        <v>0</v>
      </c>
      <c r="F15" s="87">
        <v>0</v>
      </c>
      <c r="G15" s="88">
        <v>125</v>
      </c>
      <c r="H15" s="89">
        <f>+G15*Y14</f>
        <v>12561.503584053416</v>
      </c>
      <c r="I15" s="88">
        <v>160</v>
      </c>
      <c r="J15" s="89">
        <f t="shared" si="8"/>
        <v>26521.467348097671</v>
      </c>
      <c r="K15" s="88">
        <v>21</v>
      </c>
      <c r="L15" s="90">
        <v>18053.558918083461</v>
      </c>
      <c r="M15" s="88">
        <v>0</v>
      </c>
      <c r="N15" s="87">
        <f t="shared" si="3"/>
        <v>0</v>
      </c>
      <c r="O15" s="91">
        <v>120</v>
      </c>
      <c r="P15" s="89">
        <f t="shared" si="1"/>
        <v>27594.59258064516</v>
      </c>
      <c r="Q15" s="93">
        <v>0</v>
      </c>
      <c r="R15" s="89">
        <f t="shared" si="4"/>
        <v>0</v>
      </c>
      <c r="S15" s="88">
        <f t="shared" si="5"/>
        <v>426</v>
      </c>
      <c r="T15" s="92">
        <f t="shared" si="5"/>
        <v>84731.12243087971</v>
      </c>
      <c r="U15" s="116"/>
      <c r="V15" s="289">
        <f t="shared" si="6"/>
        <v>790.42648703817099</v>
      </c>
      <c r="W15" s="291">
        <f t="shared" si="6"/>
        <v>0</v>
      </c>
      <c r="X15" s="290">
        <f t="shared" si="6"/>
        <v>1008.4971894322654</v>
      </c>
      <c r="Y15" s="283">
        <f t="shared" si="2"/>
        <v>100.49202867242734</v>
      </c>
      <c r="Z15" s="288">
        <f t="shared" si="2"/>
        <v>165.75917092561045</v>
      </c>
      <c r="AA15" s="286">
        <f t="shared" si="2"/>
        <v>229.954938172043</v>
      </c>
      <c r="AB15" s="281"/>
      <c r="AC15" s="281"/>
      <c r="AD15" s="276"/>
      <c r="AE15" s="276"/>
      <c r="AF15" s="276"/>
    </row>
    <row r="16" spans="1:32" x14ac:dyDescent="0.2">
      <c r="A16" s="86">
        <f t="shared" si="7"/>
        <v>12</v>
      </c>
      <c r="B16" s="361" t="s">
        <v>437</v>
      </c>
      <c r="C16" s="93" t="s">
        <v>438</v>
      </c>
      <c r="D16" s="371"/>
      <c r="E16" s="93">
        <v>0</v>
      </c>
      <c r="F16" s="87">
        <v>0</v>
      </c>
      <c r="G16" s="88">
        <v>10</v>
      </c>
      <c r="H16" s="89">
        <f>+G16*Y15</f>
        <v>1004.9202867242734</v>
      </c>
      <c r="I16" s="88">
        <v>150</v>
      </c>
      <c r="J16" s="89">
        <f t="shared" si="8"/>
        <v>24863.875638841568</v>
      </c>
      <c r="K16" s="88">
        <v>3</v>
      </c>
      <c r="L16" s="90">
        <v>2579.0798454404944</v>
      </c>
      <c r="M16" s="88">
        <v>7</v>
      </c>
      <c r="N16" s="87">
        <f t="shared" si="3"/>
        <v>7059.4803260258577</v>
      </c>
      <c r="O16" s="91">
        <v>6</v>
      </c>
      <c r="P16" s="89">
        <f t="shared" si="1"/>
        <v>1379.7296290322579</v>
      </c>
      <c r="Q16" s="93">
        <v>3</v>
      </c>
      <c r="R16" s="89">
        <f t="shared" si="4"/>
        <v>2371.2794611145127</v>
      </c>
      <c r="S16" s="88">
        <f t="shared" si="5"/>
        <v>179</v>
      </c>
      <c r="T16" s="92">
        <f t="shared" si="5"/>
        <v>39258.365187178963</v>
      </c>
      <c r="U16" s="116"/>
      <c r="V16" s="289">
        <f t="shared" si="6"/>
        <v>790.42648703817099</v>
      </c>
      <c r="W16" s="291">
        <f t="shared" si="6"/>
        <v>0</v>
      </c>
      <c r="X16" s="290">
        <f t="shared" si="6"/>
        <v>1008.4971894322654</v>
      </c>
      <c r="Y16" s="283">
        <f t="shared" si="2"/>
        <v>100.49202867242734</v>
      </c>
      <c r="Z16" s="288">
        <f t="shared" si="2"/>
        <v>165.75917092561045</v>
      </c>
      <c r="AA16" s="286">
        <f t="shared" si="2"/>
        <v>229.954938172043</v>
      </c>
      <c r="AB16" s="281"/>
      <c r="AC16" s="281"/>
      <c r="AD16" s="276"/>
      <c r="AE16" s="276"/>
      <c r="AF16" s="276"/>
    </row>
    <row r="17" spans="1:32" x14ac:dyDescent="0.2">
      <c r="A17" s="86">
        <f t="shared" si="7"/>
        <v>13</v>
      </c>
      <c r="B17" s="362"/>
      <c r="C17" s="93" t="s">
        <v>439</v>
      </c>
      <c r="D17" s="371"/>
      <c r="E17" s="93">
        <v>0</v>
      </c>
      <c r="F17" s="87">
        <v>0</v>
      </c>
      <c r="G17" s="88">
        <v>0</v>
      </c>
      <c r="H17" s="89">
        <v>0</v>
      </c>
      <c r="I17" s="88">
        <v>39</v>
      </c>
      <c r="J17" s="89">
        <f t="shared" si="8"/>
        <v>6464.6076660988074</v>
      </c>
      <c r="K17" s="88">
        <v>18</v>
      </c>
      <c r="L17" s="90">
        <v>15474.479072642967</v>
      </c>
      <c r="M17" s="88">
        <v>10</v>
      </c>
      <c r="N17" s="87">
        <f t="shared" si="3"/>
        <v>10084.971894322654</v>
      </c>
      <c r="O17" s="91">
        <v>3</v>
      </c>
      <c r="P17" s="89">
        <f t="shared" si="1"/>
        <v>689.86481451612894</v>
      </c>
      <c r="Q17" s="93">
        <v>5</v>
      </c>
      <c r="R17" s="89">
        <f t="shared" si="4"/>
        <v>3952.1324351908552</v>
      </c>
      <c r="S17" s="88">
        <f t="shared" si="5"/>
        <v>75</v>
      </c>
      <c r="T17" s="92">
        <f t="shared" si="5"/>
        <v>36666.055882771412</v>
      </c>
      <c r="U17" s="116"/>
      <c r="V17" s="289">
        <f t="shared" si="6"/>
        <v>790.42648703817099</v>
      </c>
      <c r="W17" s="291">
        <f t="shared" si="6"/>
        <v>0</v>
      </c>
      <c r="X17" s="290">
        <f t="shared" si="6"/>
        <v>1008.4971894322654</v>
      </c>
      <c r="Y17" s="283"/>
      <c r="Z17" s="288">
        <f t="shared" si="2"/>
        <v>165.75917092561045</v>
      </c>
      <c r="AA17" s="286">
        <f t="shared" si="2"/>
        <v>229.954938172043</v>
      </c>
      <c r="AB17" s="281"/>
      <c r="AC17" s="281"/>
      <c r="AD17" s="276"/>
      <c r="AE17" s="276"/>
      <c r="AF17" s="276"/>
    </row>
    <row r="18" spans="1:32" x14ac:dyDescent="0.2">
      <c r="A18" s="86">
        <f t="shared" si="7"/>
        <v>14</v>
      </c>
      <c r="B18" s="362"/>
      <c r="C18" s="93" t="s">
        <v>440</v>
      </c>
      <c r="D18" s="371"/>
      <c r="E18" s="93">
        <v>0</v>
      </c>
      <c r="F18" s="87">
        <v>0</v>
      </c>
      <c r="G18" s="88">
        <v>21</v>
      </c>
      <c r="H18" s="89">
        <f>+G18*Y16</f>
        <v>2110.3326021209741</v>
      </c>
      <c r="I18" s="88">
        <v>95</v>
      </c>
      <c r="J18" s="89">
        <f t="shared" si="8"/>
        <v>15747.121237932992</v>
      </c>
      <c r="K18" s="88">
        <v>0</v>
      </c>
      <c r="L18" s="90">
        <v>0</v>
      </c>
      <c r="M18" s="88">
        <v>13</v>
      </c>
      <c r="N18" s="87">
        <f t="shared" si="3"/>
        <v>13110.463462619449</v>
      </c>
      <c r="O18" s="91">
        <v>0</v>
      </c>
      <c r="P18" s="89">
        <f t="shared" si="1"/>
        <v>0</v>
      </c>
      <c r="Q18" s="93">
        <v>26</v>
      </c>
      <c r="R18" s="89">
        <f t="shared" si="4"/>
        <v>20551.088662992446</v>
      </c>
      <c r="S18" s="88">
        <f t="shared" si="5"/>
        <v>155</v>
      </c>
      <c r="T18" s="92">
        <f t="shared" si="5"/>
        <v>51519.005965665863</v>
      </c>
      <c r="U18" s="116"/>
      <c r="V18" s="289">
        <f t="shared" si="6"/>
        <v>790.42648703817099</v>
      </c>
      <c r="W18" s="291">
        <f t="shared" si="6"/>
        <v>0</v>
      </c>
      <c r="X18" s="290">
        <f t="shared" si="6"/>
        <v>1008.4971894322654</v>
      </c>
      <c r="Y18" s="283">
        <f>+Y16</f>
        <v>100.49202867242734</v>
      </c>
      <c r="Z18" s="288">
        <f t="shared" si="2"/>
        <v>165.75917092561045</v>
      </c>
      <c r="AA18" s="286">
        <f t="shared" si="2"/>
        <v>229.954938172043</v>
      </c>
      <c r="AB18" s="281"/>
      <c r="AC18" s="281"/>
      <c r="AD18" s="276"/>
      <c r="AE18" s="276"/>
      <c r="AF18" s="276"/>
    </row>
    <row r="19" spans="1:32" x14ac:dyDescent="0.2">
      <c r="A19" s="86">
        <f t="shared" si="7"/>
        <v>15</v>
      </c>
      <c r="B19" s="362"/>
      <c r="C19" s="93" t="s">
        <v>664</v>
      </c>
      <c r="D19" s="371"/>
      <c r="E19" s="93">
        <v>0</v>
      </c>
      <c r="F19" s="87">
        <v>0</v>
      </c>
      <c r="G19" s="93">
        <v>0</v>
      </c>
      <c r="H19" s="87">
        <v>0</v>
      </c>
      <c r="I19" s="93">
        <v>0</v>
      </c>
      <c r="J19" s="87">
        <v>0</v>
      </c>
      <c r="K19" s="93">
        <v>0</v>
      </c>
      <c r="L19" s="87">
        <v>0</v>
      </c>
      <c r="M19" s="93">
        <v>0</v>
      </c>
      <c r="N19" s="87">
        <v>0</v>
      </c>
      <c r="O19" s="93">
        <v>0</v>
      </c>
      <c r="P19" s="87">
        <v>0</v>
      </c>
      <c r="Q19" s="93">
        <v>1</v>
      </c>
      <c r="R19" s="89">
        <f t="shared" si="4"/>
        <v>790.42648703817099</v>
      </c>
      <c r="S19" s="88">
        <f t="shared" si="5"/>
        <v>1</v>
      </c>
      <c r="T19" s="92">
        <f t="shared" si="5"/>
        <v>790.42648703817099</v>
      </c>
      <c r="U19" s="116"/>
      <c r="V19" s="289">
        <f t="shared" si="6"/>
        <v>790.42648703817099</v>
      </c>
      <c r="W19" s="291"/>
      <c r="X19" s="290"/>
      <c r="Y19" s="283"/>
      <c r="Z19" s="288"/>
      <c r="AA19" s="286"/>
      <c r="AB19" s="281"/>
      <c r="AC19" s="281"/>
      <c r="AD19" s="276"/>
      <c r="AE19" s="276"/>
      <c r="AF19" s="276"/>
    </row>
    <row r="20" spans="1:32" x14ac:dyDescent="0.2">
      <c r="A20" s="86">
        <f t="shared" si="7"/>
        <v>16</v>
      </c>
      <c r="B20" s="362"/>
      <c r="C20" s="93" t="s">
        <v>665</v>
      </c>
      <c r="D20" s="371"/>
      <c r="E20" s="93">
        <v>0</v>
      </c>
      <c r="F20" s="87">
        <v>0</v>
      </c>
      <c r="G20" s="93">
        <v>0</v>
      </c>
      <c r="H20" s="87">
        <v>0</v>
      </c>
      <c r="I20" s="93">
        <v>0</v>
      </c>
      <c r="J20" s="87">
        <v>0</v>
      </c>
      <c r="K20" s="93">
        <v>0</v>
      </c>
      <c r="L20" s="87">
        <v>0</v>
      </c>
      <c r="M20" s="93">
        <v>0</v>
      </c>
      <c r="N20" s="87">
        <v>0</v>
      </c>
      <c r="O20" s="93">
        <v>0</v>
      </c>
      <c r="P20" s="87">
        <v>0</v>
      </c>
      <c r="Q20" s="93">
        <v>1</v>
      </c>
      <c r="R20" s="89">
        <f t="shared" si="4"/>
        <v>790.42648703817099</v>
      </c>
      <c r="S20" s="88">
        <f t="shared" si="5"/>
        <v>1</v>
      </c>
      <c r="T20" s="92">
        <f t="shared" si="5"/>
        <v>790.42648703817099</v>
      </c>
      <c r="U20" s="116"/>
      <c r="V20" s="289">
        <f t="shared" si="6"/>
        <v>790.42648703817099</v>
      </c>
      <c r="W20" s="291"/>
      <c r="X20" s="290"/>
      <c r="Y20" s="283"/>
      <c r="Z20" s="288"/>
      <c r="AA20" s="286"/>
      <c r="AB20" s="281"/>
      <c r="AC20" s="281"/>
      <c r="AD20" s="276"/>
      <c r="AE20" s="276"/>
      <c r="AF20" s="276"/>
    </row>
    <row r="21" spans="1:32" x14ac:dyDescent="0.2">
      <c r="A21" s="86">
        <f t="shared" si="7"/>
        <v>17</v>
      </c>
      <c r="B21" s="363"/>
      <c r="C21" s="93" t="s">
        <v>666</v>
      </c>
      <c r="D21" s="371"/>
      <c r="E21" s="93">
        <v>0</v>
      </c>
      <c r="F21" s="87">
        <v>0</v>
      </c>
      <c r="G21" s="93">
        <v>0</v>
      </c>
      <c r="H21" s="87">
        <v>0</v>
      </c>
      <c r="I21" s="93">
        <v>0</v>
      </c>
      <c r="J21" s="87">
        <v>0</v>
      </c>
      <c r="K21" s="93">
        <v>0</v>
      </c>
      <c r="L21" s="87">
        <v>0</v>
      </c>
      <c r="M21" s="93">
        <v>0</v>
      </c>
      <c r="N21" s="87">
        <v>0</v>
      </c>
      <c r="O21" s="93">
        <v>0</v>
      </c>
      <c r="P21" s="87">
        <v>0</v>
      </c>
      <c r="Q21" s="93">
        <v>1</v>
      </c>
      <c r="R21" s="89">
        <f t="shared" si="4"/>
        <v>790.42648703817099</v>
      </c>
      <c r="S21" s="88">
        <f t="shared" si="5"/>
        <v>1</v>
      </c>
      <c r="T21" s="92">
        <f t="shared" si="5"/>
        <v>790.42648703817099</v>
      </c>
      <c r="U21" s="116"/>
      <c r="V21" s="289">
        <f t="shared" si="6"/>
        <v>790.42648703817099</v>
      </c>
      <c r="W21" s="291"/>
      <c r="X21" s="290"/>
      <c r="Y21" s="283"/>
      <c r="Z21" s="288"/>
      <c r="AA21" s="286"/>
      <c r="AB21" s="281"/>
      <c r="AC21" s="281"/>
      <c r="AD21" s="276"/>
      <c r="AE21" s="276"/>
      <c r="AF21" s="276"/>
    </row>
    <row r="22" spans="1:32" x14ac:dyDescent="0.2">
      <c r="A22" s="86">
        <f t="shared" si="7"/>
        <v>18</v>
      </c>
      <c r="B22" s="361" t="s">
        <v>441</v>
      </c>
      <c r="C22" s="93" t="s">
        <v>442</v>
      </c>
      <c r="D22" s="371"/>
      <c r="E22" s="93">
        <v>0</v>
      </c>
      <c r="F22" s="87">
        <v>0</v>
      </c>
      <c r="G22" s="88">
        <v>4</v>
      </c>
      <c r="H22" s="89">
        <f>+G22*Y18</f>
        <v>401.96811468970935</v>
      </c>
      <c r="I22" s="88">
        <v>20</v>
      </c>
      <c r="J22" s="89">
        <f t="shared" si="8"/>
        <v>3315.1834185122088</v>
      </c>
      <c r="K22" s="88">
        <v>11</v>
      </c>
      <c r="L22" s="90">
        <v>9456.6260999484803</v>
      </c>
      <c r="M22" s="88">
        <v>60</v>
      </c>
      <c r="N22" s="87">
        <f t="shared" si="3"/>
        <v>60509.831365935919</v>
      </c>
      <c r="O22" s="91">
        <v>35</v>
      </c>
      <c r="P22" s="89">
        <f t="shared" si="1"/>
        <v>8048.4228360215047</v>
      </c>
      <c r="Q22" s="93">
        <v>25</v>
      </c>
      <c r="R22" s="89">
        <f t="shared" si="4"/>
        <v>19760.662175954276</v>
      </c>
      <c r="S22" s="88">
        <f t="shared" si="5"/>
        <v>155</v>
      </c>
      <c r="T22" s="92">
        <f t="shared" si="5"/>
        <v>101492.69401106209</v>
      </c>
      <c r="U22" s="116"/>
      <c r="V22" s="289">
        <f t="shared" ref="V22:Z37" si="9">+V21</f>
        <v>790.42648703817099</v>
      </c>
      <c r="W22" s="291">
        <f>+W18</f>
        <v>0</v>
      </c>
      <c r="X22" s="290">
        <f>+X18</f>
        <v>1008.4971894322654</v>
      </c>
      <c r="Y22" s="283">
        <f>+Y18</f>
        <v>100.49202867242734</v>
      </c>
      <c r="Z22" s="288">
        <f>+Z18</f>
        <v>165.75917092561045</v>
      </c>
      <c r="AA22" s="286">
        <f>+AA18</f>
        <v>229.954938172043</v>
      </c>
      <c r="AB22" s="281"/>
      <c r="AC22" s="281"/>
      <c r="AD22" s="276"/>
      <c r="AE22" s="276"/>
      <c r="AF22" s="276"/>
    </row>
    <row r="23" spans="1:32" x14ac:dyDescent="0.2">
      <c r="A23" s="86">
        <f t="shared" si="7"/>
        <v>19</v>
      </c>
      <c r="B23" s="362"/>
      <c r="C23" s="93" t="s">
        <v>443</v>
      </c>
      <c r="D23" s="371"/>
      <c r="E23" s="93">
        <v>0</v>
      </c>
      <c r="F23" s="87">
        <v>0</v>
      </c>
      <c r="G23" s="88">
        <v>0</v>
      </c>
      <c r="H23" s="89">
        <v>0</v>
      </c>
      <c r="I23" s="88">
        <v>36</v>
      </c>
      <c r="J23" s="89">
        <f t="shared" si="8"/>
        <v>5967.3301533219765</v>
      </c>
      <c r="K23" s="88">
        <v>18</v>
      </c>
      <c r="L23" s="90">
        <v>15474.479072642967</v>
      </c>
      <c r="M23" s="88">
        <v>9</v>
      </c>
      <c r="N23" s="87">
        <f t="shared" si="3"/>
        <v>9076.4747048903882</v>
      </c>
      <c r="O23" s="91">
        <v>134</v>
      </c>
      <c r="P23" s="89">
        <f t="shared" si="1"/>
        <v>30813.961715053763</v>
      </c>
      <c r="Q23" s="93">
        <v>14</v>
      </c>
      <c r="R23" s="89">
        <f t="shared" si="4"/>
        <v>11065.970818534393</v>
      </c>
      <c r="S23" s="88">
        <f t="shared" si="5"/>
        <v>211</v>
      </c>
      <c r="T23" s="92">
        <f t="shared" si="5"/>
        <v>72398.216464443482</v>
      </c>
      <c r="U23" s="116"/>
      <c r="V23" s="289">
        <f t="shared" si="9"/>
        <v>790.42648703817099</v>
      </c>
      <c r="W23" s="291">
        <f t="shared" si="9"/>
        <v>0</v>
      </c>
      <c r="X23" s="290">
        <f t="shared" si="9"/>
        <v>1008.4971894322654</v>
      </c>
      <c r="Y23" s="283"/>
      <c r="Z23" s="288">
        <f t="shared" ref="Z23:AA38" si="10">+Z22</f>
        <v>165.75917092561045</v>
      </c>
      <c r="AA23" s="286">
        <f t="shared" si="10"/>
        <v>229.954938172043</v>
      </c>
      <c r="AB23" s="281"/>
      <c r="AC23" s="281"/>
      <c r="AD23" s="276"/>
      <c r="AE23" s="276"/>
      <c r="AF23" s="276"/>
    </row>
    <row r="24" spans="1:32" x14ac:dyDescent="0.2">
      <c r="A24" s="86">
        <f t="shared" si="7"/>
        <v>20</v>
      </c>
      <c r="B24" s="362"/>
      <c r="C24" s="93" t="s">
        <v>444</v>
      </c>
      <c r="D24" s="371"/>
      <c r="E24" s="93">
        <v>0</v>
      </c>
      <c r="F24" s="87">
        <v>0</v>
      </c>
      <c r="G24" s="88">
        <v>8</v>
      </c>
      <c r="H24" s="89">
        <f>+G24*Y22</f>
        <v>803.93622937941871</v>
      </c>
      <c r="I24" s="88">
        <v>38</v>
      </c>
      <c r="J24" s="89">
        <f t="shared" si="8"/>
        <v>6298.8484951731971</v>
      </c>
      <c r="K24" s="88">
        <v>8</v>
      </c>
      <c r="L24" s="90">
        <v>6877.5462545079854</v>
      </c>
      <c r="M24" s="88">
        <v>0</v>
      </c>
      <c r="N24" s="87">
        <f t="shared" si="3"/>
        <v>0</v>
      </c>
      <c r="O24" s="91">
        <v>22</v>
      </c>
      <c r="P24" s="89">
        <f t="shared" si="1"/>
        <v>5059.0086397849464</v>
      </c>
      <c r="Q24" s="93">
        <v>16</v>
      </c>
      <c r="R24" s="89">
        <f t="shared" si="4"/>
        <v>12646.823792610736</v>
      </c>
      <c r="S24" s="88">
        <f t="shared" si="5"/>
        <v>92</v>
      </c>
      <c r="T24" s="92">
        <f t="shared" si="5"/>
        <v>31686.16341145628</v>
      </c>
      <c r="U24" s="116"/>
      <c r="V24" s="289">
        <f t="shared" si="9"/>
        <v>790.42648703817099</v>
      </c>
      <c r="W24" s="291">
        <f t="shared" si="9"/>
        <v>0</v>
      </c>
      <c r="X24" s="290">
        <f t="shared" si="9"/>
        <v>1008.4971894322654</v>
      </c>
      <c r="Y24" s="283">
        <f>+Y22</f>
        <v>100.49202867242734</v>
      </c>
      <c r="Z24" s="288">
        <f t="shared" si="10"/>
        <v>165.75917092561045</v>
      </c>
      <c r="AA24" s="286">
        <f t="shared" si="10"/>
        <v>229.954938172043</v>
      </c>
      <c r="AB24" s="281"/>
      <c r="AC24" s="281"/>
      <c r="AD24" s="276"/>
      <c r="AE24" s="276"/>
      <c r="AF24" s="276"/>
    </row>
    <row r="25" spans="1:32" x14ac:dyDescent="0.2">
      <c r="A25" s="86">
        <f t="shared" si="7"/>
        <v>21</v>
      </c>
      <c r="B25" s="362"/>
      <c r="C25" s="93" t="s">
        <v>667</v>
      </c>
      <c r="D25" s="371"/>
      <c r="E25" s="93">
        <v>0</v>
      </c>
      <c r="F25" s="87">
        <v>0</v>
      </c>
      <c r="G25" s="93">
        <v>0</v>
      </c>
      <c r="H25" s="87">
        <v>0</v>
      </c>
      <c r="I25" s="93">
        <v>0</v>
      </c>
      <c r="J25" s="87">
        <v>0</v>
      </c>
      <c r="K25" s="93">
        <v>0</v>
      </c>
      <c r="L25" s="87">
        <v>0</v>
      </c>
      <c r="M25" s="93">
        <v>0</v>
      </c>
      <c r="N25" s="87">
        <v>0</v>
      </c>
      <c r="O25" s="93">
        <v>0</v>
      </c>
      <c r="P25" s="87">
        <v>0</v>
      </c>
      <c r="Q25" s="93">
        <v>1</v>
      </c>
      <c r="R25" s="89">
        <f t="shared" si="4"/>
        <v>790.42648703817099</v>
      </c>
      <c r="S25" s="88">
        <f t="shared" si="5"/>
        <v>1</v>
      </c>
      <c r="T25" s="92">
        <f t="shared" si="5"/>
        <v>790.42648703817099</v>
      </c>
      <c r="U25" s="116"/>
      <c r="V25" s="289">
        <f t="shared" si="9"/>
        <v>790.42648703817099</v>
      </c>
      <c r="W25" s="291"/>
      <c r="X25" s="290"/>
      <c r="Y25" s="283"/>
      <c r="Z25" s="288"/>
      <c r="AA25" s="286"/>
      <c r="AB25" s="281"/>
      <c r="AC25" s="281"/>
      <c r="AD25" s="276"/>
      <c r="AE25" s="276"/>
      <c r="AF25" s="276"/>
    </row>
    <row r="26" spans="1:32" x14ac:dyDescent="0.2">
      <c r="A26" s="86">
        <f t="shared" si="7"/>
        <v>22</v>
      </c>
      <c r="B26" s="363"/>
      <c r="C26" s="93" t="s">
        <v>668</v>
      </c>
      <c r="D26" s="371"/>
      <c r="E26" s="93">
        <v>0</v>
      </c>
      <c r="F26" s="87">
        <v>0</v>
      </c>
      <c r="G26" s="93">
        <v>0</v>
      </c>
      <c r="H26" s="87">
        <v>0</v>
      </c>
      <c r="I26" s="93">
        <v>0</v>
      </c>
      <c r="J26" s="87">
        <v>0</v>
      </c>
      <c r="K26" s="93">
        <v>0</v>
      </c>
      <c r="L26" s="87">
        <v>0</v>
      </c>
      <c r="M26" s="93">
        <v>0</v>
      </c>
      <c r="N26" s="87">
        <v>0</v>
      </c>
      <c r="O26" s="93">
        <v>0</v>
      </c>
      <c r="P26" s="87">
        <v>0</v>
      </c>
      <c r="Q26" s="93">
        <v>4</v>
      </c>
      <c r="R26" s="89">
        <f t="shared" si="4"/>
        <v>3161.705948152684</v>
      </c>
      <c r="S26" s="88">
        <f t="shared" si="5"/>
        <v>4</v>
      </c>
      <c r="T26" s="92">
        <f t="shared" si="5"/>
        <v>3161.705948152684</v>
      </c>
      <c r="U26" s="116"/>
      <c r="V26" s="289">
        <f t="shared" si="9"/>
        <v>790.42648703817099</v>
      </c>
      <c r="W26" s="291"/>
      <c r="X26" s="290"/>
      <c r="Y26" s="283"/>
      <c r="Z26" s="288"/>
      <c r="AA26" s="286"/>
      <c r="AB26" s="281"/>
      <c r="AC26" s="281"/>
      <c r="AD26" s="276"/>
      <c r="AE26" s="276"/>
      <c r="AF26" s="276"/>
    </row>
    <row r="27" spans="1:32" x14ac:dyDescent="0.2">
      <c r="A27" s="86">
        <f t="shared" si="7"/>
        <v>23</v>
      </c>
      <c r="B27" s="369" t="s">
        <v>445</v>
      </c>
      <c r="C27" s="93" t="s">
        <v>446</v>
      </c>
      <c r="D27" s="371"/>
      <c r="E27" s="93">
        <v>0</v>
      </c>
      <c r="F27" s="87">
        <v>0</v>
      </c>
      <c r="G27" s="88">
        <v>52</v>
      </c>
      <c r="H27" s="89">
        <f>+G27*Y24</f>
        <v>5225.5854909662212</v>
      </c>
      <c r="I27" s="88">
        <v>243</v>
      </c>
      <c r="J27" s="89">
        <f t="shared" si="8"/>
        <v>40279.478534923335</v>
      </c>
      <c r="K27" s="88">
        <v>25</v>
      </c>
      <c r="L27" s="90">
        <v>21492.332045337454</v>
      </c>
      <c r="M27" s="88">
        <v>12</v>
      </c>
      <c r="N27" s="87">
        <f t="shared" si="3"/>
        <v>12101.966273187185</v>
      </c>
      <c r="O27" s="91">
        <v>8</v>
      </c>
      <c r="P27" s="89">
        <f t="shared" si="1"/>
        <v>1839.639505376344</v>
      </c>
      <c r="Q27" s="93">
        <v>36</v>
      </c>
      <c r="R27" s="89">
        <f t="shared" si="4"/>
        <v>28455.353533374157</v>
      </c>
      <c r="S27" s="88">
        <f t="shared" si="5"/>
        <v>376</v>
      </c>
      <c r="T27" s="92">
        <f t="shared" si="5"/>
        <v>109394.35538316469</v>
      </c>
      <c r="U27" s="116"/>
      <c r="V27" s="289">
        <f t="shared" si="9"/>
        <v>790.42648703817099</v>
      </c>
      <c r="W27" s="291">
        <f>+W24</f>
        <v>0</v>
      </c>
      <c r="X27" s="290">
        <f>+X24</f>
        <v>1008.4971894322654</v>
      </c>
      <c r="Y27" s="283">
        <f>+Y24</f>
        <v>100.49202867242734</v>
      </c>
      <c r="Z27" s="288">
        <f>+Z24</f>
        <v>165.75917092561045</v>
      </c>
      <c r="AA27" s="286">
        <f>+AA24</f>
        <v>229.954938172043</v>
      </c>
      <c r="AB27" s="281"/>
      <c r="AC27" s="281"/>
      <c r="AD27" s="276"/>
      <c r="AE27" s="276"/>
      <c r="AF27" s="276"/>
    </row>
    <row r="28" spans="1:32" x14ac:dyDescent="0.2">
      <c r="A28" s="86">
        <f t="shared" si="7"/>
        <v>24</v>
      </c>
      <c r="B28" s="369"/>
      <c r="C28" s="93" t="s">
        <v>447</v>
      </c>
      <c r="D28" s="371"/>
      <c r="E28" s="93">
        <v>0</v>
      </c>
      <c r="F28" s="87">
        <v>0</v>
      </c>
      <c r="G28" s="88">
        <v>30</v>
      </c>
      <c r="H28" s="89">
        <f t="shared" ref="H28:H35" si="11">+G28*Y27</f>
        <v>3014.7608601728202</v>
      </c>
      <c r="I28" s="88">
        <v>32</v>
      </c>
      <c r="J28" s="89">
        <f t="shared" si="8"/>
        <v>5304.2934696195343</v>
      </c>
      <c r="K28" s="88">
        <v>4</v>
      </c>
      <c r="L28" s="90">
        <v>3438.7731272539927</v>
      </c>
      <c r="M28" s="88">
        <v>9</v>
      </c>
      <c r="N28" s="87">
        <f t="shared" si="3"/>
        <v>9076.4747048903882</v>
      </c>
      <c r="O28" s="91">
        <v>6</v>
      </c>
      <c r="P28" s="89">
        <f t="shared" si="1"/>
        <v>1379.7296290322579</v>
      </c>
      <c r="Q28" s="93">
        <v>86</v>
      </c>
      <c r="R28" s="89">
        <f t="shared" si="4"/>
        <v>67976.677885282712</v>
      </c>
      <c r="S28" s="88">
        <f t="shared" si="5"/>
        <v>167</v>
      </c>
      <c r="T28" s="92">
        <f t="shared" si="5"/>
        <v>90190.709676251703</v>
      </c>
      <c r="U28" s="116"/>
      <c r="V28" s="289">
        <f t="shared" si="9"/>
        <v>790.42648703817099</v>
      </c>
      <c r="W28" s="291">
        <f t="shared" si="9"/>
        <v>0</v>
      </c>
      <c r="X28" s="290">
        <f t="shared" si="9"/>
        <v>1008.4971894322654</v>
      </c>
      <c r="Y28" s="283">
        <f t="shared" si="9"/>
        <v>100.49202867242734</v>
      </c>
      <c r="Z28" s="288">
        <f t="shared" si="9"/>
        <v>165.75917092561045</v>
      </c>
      <c r="AA28" s="286">
        <f t="shared" si="10"/>
        <v>229.954938172043</v>
      </c>
      <c r="AB28" s="281"/>
      <c r="AC28" s="281"/>
      <c r="AD28" s="276"/>
      <c r="AE28" s="276"/>
      <c r="AF28" s="276"/>
    </row>
    <row r="29" spans="1:32" x14ac:dyDescent="0.2">
      <c r="A29" s="86">
        <f t="shared" si="7"/>
        <v>25</v>
      </c>
      <c r="B29" s="369"/>
      <c r="C29" s="93" t="s">
        <v>448</v>
      </c>
      <c r="D29" s="371"/>
      <c r="E29" s="93">
        <v>0</v>
      </c>
      <c r="F29" s="87">
        <v>0</v>
      </c>
      <c r="G29" s="88">
        <v>23</v>
      </c>
      <c r="H29" s="89">
        <f t="shared" si="11"/>
        <v>2311.3166594658287</v>
      </c>
      <c r="I29" s="88">
        <v>64</v>
      </c>
      <c r="J29" s="89">
        <f t="shared" si="8"/>
        <v>10608.586939239069</v>
      </c>
      <c r="K29" s="88">
        <v>33</v>
      </c>
      <c r="L29" s="90">
        <v>28369.878299845441</v>
      </c>
      <c r="M29" s="88">
        <v>0</v>
      </c>
      <c r="N29" s="87">
        <f t="shared" si="3"/>
        <v>0</v>
      </c>
      <c r="O29" s="91">
        <v>125</v>
      </c>
      <c r="P29" s="89">
        <f t="shared" si="1"/>
        <v>28744.367271505376</v>
      </c>
      <c r="Q29" s="93">
        <v>7</v>
      </c>
      <c r="R29" s="89">
        <f t="shared" si="4"/>
        <v>5532.9854092671967</v>
      </c>
      <c r="S29" s="88">
        <f t="shared" si="5"/>
        <v>252</v>
      </c>
      <c r="T29" s="92">
        <f t="shared" si="5"/>
        <v>75567.134579322927</v>
      </c>
      <c r="U29" s="116"/>
      <c r="V29" s="289">
        <f t="shared" si="9"/>
        <v>790.42648703817099</v>
      </c>
      <c r="W29" s="291">
        <f t="shared" si="9"/>
        <v>0</v>
      </c>
      <c r="X29" s="290">
        <f t="shared" si="9"/>
        <v>1008.4971894322654</v>
      </c>
      <c r="Y29" s="283">
        <f t="shared" si="9"/>
        <v>100.49202867242734</v>
      </c>
      <c r="Z29" s="288">
        <f t="shared" si="9"/>
        <v>165.75917092561045</v>
      </c>
      <c r="AA29" s="286">
        <f t="shared" si="10"/>
        <v>229.954938172043</v>
      </c>
      <c r="AB29" s="281"/>
      <c r="AC29" s="281"/>
      <c r="AD29" s="276"/>
      <c r="AE29" s="276"/>
      <c r="AF29" s="276"/>
    </row>
    <row r="30" spans="1:32" x14ac:dyDescent="0.2">
      <c r="A30" s="86">
        <f t="shared" si="7"/>
        <v>26</v>
      </c>
      <c r="B30" s="369"/>
      <c r="C30" s="93" t="s">
        <v>449</v>
      </c>
      <c r="D30" s="371"/>
      <c r="E30" s="93">
        <v>0</v>
      </c>
      <c r="F30" s="87">
        <v>0</v>
      </c>
      <c r="G30" s="88">
        <v>39</v>
      </c>
      <c r="H30" s="89">
        <f t="shared" si="11"/>
        <v>3919.1891182246663</v>
      </c>
      <c r="I30" s="88">
        <v>39</v>
      </c>
      <c r="J30" s="89">
        <f t="shared" si="8"/>
        <v>6464.6076660988074</v>
      </c>
      <c r="K30" s="88">
        <v>6</v>
      </c>
      <c r="L30" s="90">
        <v>5158.1596908809888</v>
      </c>
      <c r="M30" s="88">
        <v>4</v>
      </c>
      <c r="N30" s="87">
        <f t="shared" si="3"/>
        <v>4033.9887577290615</v>
      </c>
      <c r="O30" s="91">
        <v>23</v>
      </c>
      <c r="P30" s="89">
        <f t="shared" si="1"/>
        <v>5288.963577956989</v>
      </c>
      <c r="Q30" s="93">
        <v>51</v>
      </c>
      <c r="R30" s="89">
        <f t="shared" si="4"/>
        <v>40311.750838946718</v>
      </c>
      <c r="S30" s="88">
        <f t="shared" si="5"/>
        <v>162</v>
      </c>
      <c r="T30" s="92">
        <f t="shared" si="5"/>
        <v>65176.659649837231</v>
      </c>
      <c r="U30" s="116"/>
      <c r="V30" s="289">
        <f t="shared" si="9"/>
        <v>790.42648703817099</v>
      </c>
      <c r="W30" s="291">
        <f t="shared" si="9"/>
        <v>0</v>
      </c>
      <c r="X30" s="290">
        <f t="shared" si="9"/>
        <v>1008.4971894322654</v>
      </c>
      <c r="Y30" s="283">
        <f t="shared" si="9"/>
        <v>100.49202867242734</v>
      </c>
      <c r="Z30" s="288">
        <f t="shared" si="9"/>
        <v>165.75917092561045</v>
      </c>
      <c r="AA30" s="286">
        <f t="shared" si="10"/>
        <v>229.954938172043</v>
      </c>
      <c r="AB30" s="281"/>
      <c r="AC30" s="281"/>
      <c r="AD30" s="276"/>
      <c r="AE30" s="276"/>
      <c r="AF30" s="276"/>
    </row>
    <row r="31" spans="1:32" x14ac:dyDescent="0.2">
      <c r="A31" s="86">
        <f t="shared" si="7"/>
        <v>27</v>
      </c>
      <c r="B31" s="369"/>
      <c r="C31" s="93" t="s">
        <v>450</v>
      </c>
      <c r="D31" s="371"/>
      <c r="E31" s="93">
        <v>0</v>
      </c>
      <c r="F31" s="87">
        <v>0</v>
      </c>
      <c r="G31" s="88">
        <v>31</v>
      </c>
      <c r="H31" s="89">
        <f t="shared" si="11"/>
        <v>3115.2528888452475</v>
      </c>
      <c r="I31" s="88">
        <v>45</v>
      </c>
      <c r="J31" s="89">
        <f t="shared" si="8"/>
        <v>7459.1626916524701</v>
      </c>
      <c r="K31" s="88">
        <v>1</v>
      </c>
      <c r="L31" s="90">
        <v>859.69328181349817</v>
      </c>
      <c r="M31" s="88">
        <v>3</v>
      </c>
      <c r="N31" s="87">
        <f t="shared" si="3"/>
        <v>3025.4915682967962</v>
      </c>
      <c r="O31" s="91">
        <v>27</v>
      </c>
      <c r="P31" s="89">
        <f t="shared" si="1"/>
        <v>6208.7833306451612</v>
      </c>
      <c r="Q31" s="93">
        <v>15</v>
      </c>
      <c r="R31" s="89">
        <f t="shared" si="4"/>
        <v>11856.397305572566</v>
      </c>
      <c r="S31" s="88">
        <f t="shared" si="5"/>
        <v>122</v>
      </c>
      <c r="T31" s="92">
        <f t="shared" si="5"/>
        <v>32524.781066825737</v>
      </c>
      <c r="U31" s="116"/>
      <c r="V31" s="289">
        <f t="shared" si="9"/>
        <v>790.42648703817099</v>
      </c>
      <c r="W31" s="291">
        <f t="shared" si="9"/>
        <v>0</v>
      </c>
      <c r="X31" s="290">
        <f t="shared" si="9"/>
        <v>1008.4971894322654</v>
      </c>
      <c r="Y31" s="283">
        <f t="shared" si="9"/>
        <v>100.49202867242734</v>
      </c>
      <c r="Z31" s="288">
        <f t="shared" si="9"/>
        <v>165.75917092561045</v>
      </c>
      <c r="AA31" s="286">
        <f t="shared" si="10"/>
        <v>229.954938172043</v>
      </c>
      <c r="AB31" s="281"/>
      <c r="AC31" s="281"/>
      <c r="AD31" s="276"/>
      <c r="AE31" s="276"/>
      <c r="AF31" s="276"/>
    </row>
    <row r="32" spans="1:32" x14ac:dyDescent="0.2">
      <c r="A32" s="86">
        <f t="shared" si="7"/>
        <v>28</v>
      </c>
      <c r="B32" s="361" t="s">
        <v>451</v>
      </c>
      <c r="C32" s="93" t="s">
        <v>451</v>
      </c>
      <c r="D32" s="371"/>
      <c r="E32" s="93">
        <v>0</v>
      </c>
      <c r="F32" s="87">
        <v>0</v>
      </c>
      <c r="G32" s="88">
        <v>43</v>
      </c>
      <c r="H32" s="89">
        <f t="shared" si="11"/>
        <v>4321.1572329143755</v>
      </c>
      <c r="I32" s="88">
        <v>160</v>
      </c>
      <c r="J32" s="89">
        <f t="shared" si="8"/>
        <v>26521.467348097671</v>
      </c>
      <c r="K32" s="88">
        <v>43</v>
      </c>
      <c r="L32" s="90">
        <v>36966.811117980418</v>
      </c>
      <c r="M32" s="88">
        <v>13</v>
      </c>
      <c r="N32" s="87">
        <f t="shared" si="3"/>
        <v>13110.463462619449</v>
      </c>
      <c r="O32" s="91">
        <v>346</v>
      </c>
      <c r="P32" s="89">
        <f t="shared" si="1"/>
        <v>79564.408607526871</v>
      </c>
      <c r="Q32" s="93">
        <v>30</v>
      </c>
      <c r="R32" s="89">
        <f t="shared" si="4"/>
        <v>23712.794611145131</v>
      </c>
      <c r="S32" s="88">
        <f t="shared" si="5"/>
        <v>635</v>
      </c>
      <c r="T32" s="92">
        <f t="shared" si="5"/>
        <v>184197.1023802839</v>
      </c>
      <c r="U32" s="116"/>
      <c r="V32" s="289">
        <f t="shared" si="9"/>
        <v>790.42648703817099</v>
      </c>
      <c r="W32" s="291">
        <f t="shared" si="9"/>
        <v>0</v>
      </c>
      <c r="X32" s="290">
        <f t="shared" si="9"/>
        <v>1008.4971894322654</v>
      </c>
      <c r="Y32" s="283">
        <f t="shared" si="9"/>
        <v>100.49202867242734</v>
      </c>
      <c r="Z32" s="288">
        <f t="shared" si="9"/>
        <v>165.75917092561045</v>
      </c>
      <c r="AA32" s="286">
        <f t="shared" si="10"/>
        <v>229.954938172043</v>
      </c>
      <c r="AB32" s="281"/>
      <c r="AC32" s="281"/>
      <c r="AD32" s="276"/>
      <c r="AE32" s="276"/>
      <c r="AF32" s="276"/>
    </row>
    <row r="33" spans="1:32" x14ac:dyDescent="0.2">
      <c r="A33" s="86">
        <f t="shared" si="7"/>
        <v>29</v>
      </c>
      <c r="B33" s="362"/>
      <c r="C33" s="93" t="s">
        <v>452</v>
      </c>
      <c r="D33" s="371"/>
      <c r="E33" s="93">
        <v>0</v>
      </c>
      <c r="F33" s="87">
        <v>0</v>
      </c>
      <c r="G33" s="88">
        <v>43</v>
      </c>
      <c r="H33" s="89">
        <f t="shared" si="11"/>
        <v>4321.1572329143755</v>
      </c>
      <c r="I33" s="88">
        <v>168</v>
      </c>
      <c r="J33" s="89">
        <f t="shared" si="8"/>
        <v>27847.540715502557</v>
      </c>
      <c r="K33" s="88">
        <v>21</v>
      </c>
      <c r="L33" s="90">
        <v>18053.558918083461</v>
      </c>
      <c r="M33" s="88">
        <v>10</v>
      </c>
      <c r="N33" s="87">
        <f t="shared" si="3"/>
        <v>10084.971894322654</v>
      </c>
      <c r="O33" s="91">
        <v>302</v>
      </c>
      <c r="P33" s="89">
        <f t="shared" si="1"/>
        <v>69446.391327956982</v>
      </c>
      <c r="Q33" s="93">
        <v>41</v>
      </c>
      <c r="R33" s="89">
        <f t="shared" si="4"/>
        <v>32407.485968565012</v>
      </c>
      <c r="S33" s="88">
        <f t="shared" si="5"/>
        <v>585</v>
      </c>
      <c r="T33" s="92">
        <f t="shared" si="5"/>
        <v>162161.10605734505</v>
      </c>
      <c r="U33" s="116"/>
      <c r="V33" s="289">
        <f t="shared" si="9"/>
        <v>790.42648703817099</v>
      </c>
      <c r="W33" s="291">
        <f t="shared" si="9"/>
        <v>0</v>
      </c>
      <c r="X33" s="290">
        <f t="shared" si="9"/>
        <v>1008.4971894322654</v>
      </c>
      <c r="Y33" s="283">
        <f t="shared" si="9"/>
        <v>100.49202867242734</v>
      </c>
      <c r="Z33" s="288">
        <f t="shared" si="9"/>
        <v>165.75917092561045</v>
      </c>
      <c r="AA33" s="286">
        <f t="shared" si="10"/>
        <v>229.954938172043</v>
      </c>
      <c r="AB33" s="281"/>
      <c r="AC33" s="281"/>
      <c r="AD33" s="276"/>
      <c r="AE33" s="276"/>
      <c r="AF33" s="276"/>
    </row>
    <row r="34" spans="1:32" x14ac:dyDescent="0.2">
      <c r="A34" s="86">
        <f t="shared" si="7"/>
        <v>30</v>
      </c>
      <c r="B34" s="362"/>
      <c r="C34" s="93" t="s">
        <v>453</v>
      </c>
      <c r="D34" s="371"/>
      <c r="E34" s="93">
        <v>0</v>
      </c>
      <c r="F34" s="87">
        <v>0</v>
      </c>
      <c r="G34" s="88">
        <v>0</v>
      </c>
      <c r="H34" s="89">
        <f t="shared" si="11"/>
        <v>0</v>
      </c>
      <c r="I34" s="88">
        <v>43</v>
      </c>
      <c r="J34" s="89">
        <f t="shared" si="8"/>
        <v>7127.6443498012495</v>
      </c>
      <c r="K34" s="88">
        <v>7</v>
      </c>
      <c r="L34" s="90">
        <v>6017.8529726944871</v>
      </c>
      <c r="M34" s="88">
        <v>2</v>
      </c>
      <c r="N34" s="87">
        <f t="shared" si="3"/>
        <v>2016.9943788645307</v>
      </c>
      <c r="O34" s="91">
        <v>177</v>
      </c>
      <c r="P34" s="89">
        <f t="shared" si="1"/>
        <v>40702.024056451613</v>
      </c>
      <c r="Q34" s="93">
        <v>21</v>
      </c>
      <c r="R34" s="89">
        <f t="shared" si="4"/>
        <v>16598.956227801591</v>
      </c>
      <c r="S34" s="88">
        <f t="shared" si="5"/>
        <v>250</v>
      </c>
      <c r="T34" s="92">
        <f t="shared" si="5"/>
        <v>72463.471985613476</v>
      </c>
      <c r="U34" s="116"/>
      <c r="V34" s="289">
        <f t="shared" si="9"/>
        <v>790.42648703817099</v>
      </c>
      <c r="W34" s="291">
        <f t="shared" si="9"/>
        <v>0</v>
      </c>
      <c r="X34" s="290">
        <f t="shared" si="9"/>
        <v>1008.4971894322654</v>
      </c>
      <c r="Y34" s="283">
        <f t="shared" si="9"/>
        <v>100.49202867242734</v>
      </c>
      <c r="Z34" s="288">
        <f t="shared" si="9"/>
        <v>165.75917092561045</v>
      </c>
      <c r="AA34" s="286">
        <f t="shared" si="10"/>
        <v>229.954938172043</v>
      </c>
      <c r="AB34" s="281"/>
      <c r="AC34" s="281"/>
      <c r="AD34" s="276"/>
      <c r="AE34" s="276"/>
      <c r="AF34" s="276"/>
    </row>
    <row r="35" spans="1:32" x14ac:dyDescent="0.2">
      <c r="A35" s="86">
        <f t="shared" si="7"/>
        <v>31</v>
      </c>
      <c r="B35" s="362"/>
      <c r="C35" s="93" t="s">
        <v>454</v>
      </c>
      <c r="D35" s="371"/>
      <c r="E35" s="93">
        <v>0</v>
      </c>
      <c r="F35" s="87">
        <v>0</v>
      </c>
      <c r="G35" s="88">
        <v>71</v>
      </c>
      <c r="H35" s="89">
        <f t="shared" si="11"/>
        <v>7134.9340357423407</v>
      </c>
      <c r="I35" s="88">
        <v>146</v>
      </c>
      <c r="J35" s="89">
        <f t="shared" si="8"/>
        <v>24200.838955139126</v>
      </c>
      <c r="K35" s="88">
        <v>27</v>
      </c>
      <c r="L35" s="90">
        <v>23211.718608964449</v>
      </c>
      <c r="M35" s="88">
        <v>43</v>
      </c>
      <c r="N35" s="87">
        <f t="shared" si="3"/>
        <v>43365.379145587409</v>
      </c>
      <c r="O35" s="91">
        <v>379</v>
      </c>
      <c r="P35" s="89">
        <f t="shared" si="1"/>
        <v>87152.921567204292</v>
      </c>
      <c r="Q35" s="93">
        <v>41</v>
      </c>
      <c r="R35" s="89">
        <f t="shared" si="4"/>
        <v>32407.485968565012</v>
      </c>
      <c r="S35" s="88">
        <f t="shared" si="5"/>
        <v>707</v>
      </c>
      <c r="T35" s="92">
        <f t="shared" si="5"/>
        <v>217473.27828120263</v>
      </c>
      <c r="U35" s="116"/>
      <c r="V35" s="289">
        <f t="shared" si="9"/>
        <v>790.42648703817099</v>
      </c>
      <c r="W35" s="291">
        <f t="shared" si="9"/>
        <v>0</v>
      </c>
      <c r="X35" s="290">
        <f t="shared" si="9"/>
        <v>1008.4971894322654</v>
      </c>
      <c r="Y35" s="283">
        <f t="shared" si="9"/>
        <v>100.49202867242734</v>
      </c>
      <c r="Z35" s="288">
        <f t="shared" si="9"/>
        <v>165.75917092561045</v>
      </c>
      <c r="AA35" s="286">
        <f t="shared" si="10"/>
        <v>229.954938172043</v>
      </c>
      <c r="AB35" s="281"/>
      <c r="AC35" s="281"/>
      <c r="AD35" s="276"/>
      <c r="AE35" s="276"/>
      <c r="AF35" s="276"/>
    </row>
    <row r="36" spans="1:32" x14ac:dyDescent="0.2">
      <c r="A36" s="86">
        <f t="shared" si="7"/>
        <v>32</v>
      </c>
      <c r="B36" s="362"/>
      <c r="C36" s="93" t="s">
        <v>455</v>
      </c>
      <c r="D36" s="371"/>
      <c r="E36" s="93">
        <v>0</v>
      </c>
      <c r="F36" s="87">
        <v>0</v>
      </c>
      <c r="G36" s="88">
        <v>0</v>
      </c>
      <c r="H36" s="89">
        <v>0</v>
      </c>
      <c r="I36" s="88">
        <v>0</v>
      </c>
      <c r="J36" s="89">
        <v>0</v>
      </c>
      <c r="K36" s="88">
        <v>0</v>
      </c>
      <c r="L36" s="90">
        <v>0</v>
      </c>
      <c r="M36" s="88">
        <v>0</v>
      </c>
      <c r="N36" s="87">
        <f t="shared" si="3"/>
        <v>0</v>
      </c>
      <c r="O36" s="91">
        <v>0</v>
      </c>
      <c r="P36" s="89">
        <f t="shared" si="1"/>
        <v>0</v>
      </c>
      <c r="Q36" s="93">
        <v>20</v>
      </c>
      <c r="R36" s="89">
        <f t="shared" si="4"/>
        <v>15808.529740763421</v>
      </c>
      <c r="S36" s="88">
        <f t="shared" si="5"/>
        <v>20</v>
      </c>
      <c r="T36" s="92">
        <f t="shared" si="5"/>
        <v>15808.529740763421</v>
      </c>
      <c r="U36" s="116"/>
      <c r="V36" s="289">
        <f t="shared" si="9"/>
        <v>790.42648703817099</v>
      </c>
      <c r="W36" s="291">
        <f t="shared" si="9"/>
        <v>0</v>
      </c>
      <c r="X36" s="290">
        <f t="shared" si="9"/>
        <v>1008.4971894322654</v>
      </c>
      <c r="Y36" s="283"/>
      <c r="Z36" s="288"/>
      <c r="AA36" s="286">
        <f t="shared" si="10"/>
        <v>229.954938172043</v>
      </c>
      <c r="AB36" s="281"/>
      <c r="AC36" s="281"/>
      <c r="AD36" s="276"/>
      <c r="AE36" s="276"/>
      <c r="AF36" s="276"/>
    </row>
    <row r="37" spans="1:32" x14ac:dyDescent="0.2">
      <c r="A37" s="86">
        <f t="shared" si="7"/>
        <v>33</v>
      </c>
      <c r="B37" s="362"/>
      <c r="C37" s="93" t="s">
        <v>456</v>
      </c>
      <c r="D37" s="371"/>
      <c r="E37" s="93">
        <v>0</v>
      </c>
      <c r="F37" s="87">
        <v>0</v>
      </c>
      <c r="G37" s="88">
        <v>0</v>
      </c>
      <c r="H37" s="89">
        <v>0</v>
      </c>
      <c r="I37" s="88">
        <v>0</v>
      </c>
      <c r="J37" s="89">
        <v>0</v>
      </c>
      <c r="K37" s="88">
        <v>0</v>
      </c>
      <c r="L37" s="90">
        <v>0</v>
      </c>
      <c r="M37" s="88">
        <v>0</v>
      </c>
      <c r="N37" s="87">
        <f t="shared" si="3"/>
        <v>0</v>
      </c>
      <c r="O37" s="91">
        <v>0</v>
      </c>
      <c r="P37" s="89">
        <f t="shared" si="1"/>
        <v>0</v>
      </c>
      <c r="Q37" s="93">
        <v>0</v>
      </c>
      <c r="R37" s="89">
        <f t="shared" si="4"/>
        <v>0</v>
      </c>
      <c r="S37" s="88">
        <f t="shared" si="5"/>
        <v>0</v>
      </c>
      <c r="T37" s="92">
        <f t="shared" si="5"/>
        <v>0</v>
      </c>
      <c r="U37" s="116"/>
      <c r="V37" s="289">
        <f t="shared" si="9"/>
        <v>790.42648703817099</v>
      </c>
      <c r="W37" s="291">
        <f t="shared" si="9"/>
        <v>0</v>
      </c>
      <c r="X37" s="290">
        <f t="shared" si="9"/>
        <v>1008.4971894322654</v>
      </c>
      <c r="Y37" s="283"/>
      <c r="Z37" s="288"/>
      <c r="AA37" s="286">
        <f t="shared" si="10"/>
        <v>229.954938172043</v>
      </c>
      <c r="AB37" s="281"/>
      <c r="AC37" s="281"/>
      <c r="AD37" s="276"/>
      <c r="AE37" s="276"/>
      <c r="AF37" s="276"/>
    </row>
    <row r="38" spans="1:32" x14ac:dyDescent="0.2">
      <c r="A38" s="86">
        <f t="shared" si="7"/>
        <v>34</v>
      </c>
      <c r="B38" s="362"/>
      <c r="C38" s="93" t="s">
        <v>457</v>
      </c>
      <c r="D38" s="371"/>
      <c r="E38" s="93">
        <v>0</v>
      </c>
      <c r="F38" s="87">
        <v>0</v>
      </c>
      <c r="G38" s="88">
        <v>0</v>
      </c>
      <c r="H38" s="89">
        <v>0</v>
      </c>
      <c r="I38" s="88">
        <v>0</v>
      </c>
      <c r="J38" s="89">
        <v>0</v>
      </c>
      <c r="K38" s="88">
        <v>0</v>
      </c>
      <c r="L38" s="90">
        <v>0</v>
      </c>
      <c r="M38" s="88">
        <v>0</v>
      </c>
      <c r="N38" s="87">
        <f t="shared" si="3"/>
        <v>0</v>
      </c>
      <c r="O38" s="91">
        <v>21</v>
      </c>
      <c r="P38" s="89">
        <f t="shared" si="1"/>
        <v>4829.0537016129028</v>
      </c>
      <c r="Q38" s="93">
        <v>51</v>
      </c>
      <c r="R38" s="89">
        <f t="shared" si="4"/>
        <v>40311.750838946718</v>
      </c>
      <c r="S38" s="88">
        <f t="shared" si="5"/>
        <v>72</v>
      </c>
      <c r="T38" s="92">
        <f t="shared" si="5"/>
        <v>45140.80454055962</v>
      </c>
      <c r="U38" s="116"/>
      <c r="V38" s="289">
        <f t="shared" ref="V38:AA53" si="12">+V37</f>
        <v>790.42648703817099</v>
      </c>
      <c r="W38" s="291">
        <f t="shared" si="12"/>
        <v>0</v>
      </c>
      <c r="X38" s="290">
        <f t="shared" si="12"/>
        <v>1008.4971894322654</v>
      </c>
      <c r="Y38" s="283"/>
      <c r="Z38" s="288"/>
      <c r="AA38" s="286">
        <f t="shared" si="10"/>
        <v>229.954938172043</v>
      </c>
      <c r="AB38" s="281"/>
      <c r="AC38" s="281"/>
      <c r="AD38" s="276"/>
      <c r="AE38" s="276"/>
      <c r="AF38" s="276"/>
    </row>
    <row r="39" spans="1:32" x14ac:dyDescent="0.2">
      <c r="A39" s="86">
        <f t="shared" si="7"/>
        <v>35</v>
      </c>
      <c r="B39" s="362"/>
      <c r="C39" s="93" t="s">
        <v>669</v>
      </c>
      <c r="D39" s="371"/>
      <c r="E39" s="93">
        <v>0</v>
      </c>
      <c r="F39" s="87">
        <v>0</v>
      </c>
      <c r="G39" s="88">
        <v>0</v>
      </c>
      <c r="H39" s="89">
        <v>0</v>
      </c>
      <c r="I39" s="88">
        <v>0</v>
      </c>
      <c r="J39" s="89">
        <v>0</v>
      </c>
      <c r="K39" s="88">
        <v>0</v>
      </c>
      <c r="L39" s="89">
        <v>0</v>
      </c>
      <c r="M39" s="88">
        <v>0</v>
      </c>
      <c r="N39" s="89">
        <v>0</v>
      </c>
      <c r="O39" s="88">
        <v>0</v>
      </c>
      <c r="P39" s="89">
        <v>0</v>
      </c>
      <c r="Q39" s="93">
        <v>1</v>
      </c>
      <c r="R39" s="89">
        <f t="shared" si="4"/>
        <v>790.42648703817099</v>
      </c>
      <c r="S39" s="88">
        <f t="shared" si="5"/>
        <v>1</v>
      </c>
      <c r="T39" s="92">
        <f t="shared" si="5"/>
        <v>790.42648703817099</v>
      </c>
      <c r="U39" s="116"/>
      <c r="V39" s="289">
        <f t="shared" si="12"/>
        <v>790.42648703817099</v>
      </c>
      <c r="W39" s="291"/>
      <c r="X39" s="290"/>
      <c r="Y39" s="283"/>
      <c r="Z39" s="288"/>
      <c r="AA39" s="286"/>
      <c r="AB39" s="281"/>
      <c r="AC39" s="281"/>
      <c r="AD39" s="276"/>
      <c r="AE39" s="276"/>
      <c r="AF39" s="276"/>
    </row>
    <row r="40" spans="1:32" x14ac:dyDescent="0.2">
      <c r="A40" s="86">
        <f t="shared" si="7"/>
        <v>36</v>
      </c>
      <c r="B40" s="362"/>
      <c r="C40" s="93" t="s">
        <v>670</v>
      </c>
      <c r="D40" s="371"/>
      <c r="E40" s="93">
        <v>0</v>
      </c>
      <c r="F40" s="87">
        <v>0</v>
      </c>
      <c r="G40" s="88">
        <v>0</v>
      </c>
      <c r="H40" s="89">
        <v>0</v>
      </c>
      <c r="I40" s="88">
        <v>0</v>
      </c>
      <c r="J40" s="89">
        <v>0</v>
      </c>
      <c r="K40" s="88">
        <v>0</v>
      </c>
      <c r="L40" s="89">
        <v>0</v>
      </c>
      <c r="M40" s="88">
        <v>0</v>
      </c>
      <c r="N40" s="89">
        <v>0</v>
      </c>
      <c r="O40" s="88">
        <v>0</v>
      </c>
      <c r="P40" s="89">
        <v>0</v>
      </c>
      <c r="Q40" s="93">
        <v>9</v>
      </c>
      <c r="R40" s="89">
        <f t="shared" si="4"/>
        <v>7113.8383833435391</v>
      </c>
      <c r="S40" s="88">
        <f t="shared" si="5"/>
        <v>9</v>
      </c>
      <c r="T40" s="92">
        <f t="shared" si="5"/>
        <v>7113.8383833435391</v>
      </c>
      <c r="U40" s="116"/>
      <c r="V40" s="289">
        <f t="shared" si="12"/>
        <v>790.42648703817099</v>
      </c>
      <c r="W40" s="291"/>
      <c r="X40" s="290"/>
      <c r="Y40" s="283"/>
      <c r="Z40" s="288"/>
      <c r="AA40" s="286"/>
      <c r="AB40" s="281"/>
      <c r="AC40" s="281"/>
      <c r="AD40" s="276"/>
      <c r="AE40" s="276"/>
      <c r="AF40" s="276"/>
    </row>
    <row r="41" spans="1:32" x14ac:dyDescent="0.2">
      <c r="A41" s="86">
        <f t="shared" si="7"/>
        <v>37</v>
      </c>
      <c r="B41" s="363"/>
      <c r="C41" s="93" t="s">
        <v>671</v>
      </c>
      <c r="D41" s="371"/>
      <c r="E41" s="93">
        <v>0</v>
      </c>
      <c r="F41" s="87">
        <v>0</v>
      </c>
      <c r="G41" s="88">
        <v>0</v>
      </c>
      <c r="H41" s="89">
        <v>0</v>
      </c>
      <c r="I41" s="88">
        <v>0</v>
      </c>
      <c r="J41" s="89">
        <v>0</v>
      </c>
      <c r="K41" s="88">
        <v>0</v>
      </c>
      <c r="L41" s="89">
        <v>0</v>
      </c>
      <c r="M41" s="88">
        <v>0</v>
      </c>
      <c r="N41" s="89">
        <v>0</v>
      </c>
      <c r="O41" s="88">
        <v>0</v>
      </c>
      <c r="P41" s="89">
        <v>0</v>
      </c>
      <c r="Q41" s="93">
        <v>1</v>
      </c>
      <c r="R41" s="89">
        <f t="shared" si="4"/>
        <v>790.42648703817099</v>
      </c>
      <c r="S41" s="88">
        <f t="shared" si="5"/>
        <v>1</v>
      </c>
      <c r="T41" s="92">
        <f t="shared" si="5"/>
        <v>790.42648703817099</v>
      </c>
      <c r="U41" s="116"/>
      <c r="V41" s="289">
        <f t="shared" si="12"/>
        <v>790.42648703817099</v>
      </c>
      <c r="W41" s="291"/>
      <c r="X41" s="290"/>
      <c r="Y41" s="283"/>
      <c r="Z41" s="288"/>
      <c r="AA41" s="286"/>
      <c r="AB41" s="281"/>
      <c r="AC41" s="281"/>
      <c r="AD41" s="276"/>
      <c r="AE41" s="276"/>
      <c r="AF41" s="276"/>
    </row>
    <row r="42" spans="1:32" x14ac:dyDescent="0.2">
      <c r="A42" s="86">
        <f t="shared" si="7"/>
        <v>38</v>
      </c>
      <c r="B42" s="361" t="s">
        <v>458</v>
      </c>
      <c r="C42" s="93" t="s">
        <v>459</v>
      </c>
      <c r="D42" s="371"/>
      <c r="E42" s="93">
        <v>0</v>
      </c>
      <c r="F42" s="87">
        <v>0</v>
      </c>
      <c r="G42" s="88">
        <v>30</v>
      </c>
      <c r="H42" s="89">
        <f>+G42*Y35</f>
        <v>3014.7608601728202</v>
      </c>
      <c r="I42" s="88">
        <v>156</v>
      </c>
      <c r="J42" s="89">
        <f t="shared" ref="J42:J48" si="13">+I42*Z42</f>
        <v>25858.43066439523</v>
      </c>
      <c r="K42" s="88">
        <v>21</v>
      </c>
      <c r="L42" s="90">
        <v>18053.558918083461</v>
      </c>
      <c r="M42" s="88">
        <v>13</v>
      </c>
      <c r="N42" s="87">
        <f t="shared" si="3"/>
        <v>13110.463462619449</v>
      </c>
      <c r="O42" s="91">
        <v>128</v>
      </c>
      <c r="P42" s="89">
        <f t="shared" si="1"/>
        <v>29434.232086021504</v>
      </c>
      <c r="Q42" s="93">
        <v>7</v>
      </c>
      <c r="R42" s="89">
        <f t="shared" si="4"/>
        <v>5532.9854092671967</v>
      </c>
      <c r="S42" s="88">
        <f t="shared" si="5"/>
        <v>355</v>
      </c>
      <c r="T42" s="92">
        <f t="shared" si="5"/>
        <v>95004.431400559653</v>
      </c>
      <c r="U42" s="116"/>
      <c r="V42" s="289">
        <f t="shared" si="12"/>
        <v>790.42648703817099</v>
      </c>
      <c r="W42" s="291">
        <f>+W38</f>
        <v>0</v>
      </c>
      <c r="X42" s="290">
        <f>+X38</f>
        <v>1008.4971894322654</v>
      </c>
      <c r="Y42" s="283">
        <f>+Y35</f>
        <v>100.49202867242734</v>
      </c>
      <c r="Z42" s="288">
        <f>+Z35</f>
        <v>165.75917092561045</v>
      </c>
      <c r="AA42" s="286">
        <f>+AA38</f>
        <v>229.954938172043</v>
      </c>
      <c r="AB42" s="281"/>
      <c r="AC42" s="281"/>
      <c r="AD42" s="276"/>
      <c r="AE42" s="276"/>
      <c r="AF42" s="276"/>
    </row>
    <row r="43" spans="1:32" x14ac:dyDescent="0.2">
      <c r="A43" s="86">
        <f t="shared" si="7"/>
        <v>39</v>
      </c>
      <c r="B43" s="362"/>
      <c r="C43" s="93" t="s">
        <v>460</v>
      </c>
      <c r="D43" s="371"/>
      <c r="E43" s="93">
        <v>0</v>
      </c>
      <c r="F43" s="87">
        <v>0</v>
      </c>
      <c r="G43" s="88">
        <v>50</v>
      </c>
      <c r="H43" s="89">
        <f t="shared" ref="H43:H48" si="14">+G43*Y42</f>
        <v>5024.6014336213666</v>
      </c>
      <c r="I43" s="88">
        <v>112</v>
      </c>
      <c r="J43" s="89">
        <f t="shared" si="13"/>
        <v>18565.027143668369</v>
      </c>
      <c r="K43" s="88">
        <v>8</v>
      </c>
      <c r="L43" s="90">
        <v>6877.5462545079854</v>
      </c>
      <c r="M43" s="88">
        <v>71</v>
      </c>
      <c r="N43" s="87">
        <f t="shared" si="3"/>
        <v>71603.30044969084</v>
      </c>
      <c r="O43" s="91">
        <v>67</v>
      </c>
      <c r="P43" s="89">
        <f t="shared" si="1"/>
        <v>15406.980857526882</v>
      </c>
      <c r="Q43" s="93">
        <v>35</v>
      </c>
      <c r="R43" s="89">
        <f t="shared" si="4"/>
        <v>27664.927046335986</v>
      </c>
      <c r="S43" s="88">
        <f t="shared" si="5"/>
        <v>343</v>
      </c>
      <c r="T43" s="92">
        <f t="shared" si="5"/>
        <v>145142.38318535144</v>
      </c>
      <c r="U43" s="116"/>
      <c r="V43" s="289">
        <f t="shared" si="12"/>
        <v>790.42648703817099</v>
      </c>
      <c r="W43" s="291">
        <f t="shared" si="12"/>
        <v>0</v>
      </c>
      <c r="X43" s="290">
        <f t="shared" si="12"/>
        <v>1008.4971894322654</v>
      </c>
      <c r="Y43" s="283">
        <f t="shared" si="12"/>
        <v>100.49202867242734</v>
      </c>
      <c r="Z43" s="288">
        <f t="shared" si="12"/>
        <v>165.75917092561045</v>
      </c>
      <c r="AA43" s="286">
        <f t="shared" si="12"/>
        <v>229.954938172043</v>
      </c>
      <c r="AB43" s="281"/>
      <c r="AC43" s="281"/>
      <c r="AD43" s="276"/>
      <c r="AE43" s="276"/>
      <c r="AF43" s="276"/>
    </row>
    <row r="44" spans="1:32" x14ac:dyDescent="0.2">
      <c r="A44" s="86">
        <f t="shared" si="7"/>
        <v>40</v>
      </c>
      <c r="B44" s="362"/>
      <c r="C44" s="93" t="s">
        <v>461</v>
      </c>
      <c r="D44" s="371"/>
      <c r="E44" s="93">
        <v>0</v>
      </c>
      <c r="F44" s="87">
        <v>0</v>
      </c>
      <c r="G44" s="88">
        <v>14</v>
      </c>
      <c r="H44" s="89">
        <f t="shared" si="14"/>
        <v>1406.8884014139828</v>
      </c>
      <c r="I44" s="88">
        <v>147</v>
      </c>
      <c r="J44" s="89">
        <f t="shared" si="13"/>
        <v>24366.598126064735</v>
      </c>
      <c r="K44" s="88">
        <v>19</v>
      </c>
      <c r="L44" s="90">
        <v>16334.172354456465</v>
      </c>
      <c r="M44" s="88">
        <v>63</v>
      </c>
      <c r="N44" s="87">
        <f t="shared" si="3"/>
        <v>63535.322934232718</v>
      </c>
      <c r="O44" s="91">
        <v>120</v>
      </c>
      <c r="P44" s="89">
        <f t="shared" si="1"/>
        <v>27594.59258064516</v>
      </c>
      <c r="Q44" s="93">
        <v>0</v>
      </c>
      <c r="R44" s="89">
        <f t="shared" si="4"/>
        <v>0</v>
      </c>
      <c r="S44" s="88">
        <f t="shared" si="5"/>
        <v>363</v>
      </c>
      <c r="T44" s="92">
        <f t="shared" si="5"/>
        <v>133237.57439681306</v>
      </c>
      <c r="U44" s="116"/>
      <c r="V44" s="289">
        <f t="shared" si="12"/>
        <v>790.42648703817099</v>
      </c>
      <c r="W44" s="291">
        <f t="shared" si="12"/>
        <v>0</v>
      </c>
      <c r="X44" s="290">
        <f t="shared" si="12"/>
        <v>1008.4971894322654</v>
      </c>
      <c r="Y44" s="283">
        <f t="shared" si="12"/>
        <v>100.49202867242734</v>
      </c>
      <c r="Z44" s="288">
        <f t="shared" si="12"/>
        <v>165.75917092561045</v>
      </c>
      <c r="AA44" s="286">
        <f t="shared" si="12"/>
        <v>229.954938172043</v>
      </c>
      <c r="AB44" s="281"/>
      <c r="AC44" s="281"/>
      <c r="AD44" s="276"/>
      <c r="AE44" s="276"/>
      <c r="AF44" s="276"/>
    </row>
    <row r="45" spans="1:32" x14ac:dyDescent="0.2">
      <c r="A45" s="86">
        <f t="shared" si="7"/>
        <v>41</v>
      </c>
      <c r="B45" s="362"/>
      <c r="C45" s="93" t="s">
        <v>462</v>
      </c>
      <c r="D45" s="371"/>
      <c r="E45" s="93">
        <v>0</v>
      </c>
      <c r="F45" s="87">
        <v>0</v>
      </c>
      <c r="G45" s="88">
        <v>18</v>
      </c>
      <c r="H45" s="89">
        <f t="shared" si="14"/>
        <v>1808.856516103692</v>
      </c>
      <c r="I45" s="88">
        <v>81</v>
      </c>
      <c r="J45" s="89">
        <f t="shared" si="13"/>
        <v>13426.492844974446</v>
      </c>
      <c r="K45" s="88">
        <v>25</v>
      </c>
      <c r="L45" s="90">
        <v>21492.332045337454</v>
      </c>
      <c r="M45" s="88">
        <v>0</v>
      </c>
      <c r="N45" s="87">
        <f t="shared" si="3"/>
        <v>0</v>
      </c>
      <c r="O45" s="91">
        <v>120</v>
      </c>
      <c r="P45" s="89">
        <f t="shared" si="1"/>
        <v>27594.59258064516</v>
      </c>
      <c r="Q45" s="93">
        <v>28</v>
      </c>
      <c r="R45" s="89">
        <f t="shared" si="4"/>
        <v>22131.941637068787</v>
      </c>
      <c r="S45" s="88">
        <f t="shared" si="5"/>
        <v>272</v>
      </c>
      <c r="T45" s="92">
        <f t="shared" si="5"/>
        <v>86454.215624129531</v>
      </c>
      <c r="U45" s="116"/>
      <c r="V45" s="289">
        <f t="shared" si="12"/>
        <v>790.42648703817099</v>
      </c>
      <c r="W45" s="291">
        <f t="shared" si="12"/>
        <v>0</v>
      </c>
      <c r="X45" s="290">
        <f t="shared" si="12"/>
        <v>1008.4971894322654</v>
      </c>
      <c r="Y45" s="283">
        <f t="shared" si="12"/>
        <v>100.49202867242734</v>
      </c>
      <c r="Z45" s="288">
        <f t="shared" si="12"/>
        <v>165.75917092561045</v>
      </c>
      <c r="AA45" s="286">
        <f t="shared" si="12"/>
        <v>229.954938172043</v>
      </c>
      <c r="AB45" s="281"/>
      <c r="AC45" s="281"/>
      <c r="AD45" s="276"/>
      <c r="AE45" s="276"/>
      <c r="AF45" s="276"/>
    </row>
    <row r="46" spans="1:32" x14ac:dyDescent="0.2">
      <c r="A46" s="86">
        <f t="shared" si="7"/>
        <v>42</v>
      </c>
      <c r="B46" s="362"/>
      <c r="C46" s="93" t="s">
        <v>463</v>
      </c>
      <c r="D46" s="371"/>
      <c r="E46" s="93">
        <v>0</v>
      </c>
      <c r="F46" s="87">
        <v>0</v>
      </c>
      <c r="G46" s="88">
        <v>34</v>
      </c>
      <c r="H46" s="89">
        <f t="shared" si="14"/>
        <v>3416.7289748625294</v>
      </c>
      <c r="I46" s="88">
        <v>0</v>
      </c>
      <c r="J46" s="89">
        <f t="shared" si="13"/>
        <v>0</v>
      </c>
      <c r="K46" s="88">
        <v>0</v>
      </c>
      <c r="L46" s="90">
        <v>0</v>
      </c>
      <c r="M46" s="88">
        <v>0</v>
      </c>
      <c r="N46" s="87">
        <f t="shared" si="3"/>
        <v>0</v>
      </c>
      <c r="O46" s="91">
        <v>120</v>
      </c>
      <c r="P46" s="89">
        <f t="shared" si="1"/>
        <v>27594.59258064516</v>
      </c>
      <c r="Q46" s="93">
        <v>30</v>
      </c>
      <c r="R46" s="89">
        <f t="shared" si="4"/>
        <v>23712.794611145131</v>
      </c>
      <c r="S46" s="88">
        <f t="shared" si="5"/>
        <v>184</v>
      </c>
      <c r="T46" s="92">
        <f t="shared" si="5"/>
        <v>54724.116166652821</v>
      </c>
      <c r="U46" s="116"/>
      <c r="V46" s="289">
        <f t="shared" si="12"/>
        <v>790.42648703817099</v>
      </c>
      <c r="W46" s="291">
        <f t="shared" si="12"/>
        <v>0</v>
      </c>
      <c r="X46" s="290">
        <f t="shared" si="12"/>
        <v>1008.4971894322654</v>
      </c>
      <c r="Y46" s="283">
        <f t="shared" si="12"/>
        <v>100.49202867242734</v>
      </c>
      <c r="Z46" s="288">
        <f t="shared" si="12"/>
        <v>165.75917092561045</v>
      </c>
      <c r="AA46" s="286">
        <f t="shared" si="12"/>
        <v>229.954938172043</v>
      </c>
      <c r="AB46" s="281"/>
      <c r="AC46" s="281"/>
      <c r="AD46" s="276"/>
      <c r="AE46" s="276"/>
      <c r="AF46" s="276"/>
    </row>
    <row r="47" spans="1:32" x14ac:dyDescent="0.2">
      <c r="A47" s="86">
        <f t="shared" si="7"/>
        <v>43</v>
      </c>
      <c r="B47" s="362"/>
      <c r="C47" s="93" t="s">
        <v>464</v>
      </c>
      <c r="D47" s="371"/>
      <c r="E47" s="93">
        <v>0</v>
      </c>
      <c r="F47" s="87">
        <v>0</v>
      </c>
      <c r="G47" s="88">
        <v>0</v>
      </c>
      <c r="H47" s="89">
        <f t="shared" si="14"/>
        <v>0</v>
      </c>
      <c r="I47" s="88">
        <v>0</v>
      </c>
      <c r="J47" s="89">
        <f t="shared" si="13"/>
        <v>0</v>
      </c>
      <c r="K47" s="88">
        <v>65</v>
      </c>
      <c r="L47" s="90">
        <v>55880.063317877379</v>
      </c>
      <c r="M47" s="88">
        <v>3</v>
      </c>
      <c r="N47" s="87">
        <f t="shared" si="3"/>
        <v>3025.4915682967962</v>
      </c>
      <c r="O47" s="91">
        <v>126</v>
      </c>
      <c r="P47" s="89">
        <f t="shared" si="1"/>
        <v>28974.322209677419</v>
      </c>
      <c r="Q47" s="93">
        <v>1</v>
      </c>
      <c r="R47" s="89">
        <f t="shared" si="4"/>
        <v>790.42648703817099</v>
      </c>
      <c r="S47" s="88">
        <f t="shared" si="5"/>
        <v>195</v>
      </c>
      <c r="T47" s="92">
        <f t="shared" si="5"/>
        <v>88670.30358288977</v>
      </c>
      <c r="U47" s="116"/>
      <c r="V47" s="289">
        <f t="shared" si="12"/>
        <v>790.42648703817099</v>
      </c>
      <c r="W47" s="291">
        <f t="shared" si="12"/>
        <v>0</v>
      </c>
      <c r="X47" s="290">
        <f t="shared" si="12"/>
        <v>1008.4971894322654</v>
      </c>
      <c r="Y47" s="283">
        <f t="shared" si="12"/>
        <v>100.49202867242734</v>
      </c>
      <c r="Z47" s="288">
        <f t="shared" si="12"/>
        <v>165.75917092561045</v>
      </c>
      <c r="AA47" s="286">
        <f t="shared" si="12"/>
        <v>229.954938172043</v>
      </c>
      <c r="AB47" s="281"/>
      <c r="AC47" s="281"/>
      <c r="AD47" s="276"/>
      <c r="AE47" s="276"/>
      <c r="AF47" s="276"/>
    </row>
    <row r="48" spans="1:32" x14ac:dyDescent="0.2">
      <c r="A48" s="86">
        <f t="shared" si="7"/>
        <v>44</v>
      </c>
      <c r="B48" s="362"/>
      <c r="C48" s="93" t="s">
        <v>465</v>
      </c>
      <c r="D48" s="371"/>
      <c r="E48" s="93">
        <v>0</v>
      </c>
      <c r="F48" s="87">
        <v>0</v>
      </c>
      <c r="G48" s="88">
        <v>60</v>
      </c>
      <c r="H48" s="89">
        <f t="shared" si="14"/>
        <v>6029.5217203456405</v>
      </c>
      <c r="I48" s="88">
        <v>130</v>
      </c>
      <c r="J48" s="89">
        <f t="shared" si="13"/>
        <v>21548.692220329358</v>
      </c>
      <c r="K48" s="88">
        <v>36</v>
      </c>
      <c r="L48" s="90">
        <v>30948.958145285935</v>
      </c>
      <c r="M48" s="88">
        <v>0</v>
      </c>
      <c r="N48" s="87">
        <f t="shared" si="3"/>
        <v>0</v>
      </c>
      <c r="O48" s="91">
        <v>0</v>
      </c>
      <c r="P48" s="89">
        <f t="shared" si="1"/>
        <v>0</v>
      </c>
      <c r="Q48" s="93">
        <v>70</v>
      </c>
      <c r="R48" s="89">
        <f t="shared" si="4"/>
        <v>55329.854092671972</v>
      </c>
      <c r="S48" s="88">
        <f t="shared" si="5"/>
        <v>296</v>
      </c>
      <c r="T48" s="92">
        <f t="shared" si="5"/>
        <v>113857.02617863291</v>
      </c>
      <c r="U48" s="116"/>
      <c r="V48" s="289">
        <f t="shared" si="12"/>
        <v>790.42648703817099</v>
      </c>
      <c r="W48" s="291">
        <f t="shared" si="12"/>
        <v>0</v>
      </c>
      <c r="X48" s="290">
        <f t="shared" si="12"/>
        <v>1008.4971894322654</v>
      </c>
      <c r="Y48" s="283">
        <f>+Y47</f>
        <v>100.49202867242734</v>
      </c>
      <c r="Z48" s="288">
        <f>+Z47</f>
        <v>165.75917092561045</v>
      </c>
      <c r="AA48" s="286">
        <f t="shared" si="12"/>
        <v>229.954938172043</v>
      </c>
      <c r="AB48" s="281"/>
      <c r="AC48" s="281"/>
      <c r="AD48" s="276"/>
      <c r="AE48" s="276"/>
      <c r="AF48" s="276"/>
    </row>
    <row r="49" spans="1:32" x14ac:dyDescent="0.2">
      <c r="A49" s="86">
        <f t="shared" si="7"/>
        <v>45</v>
      </c>
      <c r="B49" s="363"/>
      <c r="C49" s="93" t="s">
        <v>466</v>
      </c>
      <c r="D49" s="371"/>
      <c r="E49" s="93">
        <v>0</v>
      </c>
      <c r="F49" s="87">
        <v>0</v>
      </c>
      <c r="G49" s="88">
        <v>0</v>
      </c>
      <c r="H49" s="89">
        <v>0</v>
      </c>
      <c r="I49" s="88">
        <v>0</v>
      </c>
      <c r="J49" s="89">
        <v>0</v>
      </c>
      <c r="K49" s="88">
        <v>0</v>
      </c>
      <c r="L49" s="90">
        <v>2579.0798454404944</v>
      </c>
      <c r="M49" s="88">
        <v>0</v>
      </c>
      <c r="N49" s="87">
        <f t="shared" si="3"/>
        <v>0</v>
      </c>
      <c r="O49" s="91">
        <v>16</v>
      </c>
      <c r="P49" s="89">
        <f t="shared" si="1"/>
        <v>3679.279010752688</v>
      </c>
      <c r="Q49" s="93">
        <v>52</v>
      </c>
      <c r="R49" s="89">
        <f t="shared" si="4"/>
        <v>41102.177325984892</v>
      </c>
      <c r="S49" s="88">
        <f t="shared" si="5"/>
        <v>68</v>
      </c>
      <c r="T49" s="92">
        <f t="shared" si="5"/>
        <v>47360.536182178075</v>
      </c>
      <c r="U49" s="116"/>
      <c r="V49" s="289">
        <f t="shared" si="12"/>
        <v>790.42648703817099</v>
      </c>
      <c r="W49" s="291">
        <f t="shared" si="12"/>
        <v>0</v>
      </c>
      <c r="X49" s="290">
        <f t="shared" si="12"/>
        <v>1008.4971894322654</v>
      </c>
      <c r="Y49" s="283"/>
      <c r="Z49" s="288"/>
      <c r="AA49" s="286">
        <f t="shared" si="12"/>
        <v>229.954938172043</v>
      </c>
      <c r="AB49" s="281"/>
      <c r="AC49" s="281"/>
      <c r="AD49" s="276"/>
      <c r="AE49" s="276"/>
      <c r="AF49" s="276"/>
    </row>
    <row r="50" spans="1:32" x14ac:dyDescent="0.2">
      <c r="A50" s="86">
        <f t="shared" si="7"/>
        <v>46</v>
      </c>
      <c r="B50" s="369" t="s">
        <v>467</v>
      </c>
      <c r="C50" s="93" t="s">
        <v>468</v>
      </c>
      <c r="D50" s="371"/>
      <c r="E50" s="93">
        <v>0</v>
      </c>
      <c r="F50" s="87">
        <v>0</v>
      </c>
      <c r="G50" s="88">
        <v>29</v>
      </c>
      <c r="H50" s="89">
        <f>+G50*Y48</f>
        <v>2914.2688315003929</v>
      </c>
      <c r="I50" s="88">
        <v>27</v>
      </c>
      <c r="J50" s="89">
        <f t="shared" ref="J50:J55" si="15">+I50*Z50</f>
        <v>4475.4976149914819</v>
      </c>
      <c r="K50" s="88">
        <v>3</v>
      </c>
      <c r="L50" s="90">
        <v>2579.0798454404944</v>
      </c>
      <c r="M50" s="88">
        <v>2</v>
      </c>
      <c r="N50" s="87">
        <f t="shared" si="3"/>
        <v>2016.9943788645307</v>
      </c>
      <c r="O50" s="91">
        <v>122</v>
      </c>
      <c r="P50" s="89">
        <f t="shared" si="1"/>
        <v>28054.502456989245</v>
      </c>
      <c r="Q50" s="93">
        <v>9</v>
      </c>
      <c r="R50" s="89">
        <f t="shared" si="4"/>
        <v>7113.8383833435391</v>
      </c>
      <c r="S50" s="88">
        <f t="shared" si="5"/>
        <v>192</v>
      </c>
      <c r="T50" s="92">
        <f t="shared" si="5"/>
        <v>47154.181511129682</v>
      </c>
      <c r="U50" s="116"/>
      <c r="V50" s="289">
        <f t="shared" si="12"/>
        <v>790.42648703817099</v>
      </c>
      <c r="W50" s="291">
        <f t="shared" si="12"/>
        <v>0</v>
      </c>
      <c r="X50" s="290">
        <f t="shared" si="12"/>
        <v>1008.4971894322654</v>
      </c>
      <c r="Y50" s="283">
        <f>+Y48</f>
        <v>100.49202867242734</v>
      </c>
      <c r="Z50" s="288">
        <f>+Z48</f>
        <v>165.75917092561045</v>
      </c>
      <c r="AA50" s="286">
        <f t="shared" si="12"/>
        <v>229.954938172043</v>
      </c>
      <c r="AB50" s="281"/>
      <c r="AC50" s="281"/>
      <c r="AD50" s="276"/>
      <c r="AE50" s="276"/>
      <c r="AF50" s="276"/>
    </row>
    <row r="51" spans="1:32" x14ac:dyDescent="0.2">
      <c r="A51" s="86">
        <f t="shared" si="7"/>
        <v>47</v>
      </c>
      <c r="B51" s="369"/>
      <c r="C51" s="93" t="s">
        <v>428</v>
      </c>
      <c r="D51" s="371"/>
      <c r="E51" s="93">
        <v>0</v>
      </c>
      <c r="F51" s="87">
        <v>0</v>
      </c>
      <c r="G51" s="88">
        <v>50</v>
      </c>
      <c r="H51" s="89">
        <f>+G51*Y50</f>
        <v>5024.6014336213666</v>
      </c>
      <c r="I51" s="88">
        <v>59</v>
      </c>
      <c r="J51" s="89">
        <f t="shared" si="15"/>
        <v>9779.7910846110171</v>
      </c>
      <c r="K51" s="88">
        <v>3</v>
      </c>
      <c r="L51" s="90">
        <v>11176.012663575477</v>
      </c>
      <c r="M51" s="88">
        <v>10</v>
      </c>
      <c r="N51" s="87">
        <f t="shared" si="3"/>
        <v>10084.971894322654</v>
      </c>
      <c r="O51" s="91">
        <v>132</v>
      </c>
      <c r="P51" s="89">
        <f t="shared" si="1"/>
        <v>30354.051838709674</v>
      </c>
      <c r="Q51" s="93">
        <v>4</v>
      </c>
      <c r="R51" s="89">
        <f t="shared" si="4"/>
        <v>3161.705948152684</v>
      </c>
      <c r="S51" s="88">
        <f t="shared" si="5"/>
        <v>258</v>
      </c>
      <c r="T51" s="92">
        <f t="shared" si="5"/>
        <v>69581.134862992869</v>
      </c>
      <c r="U51" s="116"/>
      <c r="V51" s="289">
        <f t="shared" si="12"/>
        <v>790.42648703817099</v>
      </c>
      <c r="W51" s="291">
        <f t="shared" si="12"/>
        <v>0</v>
      </c>
      <c r="X51" s="290">
        <f t="shared" si="12"/>
        <v>1008.4971894322654</v>
      </c>
      <c r="Y51" s="283">
        <f t="shared" si="12"/>
        <v>100.49202867242734</v>
      </c>
      <c r="Z51" s="288">
        <f t="shared" si="12"/>
        <v>165.75917092561045</v>
      </c>
      <c r="AA51" s="286">
        <f t="shared" si="12"/>
        <v>229.954938172043</v>
      </c>
      <c r="AB51" s="281"/>
      <c r="AC51" s="281"/>
      <c r="AD51" s="276"/>
      <c r="AE51" s="276"/>
      <c r="AF51" s="276"/>
    </row>
    <row r="52" spans="1:32" x14ac:dyDescent="0.2">
      <c r="A52" s="86">
        <f t="shared" si="7"/>
        <v>48</v>
      </c>
      <c r="B52" s="369"/>
      <c r="C52" s="93" t="s">
        <v>469</v>
      </c>
      <c r="D52" s="371"/>
      <c r="E52" s="93">
        <v>0</v>
      </c>
      <c r="F52" s="87">
        <v>0</v>
      </c>
      <c r="G52" s="88">
        <v>35</v>
      </c>
      <c r="H52" s="89">
        <f>+G52*Y51</f>
        <v>3517.2210035349567</v>
      </c>
      <c r="I52" s="88">
        <v>45</v>
      </c>
      <c r="J52" s="89">
        <f t="shared" si="15"/>
        <v>7459.1626916524701</v>
      </c>
      <c r="K52" s="88">
        <v>13</v>
      </c>
      <c r="L52" s="90">
        <v>0</v>
      </c>
      <c r="M52" s="88">
        <v>14</v>
      </c>
      <c r="N52" s="87">
        <f t="shared" si="3"/>
        <v>14118.960652051715</v>
      </c>
      <c r="O52" s="91">
        <v>3</v>
      </c>
      <c r="P52" s="89">
        <f t="shared" si="1"/>
        <v>689.86481451612894</v>
      </c>
      <c r="Q52" s="93">
        <v>13</v>
      </c>
      <c r="R52" s="89">
        <f t="shared" si="4"/>
        <v>10275.544331496223</v>
      </c>
      <c r="S52" s="88">
        <f t="shared" si="5"/>
        <v>123</v>
      </c>
      <c r="T52" s="92">
        <f t="shared" si="5"/>
        <v>36060.753493251497</v>
      </c>
      <c r="U52" s="116"/>
      <c r="V52" s="289">
        <f t="shared" si="12"/>
        <v>790.42648703817099</v>
      </c>
      <c r="W52" s="291">
        <f t="shared" si="12"/>
        <v>0</v>
      </c>
      <c r="X52" s="290">
        <f t="shared" si="12"/>
        <v>1008.4971894322654</v>
      </c>
      <c r="Y52" s="283">
        <f t="shared" si="12"/>
        <v>100.49202867242734</v>
      </c>
      <c r="Z52" s="288">
        <f t="shared" si="12"/>
        <v>165.75917092561045</v>
      </c>
      <c r="AA52" s="286">
        <f t="shared" si="12"/>
        <v>229.954938172043</v>
      </c>
      <c r="AB52" s="281"/>
      <c r="AC52" s="281"/>
      <c r="AD52" s="276"/>
      <c r="AE52" s="276"/>
      <c r="AF52" s="276"/>
    </row>
    <row r="53" spans="1:32" x14ac:dyDescent="0.2">
      <c r="A53" s="86">
        <f t="shared" si="7"/>
        <v>49</v>
      </c>
      <c r="B53" s="361" t="s">
        <v>470</v>
      </c>
      <c r="C53" s="93" t="s">
        <v>470</v>
      </c>
      <c r="D53" s="371"/>
      <c r="E53" s="93">
        <v>0</v>
      </c>
      <c r="F53" s="87">
        <v>0</v>
      </c>
      <c r="G53" s="88">
        <v>50</v>
      </c>
      <c r="H53" s="89">
        <f>+G53*Y52</f>
        <v>5024.6014336213666</v>
      </c>
      <c r="I53" s="88">
        <v>18</v>
      </c>
      <c r="J53" s="89">
        <f t="shared" si="15"/>
        <v>2983.6650766609882</v>
      </c>
      <c r="K53" s="88">
        <v>0</v>
      </c>
      <c r="L53" s="90">
        <v>859.69328181349817</v>
      </c>
      <c r="M53" s="88">
        <v>0</v>
      </c>
      <c r="N53" s="87">
        <f t="shared" si="3"/>
        <v>0</v>
      </c>
      <c r="O53" s="91">
        <v>12</v>
      </c>
      <c r="P53" s="89">
        <f t="shared" si="1"/>
        <v>2759.4592580645158</v>
      </c>
      <c r="Q53" s="93">
        <v>25</v>
      </c>
      <c r="R53" s="89">
        <f t="shared" si="4"/>
        <v>19760.662175954276</v>
      </c>
      <c r="S53" s="88">
        <f t="shared" si="5"/>
        <v>105</v>
      </c>
      <c r="T53" s="92">
        <f t="shared" si="5"/>
        <v>31388.081226114646</v>
      </c>
      <c r="U53" s="116"/>
      <c r="V53" s="289">
        <f t="shared" si="12"/>
        <v>790.42648703817099</v>
      </c>
      <c r="W53" s="291">
        <f t="shared" si="12"/>
        <v>0</v>
      </c>
      <c r="X53" s="290">
        <f t="shared" si="12"/>
        <v>1008.4971894322654</v>
      </c>
      <c r="Y53" s="283">
        <f t="shared" si="12"/>
        <v>100.49202867242734</v>
      </c>
      <c r="Z53" s="288">
        <f t="shared" si="12"/>
        <v>165.75917092561045</v>
      </c>
      <c r="AA53" s="286">
        <f t="shared" si="12"/>
        <v>229.954938172043</v>
      </c>
      <c r="AB53" s="281"/>
      <c r="AC53" s="281"/>
      <c r="AD53" s="276"/>
      <c r="AE53" s="276"/>
      <c r="AF53" s="276"/>
    </row>
    <row r="54" spans="1:32" x14ac:dyDescent="0.2">
      <c r="A54" s="86">
        <f t="shared" si="7"/>
        <v>50</v>
      </c>
      <c r="B54" s="362"/>
      <c r="C54" s="93" t="s">
        <v>471</v>
      </c>
      <c r="D54" s="371"/>
      <c r="E54" s="93">
        <v>0</v>
      </c>
      <c r="F54" s="87">
        <v>0</v>
      </c>
      <c r="G54" s="88">
        <v>39</v>
      </c>
      <c r="H54" s="89">
        <f>+G54*Y53</f>
        <v>3919.1891182246663</v>
      </c>
      <c r="I54" s="88">
        <v>0</v>
      </c>
      <c r="J54" s="89">
        <f t="shared" si="15"/>
        <v>0</v>
      </c>
      <c r="K54" s="88">
        <v>1</v>
      </c>
      <c r="L54" s="90">
        <v>16334.172354456465</v>
      </c>
      <c r="M54" s="88">
        <v>0</v>
      </c>
      <c r="N54" s="87">
        <f t="shared" si="3"/>
        <v>0</v>
      </c>
      <c r="O54" s="91">
        <v>10</v>
      </c>
      <c r="P54" s="89">
        <f t="shared" si="1"/>
        <v>2299.5493817204301</v>
      </c>
      <c r="Q54" s="93">
        <v>16</v>
      </c>
      <c r="R54" s="89">
        <f t="shared" si="4"/>
        <v>12646.823792610736</v>
      </c>
      <c r="S54" s="88">
        <f t="shared" si="5"/>
        <v>66</v>
      </c>
      <c r="T54" s="92">
        <f t="shared" si="5"/>
        <v>35199.734647012301</v>
      </c>
      <c r="U54" s="116"/>
      <c r="V54" s="289">
        <f t="shared" ref="V54:AA69" si="16">+V53</f>
        <v>790.42648703817099</v>
      </c>
      <c r="W54" s="291">
        <f t="shared" si="16"/>
        <v>0</v>
      </c>
      <c r="X54" s="290">
        <f t="shared" si="16"/>
        <v>1008.4971894322654</v>
      </c>
      <c r="Y54" s="283">
        <f t="shared" si="16"/>
        <v>100.49202867242734</v>
      </c>
      <c r="Z54" s="288">
        <f t="shared" si="16"/>
        <v>165.75917092561045</v>
      </c>
      <c r="AA54" s="286">
        <f t="shared" si="16"/>
        <v>229.954938172043</v>
      </c>
      <c r="AB54" s="281"/>
      <c r="AC54" s="281"/>
      <c r="AD54" s="276"/>
      <c r="AE54" s="276"/>
      <c r="AF54" s="276"/>
    </row>
    <row r="55" spans="1:32" x14ac:dyDescent="0.2">
      <c r="A55" s="86">
        <f t="shared" si="7"/>
        <v>51</v>
      </c>
      <c r="B55" s="362"/>
      <c r="C55" s="93" t="s">
        <v>472</v>
      </c>
      <c r="D55" s="371"/>
      <c r="E55" s="93">
        <v>0</v>
      </c>
      <c r="F55" s="87">
        <v>0</v>
      </c>
      <c r="G55" s="88">
        <v>57</v>
      </c>
      <c r="H55" s="89">
        <f>+G55*Y54</f>
        <v>5728.0456343283586</v>
      </c>
      <c r="I55" s="88">
        <v>113</v>
      </c>
      <c r="J55" s="89">
        <f t="shared" si="15"/>
        <v>18730.786314593981</v>
      </c>
      <c r="K55" s="88">
        <v>19</v>
      </c>
      <c r="L55" s="90">
        <v>0</v>
      </c>
      <c r="M55" s="88">
        <v>18</v>
      </c>
      <c r="N55" s="87">
        <f t="shared" si="3"/>
        <v>18152.949409780776</v>
      </c>
      <c r="O55" s="91">
        <v>16</v>
      </c>
      <c r="P55" s="89">
        <f t="shared" si="1"/>
        <v>3679.279010752688</v>
      </c>
      <c r="Q55" s="93">
        <v>11</v>
      </c>
      <c r="R55" s="89">
        <f t="shared" si="4"/>
        <v>8694.6913574198807</v>
      </c>
      <c r="S55" s="88">
        <f t="shared" si="5"/>
        <v>234</v>
      </c>
      <c r="T55" s="92">
        <f t="shared" si="5"/>
        <v>54985.751726875678</v>
      </c>
      <c r="U55" s="116"/>
      <c r="V55" s="289">
        <f t="shared" si="16"/>
        <v>790.42648703817099</v>
      </c>
      <c r="W55" s="291">
        <f t="shared" si="16"/>
        <v>0</v>
      </c>
      <c r="X55" s="290">
        <f t="shared" si="16"/>
        <v>1008.4971894322654</v>
      </c>
      <c r="Y55" s="283">
        <f>+Y54</f>
        <v>100.49202867242734</v>
      </c>
      <c r="Z55" s="288">
        <f>+Z54</f>
        <v>165.75917092561045</v>
      </c>
      <c r="AA55" s="286">
        <f t="shared" si="16"/>
        <v>229.954938172043</v>
      </c>
      <c r="AB55" s="281"/>
      <c r="AC55" s="281"/>
      <c r="AD55" s="276"/>
      <c r="AE55" s="276"/>
      <c r="AF55" s="276"/>
    </row>
    <row r="56" spans="1:32" x14ac:dyDescent="0.2">
      <c r="A56" s="86">
        <f t="shared" si="7"/>
        <v>52</v>
      </c>
      <c r="B56" s="362"/>
      <c r="C56" s="93" t="s">
        <v>473</v>
      </c>
      <c r="D56" s="371"/>
      <c r="E56" s="93">
        <v>0</v>
      </c>
      <c r="F56" s="87">
        <v>0</v>
      </c>
      <c r="G56" s="88">
        <v>0</v>
      </c>
      <c r="H56" s="89">
        <v>0</v>
      </c>
      <c r="I56" s="88">
        <v>0</v>
      </c>
      <c r="J56" s="89">
        <v>0</v>
      </c>
      <c r="K56" s="88">
        <v>0</v>
      </c>
      <c r="L56" s="90">
        <v>0</v>
      </c>
      <c r="M56" s="88">
        <v>0</v>
      </c>
      <c r="N56" s="87">
        <f t="shared" si="3"/>
        <v>0</v>
      </c>
      <c r="O56" s="91">
        <v>0</v>
      </c>
      <c r="P56" s="89">
        <f t="shared" si="1"/>
        <v>0</v>
      </c>
      <c r="Q56" s="93">
        <v>12</v>
      </c>
      <c r="R56" s="89">
        <f t="shared" si="4"/>
        <v>9485.117844458051</v>
      </c>
      <c r="S56" s="88">
        <f t="shared" si="5"/>
        <v>12</v>
      </c>
      <c r="T56" s="92">
        <f t="shared" si="5"/>
        <v>9485.117844458051</v>
      </c>
      <c r="U56" s="116"/>
      <c r="V56" s="289">
        <f t="shared" si="16"/>
        <v>790.42648703817099</v>
      </c>
      <c r="W56" s="291">
        <f t="shared" si="16"/>
        <v>0</v>
      </c>
      <c r="X56" s="290">
        <f t="shared" si="16"/>
        <v>1008.4971894322654</v>
      </c>
      <c r="Y56" s="283"/>
      <c r="Z56" s="288"/>
      <c r="AA56" s="286">
        <f t="shared" si="16"/>
        <v>229.954938172043</v>
      </c>
      <c r="AB56" s="281"/>
      <c r="AC56" s="281"/>
      <c r="AD56" s="276"/>
      <c r="AE56" s="276"/>
      <c r="AF56" s="276"/>
    </row>
    <row r="57" spans="1:32" x14ac:dyDescent="0.2">
      <c r="A57" s="86">
        <f t="shared" si="7"/>
        <v>53</v>
      </c>
      <c r="B57" s="362"/>
      <c r="C57" s="93" t="s">
        <v>474</v>
      </c>
      <c r="D57" s="371"/>
      <c r="E57" s="93">
        <v>0</v>
      </c>
      <c r="F57" s="87">
        <v>0</v>
      </c>
      <c r="G57" s="88">
        <v>0</v>
      </c>
      <c r="H57" s="89">
        <v>0</v>
      </c>
      <c r="I57" s="88">
        <v>0</v>
      </c>
      <c r="J57" s="89">
        <v>0</v>
      </c>
      <c r="K57" s="88">
        <v>0</v>
      </c>
      <c r="L57" s="90">
        <v>0</v>
      </c>
      <c r="M57" s="88">
        <v>0</v>
      </c>
      <c r="N57" s="87">
        <f t="shared" si="3"/>
        <v>0</v>
      </c>
      <c r="O57" s="91">
        <v>0</v>
      </c>
      <c r="P57" s="89">
        <f t="shared" si="1"/>
        <v>0</v>
      </c>
      <c r="Q57" s="93">
        <v>13</v>
      </c>
      <c r="R57" s="89">
        <f t="shared" si="4"/>
        <v>10275.544331496223</v>
      </c>
      <c r="S57" s="88">
        <f t="shared" si="5"/>
        <v>13</v>
      </c>
      <c r="T57" s="92">
        <f t="shared" si="5"/>
        <v>10275.544331496223</v>
      </c>
      <c r="U57" s="116"/>
      <c r="V57" s="289">
        <f t="shared" si="16"/>
        <v>790.42648703817099</v>
      </c>
      <c r="W57" s="291">
        <f t="shared" si="16"/>
        <v>0</v>
      </c>
      <c r="X57" s="290">
        <f t="shared" si="16"/>
        <v>1008.4971894322654</v>
      </c>
      <c r="Y57" s="283"/>
      <c r="Z57" s="288"/>
      <c r="AA57" s="286">
        <f t="shared" si="16"/>
        <v>229.954938172043</v>
      </c>
      <c r="AB57" s="281"/>
      <c r="AC57" s="281"/>
      <c r="AD57" s="276"/>
      <c r="AE57" s="276"/>
      <c r="AF57" s="276"/>
    </row>
    <row r="58" spans="1:32" x14ac:dyDescent="0.2">
      <c r="A58" s="86">
        <f t="shared" si="7"/>
        <v>54</v>
      </c>
      <c r="B58" s="363"/>
      <c r="C58" s="93" t="s">
        <v>475</v>
      </c>
      <c r="D58" s="371"/>
      <c r="E58" s="93">
        <v>0</v>
      </c>
      <c r="F58" s="87">
        <v>0</v>
      </c>
      <c r="G58" s="88">
        <v>0</v>
      </c>
      <c r="H58" s="89">
        <v>0</v>
      </c>
      <c r="I58" s="88">
        <v>0</v>
      </c>
      <c r="J58" s="89">
        <v>0</v>
      </c>
      <c r="K58" s="88">
        <v>0</v>
      </c>
      <c r="L58" s="90">
        <v>0</v>
      </c>
      <c r="M58" s="88">
        <v>0</v>
      </c>
      <c r="N58" s="87">
        <f t="shared" si="3"/>
        <v>0</v>
      </c>
      <c r="O58" s="91">
        <v>0</v>
      </c>
      <c r="P58" s="89">
        <f t="shared" si="1"/>
        <v>0</v>
      </c>
      <c r="Q58" s="93">
        <v>0</v>
      </c>
      <c r="R58" s="89">
        <f t="shared" si="4"/>
        <v>0</v>
      </c>
      <c r="S58" s="88">
        <f t="shared" si="5"/>
        <v>0</v>
      </c>
      <c r="T58" s="92">
        <f t="shared" si="5"/>
        <v>0</v>
      </c>
      <c r="U58" s="116"/>
      <c r="V58" s="289">
        <f t="shared" si="16"/>
        <v>790.42648703817099</v>
      </c>
      <c r="W58" s="291">
        <f t="shared" si="16"/>
        <v>0</v>
      </c>
      <c r="X58" s="290">
        <f t="shared" si="16"/>
        <v>1008.4971894322654</v>
      </c>
      <c r="Y58" s="283"/>
      <c r="Z58" s="288"/>
      <c r="AA58" s="286">
        <f t="shared" si="16"/>
        <v>229.954938172043</v>
      </c>
      <c r="AB58" s="281"/>
      <c r="AC58" s="281"/>
      <c r="AD58" s="276"/>
      <c r="AE58" s="276"/>
      <c r="AF58" s="276"/>
    </row>
    <row r="59" spans="1:32" x14ac:dyDescent="0.2">
      <c r="A59" s="86">
        <f t="shared" si="7"/>
        <v>55</v>
      </c>
      <c r="B59" s="361" t="s">
        <v>476</v>
      </c>
      <c r="C59" s="93" t="s">
        <v>476</v>
      </c>
      <c r="D59" s="371"/>
      <c r="E59" s="93">
        <v>0</v>
      </c>
      <c r="F59" s="87">
        <v>0</v>
      </c>
      <c r="G59" s="88">
        <v>55</v>
      </c>
      <c r="H59" s="89">
        <f>+G59*Y55</f>
        <v>5527.061576983504</v>
      </c>
      <c r="I59" s="88">
        <v>30</v>
      </c>
      <c r="J59" s="89">
        <f t="shared" ref="J59:J107" si="17">+I59*Z59</f>
        <v>4972.7751277683137</v>
      </c>
      <c r="K59" s="88">
        <v>18</v>
      </c>
      <c r="L59" s="90">
        <v>15474.479072642967</v>
      </c>
      <c r="M59" s="88">
        <v>40</v>
      </c>
      <c r="N59" s="87">
        <f t="shared" si="3"/>
        <v>40339.887577290618</v>
      </c>
      <c r="O59" s="91">
        <v>132</v>
      </c>
      <c r="P59" s="89">
        <f t="shared" si="1"/>
        <v>30354.051838709674</v>
      </c>
      <c r="Q59" s="93">
        <v>28</v>
      </c>
      <c r="R59" s="89">
        <f t="shared" si="4"/>
        <v>22131.941637068787</v>
      </c>
      <c r="S59" s="88">
        <f t="shared" si="5"/>
        <v>303</v>
      </c>
      <c r="T59" s="92">
        <f t="shared" si="5"/>
        <v>118800.19683046386</v>
      </c>
      <c r="U59" s="116"/>
      <c r="V59" s="289">
        <f t="shared" si="16"/>
        <v>790.42648703817099</v>
      </c>
      <c r="W59" s="291">
        <f t="shared" si="16"/>
        <v>0</v>
      </c>
      <c r="X59" s="290">
        <f t="shared" si="16"/>
        <v>1008.4971894322654</v>
      </c>
      <c r="Y59" s="283">
        <f>+Y55</f>
        <v>100.49202867242734</v>
      </c>
      <c r="Z59" s="288">
        <f>+Z55</f>
        <v>165.75917092561045</v>
      </c>
      <c r="AA59" s="286">
        <f t="shared" si="16"/>
        <v>229.954938172043</v>
      </c>
      <c r="AB59" s="281"/>
      <c r="AC59" s="281"/>
      <c r="AD59" s="276"/>
      <c r="AE59" s="276"/>
      <c r="AF59" s="276"/>
    </row>
    <row r="60" spans="1:32" x14ac:dyDescent="0.2">
      <c r="A60" s="86">
        <f t="shared" si="7"/>
        <v>56</v>
      </c>
      <c r="B60" s="362"/>
      <c r="C60" s="93" t="s">
        <v>477</v>
      </c>
      <c r="D60" s="371"/>
      <c r="E60" s="93">
        <v>0</v>
      </c>
      <c r="F60" s="87">
        <v>0</v>
      </c>
      <c r="G60" s="88">
        <v>37</v>
      </c>
      <c r="H60" s="89">
        <f>+G60*Y59</f>
        <v>3718.2050608798113</v>
      </c>
      <c r="I60" s="88">
        <v>14</v>
      </c>
      <c r="J60" s="89">
        <f t="shared" si="17"/>
        <v>2320.6283929585461</v>
      </c>
      <c r="K60" s="88">
        <v>5</v>
      </c>
      <c r="L60" s="90">
        <v>4298.4664090674905</v>
      </c>
      <c r="M60" s="88">
        <v>0</v>
      </c>
      <c r="N60" s="87">
        <f t="shared" si="3"/>
        <v>0</v>
      </c>
      <c r="O60" s="91">
        <v>21</v>
      </c>
      <c r="P60" s="89">
        <f t="shared" si="1"/>
        <v>4829.0537016129028</v>
      </c>
      <c r="Q60" s="93">
        <v>12</v>
      </c>
      <c r="R60" s="89">
        <f t="shared" si="4"/>
        <v>9485.117844458051</v>
      </c>
      <c r="S60" s="88">
        <f t="shared" si="5"/>
        <v>89</v>
      </c>
      <c r="T60" s="92">
        <f t="shared" si="5"/>
        <v>24651.471408976802</v>
      </c>
      <c r="U60" s="116"/>
      <c r="V60" s="289">
        <f t="shared" si="16"/>
        <v>790.42648703817099</v>
      </c>
      <c r="W60" s="291">
        <f t="shared" si="16"/>
        <v>0</v>
      </c>
      <c r="X60" s="290">
        <f t="shared" si="16"/>
        <v>1008.4971894322654</v>
      </c>
      <c r="Y60" s="283">
        <f t="shared" si="16"/>
        <v>100.49202867242734</v>
      </c>
      <c r="Z60" s="288">
        <f t="shared" si="16"/>
        <v>165.75917092561045</v>
      </c>
      <c r="AA60" s="286">
        <f t="shared" si="16"/>
        <v>229.954938172043</v>
      </c>
      <c r="AB60" s="281"/>
      <c r="AC60" s="281"/>
      <c r="AD60" s="276"/>
      <c r="AE60" s="276"/>
      <c r="AF60" s="276"/>
    </row>
    <row r="61" spans="1:32" x14ac:dyDescent="0.2">
      <c r="A61" s="86">
        <f t="shared" si="7"/>
        <v>57</v>
      </c>
      <c r="B61" s="362"/>
      <c r="C61" s="93" t="s">
        <v>478</v>
      </c>
      <c r="D61" s="371"/>
      <c r="E61" s="93">
        <v>0</v>
      </c>
      <c r="F61" s="87">
        <v>0</v>
      </c>
      <c r="G61" s="88">
        <v>0</v>
      </c>
      <c r="H61" s="89">
        <v>0</v>
      </c>
      <c r="I61" s="88">
        <v>30</v>
      </c>
      <c r="J61" s="89">
        <f t="shared" si="17"/>
        <v>4972.7751277683137</v>
      </c>
      <c r="K61" s="88">
        <v>9</v>
      </c>
      <c r="L61" s="90">
        <v>7737.2395363214837</v>
      </c>
      <c r="M61" s="88">
        <v>21</v>
      </c>
      <c r="N61" s="87">
        <f t="shared" si="3"/>
        <v>21178.440978077571</v>
      </c>
      <c r="O61" s="91">
        <v>132</v>
      </c>
      <c r="P61" s="89">
        <f t="shared" si="1"/>
        <v>30354.051838709674</v>
      </c>
      <c r="Q61" s="93">
        <v>31</v>
      </c>
      <c r="R61" s="89">
        <f t="shared" si="4"/>
        <v>24503.221098183301</v>
      </c>
      <c r="S61" s="88">
        <f t="shared" si="5"/>
        <v>223</v>
      </c>
      <c r="T61" s="92">
        <f t="shared" si="5"/>
        <v>88745.728579060349</v>
      </c>
      <c r="U61" s="116"/>
      <c r="V61" s="289">
        <f t="shared" si="16"/>
        <v>790.42648703817099</v>
      </c>
      <c r="W61" s="291">
        <f t="shared" si="16"/>
        <v>0</v>
      </c>
      <c r="X61" s="290">
        <f t="shared" si="16"/>
        <v>1008.4971894322654</v>
      </c>
      <c r="Y61" s="283"/>
      <c r="Z61" s="288">
        <f t="shared" si="16"/>
        <v>165.75917092561045</v>
      </c>
      <c r="AA61" s="286">
        <f t="shared" si="16"/>
        <v>229.954938172043</v>
      </c>
      <c r="AB61" s="281"/>
      <c r="AC61" s="281"/>
      <c r="AD61" s="276"/>
      <c r="AE61" s="276"/>
      <c r="AF61" s="276"/>
    </row>
    <row r="62" spans="1:32" x14ac:dyDescent="0.2">
      <c r="A62" s="86">
        <f t="shared" si="7"/>
        <v>58</v>
      </c>
      <c r="B62" s="362"/>
      <c r="C62" s="93" t="s">
        <v>479</v>
      </c>
      <c r="D62" s="371"/>
      <c r="E62" s="93">
        <v>0</v>
      </c>
      <c r="F62" s="87">
        <v>0</v>
      </c>
      <c r="G62" s="88">
        <v>0</v>
      </c>
      <c r="H62" s="89">
        <v>0</v>
      </c>
      <c r="I62" s="88">
        <v>58</v>
      </c>
      <c r="J62" s="89">
        <f t="shared" si="17"/>
        <v>9614.0319136854068</v>
      </c>
      <c r="K62" s="88">
        <v>4</v>
      </c>
      <c r="L62" s="90">
        <v>3438.7731272539927</v>
      </c>
      <c r="M62" s="88">
        <v>5</v>
      </c>
      <c r="N62" s="87">
        <f t="shared" si="3"/>
        <v>5042.4859471613272</v>
      </c>
      <c r="O62" s="91">
        <v>1</v>
      </c>
      <c r="P62" s="89">
        <f t="shared" si="1"/>
        <v>229.954938172043</v>
      </c>
      <c r="Q62" s="93">
        <v>27</v>
      </c>
      <c r="R62" s="89">
        <f t="shared" si="4"/>
        <v>21341.515150030616</v>
      </c>
      <c r="S62" s="88">
        <f t="shared" si="5"/>
        <v>95</v>
      </c>
      <c r="T62" s="92">
        <f t="shared" si="5"/>
        <v>39666.761076303388</v>
      </c>
      <c r="U62" s="116"/>
      <c r="V62" s="289">
        <f t="shared" si="16"/>
        <v>790.42648703817099</v>
      </c>
      <c r="W62" s="291">
        <f t="shared" si="16"/>
        <v>0</v>
      </c>
      <c r="X62" s="290">
        <f t="shared" si="16"/>
        <v>1008.4971894322654</v>
      </c>
      <c r="Y62" s="283"/>
      <c r="Z62" s="288">
        <f t="shared" si="16"/>
        <v>165.75917092561045</v>
      </c>
      <c r="AA62" s="286">
        <f t="shared" si="16"/>
        <v>229.954938172043</v>
      </c>
      <c r="AB62" s="281"/>
      <c r="AC62" s="281"/>
      <c r="AD62" s="276"/>
      <c r="AE62" s="276"/>
      <c r="AF62" s="276"/>
    </row>
    <row r="63" spans="1:32" x14ac:dyDescent="0.2">
      <c r="A63" s="86">
        <f t="shared" si="7"/>
        <v>59</v>
      </c>
      <c r="B63" s="362"/>
      <c r="C63" s="93" t="s">
        <v>480</v>
      </c>
      <c r="D63" s="371"/>
      <c r="E63" s="93">
        <v>0</v>
      </c>
      <c r="F63" s="87">
        <v>0</v>
      </c>
      <c r="G63" s="88">
        <v>0</v>
      </c>
      <c r="H63" s="89">
        <v>0</v>
      </c>
      <c r="I63" s="88">
        <v>31</v>
      </c>
      <c r="J63" s="89">
        <f t="shared" si="17"/>
        <v>5138.534298693924</v>
      </c>
      <c r="K63" s="88">
        <v>9</v>
      </c>
      <c r="L63" s="90">
        <v>7737.2395363214837</v>
      </c>
      <c r="M63" s="88">
        <v>10</v>
      </c>
      <c r="N63" s="87">
        <f t="shared" si="3"/>
        <v>10084.971894322654</v>
      </c>
      <c r="O63" s="91">
        <v>10</v>
      </c>
      <c r="P63" s="89">
        <f t="shared" si="1"/>
        <v>2299.5493817204301</v>
      </c>
      <c r="Q63" s="93">
        <v>44</v>
      </c>
      <c r="R63" s="89">
        <f t="shared" si="4"/>
        <v>34778.765429679523</v>
      </c>
      <c r="S63" s="88">
        <f t="shared" si="5"/>
        <v>104</v>
      </c>
      <c r="T63" s="92">
        <f t="shared" si="5"/>
        <v>60039.060540738014</v>
      </c>
      <c r="U63" s="116"/>
      <c r="V63" s="289">
        <f t="shared" si="16"/>
        <v>790.42648703817099</v>
      </c>
      <c r="W63" s="291">
        <f t="shared" si="16"/>
        <v>0</v>
      </c>
      <c r="X63" s="290">
        <f t="shared" si="16"/>
        <v>1008.4971894322654</v>
      </c>
      <c r="Y63" s="283"/>
      <c r="Z63" s="288">
        <f t="shared" si="16"/>
        <v>165.75917092561045</v>
      </c>
      <c r="AA63" s="286">
        <f t="shared" si="16"/>
        <v>229.954938172043</v>
      </c>
      <c r="AB63" s="281"/>
      <c r="AC63" s="281"/>
      <c r="AD63" s="276"/>
      <c r="AE63" s="276"/>
      <c r="AF63" s="276"/>
    </row>
    <row r="64" spans="1:32" x14ac:dyDescent="0.2">
      <c r="A64" s="86">
        <f t="shared" si="7"/>
        <v>60</v>
      </c>
      <c r="B64" s="362"/>
      <c r="C64" s="93" t="s">
        <v>481</v>
      </c>
      <c r="D64" s="371"/>
      <c r="E64" s="93">
        <v>0</v>
      </c>
      <c r="F64" s="87">
        <v>0</v>
      </c>
      <c r="G64" s="88">
        <v>51</v>
      </c>
      <c r="H64" s="89">
        <f>+G64*Y60</f>
        <v>5125.0934622937939</v>
      </c>
      <c r="I64" s="88">
        <v>31</v>
      </c>
      <c r="J64" s="89">
        <f t="shared" si="17"/>
        <v>5138.534298693924</v>
      </c>
      <c r="K64" s="88">
        <v>9</v>
      </c>
      <c r="L64" s="90">
        <v>7737.2395363214837</v>
      </c>
      <c r="M64" s="88">
        <v>35</v>
      </c>
      <c r="N64" s="87">
        <f t="shared" si="3"/>
        <v>35297.401630129287</v>
      </c>
      <c r="O64" s="91">
        <v>126</v>
      </c>
      <c r="P64" s="89">
        <f t="shared" si="1"/>
        <v>28974.322209677419</v>
      </c>
      <c r="Q64" s="93">
        <v>26</v>
      </c>
      <c r="R64" s="89">
        <f t="shared" si="4"/>
        <v>20551.088662992446</v>
      </c>
      <c r="S64" s="88">
        <f t="shared" si="5"/>
        <v>278</v>
      </c>
      <c r="T64" s="92">
        <f t="shared" si="5"/>
        <v>102823.67980010835</v>
      </c>
      <c r="U64" s="116"/>
      <c r="V64" s="289">
        <f t="shared" si="16"/>
        <v>790.42648703817099</v>
      </c>
      <c r="W64" s="291">
        <f t="shared" si="16"/>
        <v>0</v>
      </c>
      <c r="X64" s="290">
        <f t="shared" si="16"/>
        <v>1008.4971894322654</v>
      </c>
      <c r="Y64" s="283">
        <f>+Y60</f>
        <v>100.49202867242734</v>
      </c>
      <c r="Z64" s="288">
        <f t="shared" si="16"/>
        <v>165.75917092561045</v>
      </c>
      <c r="AA64" s="286">
        <f t="shared" si="16"/>
        <v>229.954938172043</v>
      </c>
      <c r="AB64" s="281"/>
      <c r="AC64" s="281"/>
      <c r="AD64" s="276"/>
      <c r="AE64" s="276"/>
      <c r="AF64" s="276"/>
    </row>
    <row r="65" spans="1:32" x14ac:dyDescent="0.2">
      <c r="A65" s="86">
        <f t="shared" si="7"/>
        <v>61</v>
      </c>
      <c r="B65" s="369" t="s">
        <v>482</v>
      </c>
      <c r="C65" s="93" t="s">
        <v>483</v>
      </c>
      <c r="D65" s="371"/>
      <c r="E65" s="93">
        <v>0</v>
      </c>
      <c r="F65" s="87">
        <v>0</v>
      </c>
      <c r="G65" s="88">
        <v>21</v>
      </c>
      <c r="H65" s="89">
        <f>+G65*Y64</f>
        <v>2110.3326021209741</v>
      </c>
      <c r="I65" s="88">
        <v>5</v>
      </c>
      <c r="J65" s="89">
        <f t="shared" si="17"/>
        <v>828.79585462805221</v>
      </c>
      <c r="K65" s="88">
        <v>1</v>
      </c>
      <c r="L65" s="90">
        <v>859.69328181349817</v>
      </c>
      <c r="M65" s="88">
        <v>23</v>
      </c>
      <c r="N65" s="87">
        <f t="shared" si="3"/>
        <v>23195.435356942104</v>
      </c>
      <c r="O65" s="91">
        <v>5</v>
      </c>
      <c r="P65" s="89">
        <f t="shared" si="1"/>
        <v>1149.7746908602151</v>
      </c>
      <c r="Q65" s="93">
        <v>26</v>
      </c>
      <c r="R65" s="89">
        <f t="shared" si="4"/>
        <v>20551.088662992446</v>
      </c>
      <c r="S65" s="88">
        <f t="shared" si="5"/>
        <v>81</v>
      </c>
      <c r="T65" s="92">
        <f t="shared" si="5"/>
        <v>48695.120449357288</v>
      </c>
      <c r="U65" s="116"/>
      <c r="V65" s="289">
        <f t="shared" si="16"/>
        <v>790.42648703817099</v>
      </c>
      <c r="W65" s="291">
        <f>+W64</f>
        <v>0</v>
      </c>
      <c r="X65" s="290">
        <f>+X64</f>
        <v>1008.4971894322654</v>
      </c>
      <c r="Y65" s="283">
        <f>+Y64</f>
        <v>100.49202867242734</v>
      </c>
      <c r="Z65" s="288">
        <f>+Z64</f>
        <v>165.75917092561045</v>
      </c>
      <c r="AA65" s="286">
        <f>+AA64</f>
        <v>229.954938172043</v>
      </c>
      <c r="AB65" s="281"/>
      <c r="AC65" s="281"/>
      <c r="AD65" s="276"/>
      <c r="AE65" s="276"/>
      <c r="AF65" s="276"/>
    </row>
    <row r="66" spans="1:32" x14ac:dyDescent="0.2">
      <c r="A66" s="86">
        <f t="shared" si="7"/>
        <v>62</v>
      </c>
      <c r="B66" s="369"/>
      <c r="C66" s="93" t="s">
        <v>484</v>
      </c>
      <c r="D66" s="371"/>
      <c r="E66" s="93">
        <v>0</v>
      </c>
      <c r="F66" s="87">
        <v>0</v>
      </c>
      <c r="G66" s="88">
        <v>13</v>
      </c>
      <c r="H66" s="89">
        <f>+G66*Y65</f>
        <v>1306.3963727415553</v>
      </c>
      <c r="I66" s="88">
        <v>18</v>
      </c>
      <c r="J66" s="89">
        <f t="shared" si="17"/>
        <v>2983.6650766609882</v>
      </c>
      <c r="K66" s="88">
        <v>4</v>
      </c>
      <c r="L66" s="90">
        <v>3438.7731272539927</v>
      </c>
      <c r="M66" s="88">
        <v>0</v>
      </c>
      <c r="N66" s="87">
        <f t="shared" si="3"/>
        <v>0</v>
      </c>
      <c r="O66" s="91">
        <v>5</v>
      </c>
      <c r="P66" s="89">
        <f t="shared" si="1"/>
        <v>1149.7746908602151</v>
      </c>
      <c r="Q66" s="93">
        <v>5</v>
      </c>
      <c r="R66" s="89">
        <f t="shared" si="4"/>
        <v>3952.1324351908552</v>
      </c>
      <c r="S66" s="88">
        <f t="shared" si="5"/>
        <v>45</v>
      </c>
      <c r="T66" s="92">
        <f t="shared" si="5"/>
        <v>12830.741702707606</v>
      </c>
      <c r="U66" s="116"/>
      <c r="V66" s="289">
        <f t="shared" si="16"/>
        <v>790.42648703817099</v>
      </c>
      <c r="W66" s="291">
        <f t="shared" si="16"/>
        <v>0</v>
      </c>
      <c r="X66" s="290">
        <f t="shared" si="16"/>
        <v>1008.4971894322654</v>
      </c>
      <c r="Y66" s="283">
        <f t="shared" si="16"/>
        <v>100.49202867242734</v>
      </c>
      <c r="Z66" s="288">
        <f t="shared" si="16"/>
        <v>165.75917092561045</v>
      </c>
      <c r="AA66" s="286">
        <f t="shared" si="16"/>
        <v>229.954938172043</v>
      </c>
      <c r="AB66" s="281"/>
      <c r="AC66" s="281"/>
      <c r="AD66" s="276"/>
      <c r="AE66" s="276"/>
      <c r="AF66" s="276"/>
    </row>
    <row r="67" spans="1:32" x14ac:dyDescent="0.2">
      <c r="A67" s="86">
        <f t="shared" si="7"/>
        <v>63</v>
      </c>
      <c r="B67" s="369"/>
      <c r="C67" s="93" t="s">
        <v>485</v>
      </c>
      <c r="D67" s="371"/>
      <c r="E67" s="93">
        <v>0</v>
      </c>
      <c r="F67" s="87">
        <v>0</v>
      </c>
      <c r="G67" s="88">
        <v>0</v>
      </c>
      <c r="H67" s="89">
        <v>0</v>
      </c>
      <c r="I67" s="88">
        <v>25</v>
      </c>
      <c r="J67" s="89">
        <f t="shared" si="17"/>
        <v>4143.9792731402613</v>
      </c>
      <c r="K67" s="88">
        <v>8</v>
      </c>
      <c r="L67" s="90">
        <v>6877.5462545079854</v>
      </c>
      <c r="M67" s="88">
        <v>1</v>
      </c>
      <c r="N67" s="87">
        <f t="shared" si="3"/>
        <v>1008.4971894322654</v>
      </c>
      <c r="O67" s="91">
        <v>20</v>
      </c>
      <c r="P67" s="89">
        <f t="shared" si="1"/>
        <v>4599.0987634408602</v>
      </c>
      <c r="Q67" s="93">
        <v>36</v>
      </c>
      <c r="R67" s="89">
        <f t="shared" si="4"/>
        <v>28455.353533374157</v>
      </c>
      <c r="S67" s="88">
        <f t="shared" si="5"/>
        <v>90</v>
      </c>
      <c r="T67" s="92">
        <f t="shared" si="5"/>
        <v>45084.475013895528</v>
      </c>
      <c r="U67" s="116"/>
      <c r="V67" s="289">
        <f t="shared" si="16"/>
        <v>790.42648703817099</v>
      </c>
      <c r="W67" s="291">
        <f t="shared" si="16"/>
        <v>0</v>
      </c>
      <c r="X67" s="290">
        <f t="shared" si="16"/>
        <v>1008.4971894322654</v>
      </c>
      <c r="Y67" s="283"/>
      <c r="Z67" s="288">
        <f t="shared" si="16"/>
        <v>165.75917092561045</v>
      </c>
      <c r="AA67" s="286">
        <f t="shared" si="16"/>
        <v>229.954938172043</v>
      </c>
      <c r="AB67" s="281"/>
      <c r="AC67" s="281"/>
      <c r="AD67" s="276"/>
      <c r="AE67" s="276"/>
      <c r="AF67" s="276"/>
    </row>
    <row r="68" spans="1:32" x14ac:dyDescent="0.2">
      <c r="A68" s="86">
        <f t="shared" si="7"/>
        <v>64</v>
      </c>
      <c r="B68" s="369"/>
      <c r="C68" s="93" t="s">
        <v>486</v>
      </c>
      <c r="D68" s="371"/>
      <c r="E68" s="93">
        <v>0</v>
      </c>
      <c r="F68" s="87">
        <v>0</v>
      </c>
      <c r="G68" s="88">
        <v>0</v>
      </c>
      <c r="H68" s="89">
        <v>0</v>
      </c>
      <c r="I68" s="88">
        <v>15</v>
      </c>
      <c r="J68" s="89">
        <f t="shared" si="17"/>
        <v>2486.3875638841569</v>
      </c>
      <c r="K68" s="88">
        <v>5</v>
      </c>
      <c r="L68" s="90">
        <v>4298.4664090674905</v>
      </c>
      <c r="M68" s="88">
        <v>4</v>
      </c>
      <c r="N68" s="87">
        <f t="shared" si="3"/>
        <v>4033.9887577290615</v>
      </c>
      <c r="O68" s="91">
        <v>18</v>
      </c>
      <c r="P68" s="89">
        <f t="shared" si="1"/>
        <v>4139.1888870967741</v>
      </c>
      <c r="Q68" s="93">
        <v>10</v>
      </c>
      <c r="R68" s="89">
        <f t="shared" si="4"/>
        <v>7904.2648703817104</v>
      </c>
      <c r="S68" s="88">
        <f t="shared" ref="S68:T131" si="18">+G68+I68+K68+M68+O68+Q68</f>
        <v>52</v>
      </c>
      <c r="T68" s="92">
        <f t="shared" si="18"/>
        <v>22862.296488159191</v>
      </c>
      <c r="U68" s="116"/>
      <c r="V68" s="289">
        <f t="shared" si="16"/>
        <v>790.42648703817099</v>
      </c>
      <c r="W68" s="291">
        <f t="shared" si="16"/>
        <v>0</v>
      </c>
      <c r="X68" s="290">
        <f t="shared" si="16"/>
        <v>1008.4971894322654</v>
      </c>
      <c r="Y68" s="283"/>
      <c r="Z68" s="288">
        <f t="shared" si="16"/>
        <v>165.75917092561045</v>
      </c>
      <c r="AA68" s="286">
        <f t="shared" si="16"/>
        <v>229.954938172043</v>
      </c>
      <c r="AB68" s="281"/>
      <c r="AC68" s="281"/>
      <c r="AD68" s="276"/>
      <c r="AE68" s="276"/>
      <c r="AF68" s="276"/>
    </row>
    <row r="69" spans="1:32" x14ac:dyDescent="0.2">
      <c r="A69" s="86">
        <f t="shared" si="7"/>
        <v>65</v>
      </c>
      <c r="B69" s="369"/>
      <c r="C69" s="93" t="s">
        <v>487</v>
      </c>
      <c r="D69" s="371"/>
      <c r="E69" s="93">
        <v>0</v>
      </c>
      <c r="F69" s="87">
        <v>0</v>
      </c>
      <c r="G69" s="88">
        <v>0</v>
      </c>
      <c r="H69" s="89">
        <v>0</v>
      </c>
      <c r="I69" s="88">
        <v>16</v>
      </c>
      <c r="J69" s="89">
        <f t="shared" si="17"/>
        <v>2652.1467348097672</v>
      </c>
      <c r="K69" s="88">
        <v>20</v>
      </c>
      <c r="L69" s="90">
        <v>17193.865636269962</v>
      </c>
      <c r="M69" s="88">
        <v>0</v>
      </c>
      <c r="N69" s="87">
        <f t="shared" si="3"/>
        <v>0</v>
      </c>
      <c r="O69" s="91">
        <v>14</v>
      </c>
      <c r="P69" s="89">
        <f t="shared" ref="P69:P131" si="19">+O69*AA69</f>
        <v>3219.3691344086019</v>
      </c>
      <c r="Q69" s="93">
        <v>30</v>
      </c>
      <c r="R69" s="89">
        <f t="shared" si="4"/>
        <v>23712.794611145131</v>
      </c>
      <c r="S69" s="88">
        <f t="shared" si="18"/>
        <v>80</v>
      </c>
      <c r="T69" s="92">
        <f t="shared" si="18"/>
        <v>46778.176116633462</v>
      </c>
      <c r="U69" s="116"/>
      <c r="V69" s="289">
        <f t="shared" si="16"/>
        <v>790.42648703817099</v>
      </c>
      <c r="W69" s="291">
        <f t="shared" si="16"/>
        <v>0</v>
      </c>
      <c r="X69" s="290">
        <f t="shared" si="16"/>
        <v>1008.4971894322654</v>
      </c>
      <c r="Y69" s="283"/>
      <c r="Z69" s="288">
        <f t="shared" si="16"/>
        <v>165.75917092561045</v>
      </c>
      <c r="AA69" s="286">
        <f t="shared" si="16"/>
        <v>229.954938172043</v>
      </c>
      <c r="AB69" s="281"/>
      <c r="AC69" s="281"/>
      <c r="AD69" s="276"/>
      <c r="AE69" s="276"/>
      <c r="AF69" s="276"/>
    </row>
    <row r="70" spans="1:32" x14ac:dyDescent="0.2">
      <c r="A70" s="86">
        <f t="shared" si="7"/>
        <v>66</v>
      </c>
      <c r="B70" s="369"/>
      <c r="C70" s="93" t="s">
        <v>488</v>
      </c>
      <c r="D70" s="371"/>
      <c r="E70" s="93">
        <v>0</v>
      </c>
      <c r="F70" s="87">
        <v>0</v>
      </c>
      <c r="G70" s="88">
        <v>57</v>
      </c>
      <c r="H70" s="89">
        <f>+G70*Y66</f>
        <v>5728.0456343283586</v>
      </c>
      <c r="I70" s="88">
        <v>80</v>
      </c>
      <c r="J70" s="89">
        <f t="shared" si="17"/>
        <v>13260.733674048835</v>
      </c>
      <c r="K70" s="88">
        <v>9</v>
      </c>
      <c r="L70" s="90">
        <v>7737.2395363214837</v>
      </c>
      <c r="M70" s="88">
        <v>26</v>
      </c>
      <c r="N70" s="87">
        <f t="shared" si="3"/>
        <v>26220.926925238899</v>
      </c>
      <c r="O70" s="91">
        <v>133</v>
      </c>
      <c r="P70" s="89">
        <f t="shared" si="19"/>
        <v>30584.006776881721</v>
      </c>
      <c r="Q70" s="93">
        <v>35</v>
      </c>
      <c r="R70" s="89">
        <f t="shared" ref="R70:R132" si="20">+Q70*V70</f>
        <v>27664.927046335986</v>
      </c>
      <c r="S70" s="88">
        <f t="shared" si="18"/>
        <v>340</v>
      </c>
      <c r="T70" s="92">
        <f t="shared" si="18"/>
        <v>111195.87959315529</v>
      </c>
      <c r="U70" s="116"/>
      <c r="V70" s="289">
        <f t="shared" ref="V70:Y85" si="21">+V69</f>
        <v>790.42648703817099</v>
      </c>
      <c r="W70" s="291">
        <f t="shared" si="21"/>
        <v>0</v>
      </c>
      <c r="X70" s="290">
        <f t="shared" si="21"/>
        <v>1008.4971894322654</v>
      </c>
      <c r="Y70" s="283">
        <f>+Y66</f>
        <v>100.49202867242734</v>
      </c>
      <c r="Z70" s="288">
        <f t="shared" ref="Z70:AA85" si="22">+Z69</f>
        <v>165.75917092561045</v>
      </c>
      <c r="AA70" s="286">
        <f t="shared" si="22"/>
        <v>229.954938172043</v>
      </c>
      <c r="AB70" s="281"/>
      <c r="AC70" s="281"/>
      <c r="AD70" s="276"/>
      <c r="AE70" s="276"/>
      <c r="AF70" s="276"/>
    </row>
    <row r="71" spans="1:32" x14ac:dyDescent="0.2">
      <c r="A71" s="86">
        <f t="shared" ref="A71:A132" si="23">+A70+1</f>
        <v>67</v>
      </c>
      <c r="B71" s="369" t="s">
        <v>489</v>
      </c>
      <c r="C71" s="93" t="s">
        <v>490</v>
      </c>
      <c r="D71" s="371"/>
      <c r="E71" s="93">
        <v>0</v>
      </c>
      <c r="F71" s="87">
        <v>0</v>
      </c>
      <c r="G71" s="88">
        <v>102</v>
      </c>
      <c r="H71" s="89">
        <f>+G71*Y70</f>
        <v>10250.186924587588</v>
      </c>
      <c r="I71" s="88">
        <v>274</v>
      </c>
      <c r="J71" s="89">
        <f t="shared" si="17"/>
        <v>45418.012833617264</v>
      </c>
      <c r="K71" s="88">
        <v>15</v>
      </c>
      <c r="L71" s="90">
        <v>12895.399227202473</v>
      </c>
      <c r="M71" s="88">
        <v>76</v>
      </c>
      <c r="N71" s="87">
        <f t="shared" si="3"/>
        <v>76645.786396852171</v>
      </c>
      <c r="O71" s="91">
        <v>261</v>
      </c>
      <c r="P71" s="89">
        <f t="shared" si="19"/>
        <v>60018.238862903221</v>
      </c>
      <c r="Q71" s="93">
        <v>139</v>
      </c>
      <c r="R71" s="89">
        <f t="shared" si="20"/>
        <v>109869.28169830577</v>
      </c>
      <c r="S71" s="88">
        <f t="shared" si="18"/>
        <v>867</v>
      </c>
      <c r="T71" s="92">
        <f t="shared" si="18"/>
        <v>315096.90594346845</v>
      </c>
      <c r="U71" s="116"/>
      <c r="V71" s="289">
        <f t="shared" si="21"/>
        <v>790.42648703817099</v>
      </c>
      <c r="W71" s="291">
        <f t="shared" si="21"/>
        <v>0</v>
      </c>
      <c r="X71" s="290">
        <f t="shared" si="21"/>
        <v>1008.4971894322654</v>
      </c>
      <c r="Y71" s="283">
        <f t="shared" si="21"/>
        <v>100.49202867242734</v>
      </c>
      <c r="Z71" s="288">
        <f t="shared" si="22"/>
        <v>165.75917092561045</v>
      </c>
      <c r="AA71" s="286">
        <f t="shared" si="22"/>
        <v>229.954938172043</v>
      </c>
      <c r="AB71" s="281"/>
      <c r="AC71" s="281"/>
      <c r="AD71" s="276"/>
      <c r="AE71" s="276"/>
      <c r="AF71" s="276"/>
    </row>
    <row r="72" spans="1:32" x14ac:dyDescent="0.2">
      <c r="A72" s="86">
        <f t="shared" si="23"/>
        <v>68</v>
      </c>
      <c r="B72" s="369"/>
      <c r="C72" s="93" t="s">
        <v>491</v>
      </c>
      <c r="D72" s="371"/>
      <c r="E72" s="93">
        <v>0</v>
      </c>
      <c r="F72" s="87">
        <v>0</v>
      </c>
      <c r="G72" s="88">
        <v>50</v>
      </c>
      <c r="H72" s="89">
        <f>+G72*Y71</f>
        <v>5024.6014336213666</v>
      </c>
      <c r="I72" s="88">
        <v>113</v>
      </c>
      <c r="J72" s="89">
        <f t="shared" si="17"/>
        <v>18730.786314593981</v>
      </c>
      <c r="K72" s="88">
        <v>0</v>
      </c>
      <c r="L72" s="90">
        <v>0</v>
      </c>
      <c r="M72" s="88">
        <v>38</v>
      </c>
      <c r="N72" s="87">
        <f t="shared" si="3"/>
        <v>38322.893198426085</v>
      </c>
      <c r="O72" s="91">
        <v>125</v>
      </c>
      <c r="P72" s="89">
        <f t="shared" si="19"/>
        <v>28744.367271505376</v>
      </c>
      <c r="Q72" s="93">
        <v>4</v>
      </c>
      <c r="R72" s="89">
        <f t="shared" si="20"/>
        <v>3161.705948152684</v>
      </c>
      <c r="S72" s="88">
        <f t="shared" si="18"/>
        <v>330</v>
      </c>
      <c r="T72" s="92">
        <f t="shared" si="18"/>
        <v>93984.354166299498</v>
      </c>
      <c r="U72" s="116"/>
      <c r="V72" s="289">
        <f t="shared" si="21"/>
        <v>790.42648703817099</v>
      </c>
      <c r="W72" s="291">
        <f t="shared" si="21"/>
        <v>0</v>
      </c>
      <c r="X72" s="290">
        <f t="shared" si="21"/>
        <v>1008.4971894322654</v>
      </c>
      <c r="Y72" s="283">
        <f t="shared" si="21"/>
        <v>100.49202867242734</v>
      </c>
      <c r="Z72" s="288">
        <f t="shared" si="22"/>
        <v>165.75917092561045</v>
      </c>
      <c r="AA72" s="286">
        <f t="shared" si="22"/>
        <v>229.954938172043</v>
      </c>
      <c r="AB72" s="281"/>
      <c r="AC72" s="281"/>
      <c r="AD72" s="276"/>
      <c r="AE72" s="276"/>
      <c r="AF72" s="276"/>
    </row>
    <row r="73" spans="1:32" x14ac:dyDescent="0.2">
      <c r="A73" s="86">
        <f t="shared" si="23"/>
        <v>69</v>
      </c>
      <c r="B73" s="369"/>
      <c r="C73" s="93" t="s">
        <v>492</v>
      </c>
      <c r="D73" s="371"/>
      <c r="E73" s="93">
        <v>0</v>
      </c>
      <c r="F73" s="87">
        <v>0</v>
      </c>
      <c r="G73" s="88">
        <v>30</v>
      </c>
      <c r="H73" s="89">
        <f>+G73*Y72</f>
        <v>3014.7608601728202</v>
      </c>
      <c r="I73" s="88">
        <v>154</v>
      </c>
      <c r="J73" s="89">
        <f t="shared" si="17"/>
        <v>25526.912322544009</v>
      </c>
      <c r="K73" s="88">
        <v>70</v>
      </c>
      <c r="L73" s="90">
        <v>60178.529726944871</v>
      </c>
      <c r="M73" s="88">
        <v>47</v>
      </c>
      <c r="N73" s="87">
        <f t="shared" si="3"/>
        <v>47399.367903316474</v>
      </c>
      <c r="O73" s="91">
        <v>130</v>
      </c>
      <c r="P73" s="89">
        <f t="shared" si="19"/>
        <v>29894.141962365589</v>
      </c>
      <c r="Q73" s="93">
        <v>127</v>
      </c>
      <c r="R73" s="89">
        <f t="shared" si="20"/>
        <v>100384.16385384771</v>
      </c>
      <c r="S73" s="88">
        <f t="shared" si="18"/>
        <v>558</v>
      </c>
      <c r="T73" s="92">
        <f t="shared" si="18"/>
        <v>266397.87662919145</v>
      </c>
      <c r="U73" s="116"/>
      <c r="V73" s="289">
        <f t="shared" si="21"/>
        <v>790.42648703817099</v>
      </c>
      <c r="W73" s="291">
        <f t="shared" si="21"/>
        <v>0</v>
      </c>
      <c r="X73" s="290">
        <f t="shared" si="21"/>
        <v>1008.4971894322654</v>
      </c>
      <c r="Y73" s="283">
        <f t="shared" si="21"/>
        <v>100.49202867242734</v>
      </c>
      <c r="Z73" s="288">
        <f t="shared" si="22"/>
        <v>165.75917092561045</v>
      </c>
      <c r="AA73" s="286">
        <f t="shared" si="22"/>
        <v>229.954938172043</v>
      </c>
      <c r="AB73" s="281"/>
      <c r="AC73" s="281"/>
      <c r="AD73" s="276"/>
      <c r="AE73" s="276"/>
      <c r="AF73" s="276"/>
    </row>
    <row r="74" spans="1:32" x14ac:dyDescent="0.2">
      <c r="A74" s="86">
        <f t="shared" si="23"/>
        <v>70</v>
      </c>
      <c r="B74" s="369"/>
      <c r="C74" s="93" t="s">
        <v>493</v>
      </c>
      <c r="D74" s="371"/>
      <c r="E74" s="93">
        <v>0</v>
      </c>
      <c r="F74" s="87">
        <v>0</v>
      </c>
      <c r="G74" s="88">
        <v>0</v>
      </c>
      <c r="H74" s="89">
        <v>0</v>
      </c>
      <c r="I74" s="88">
        <v>207</v>
      </c>
      <c r="J74" s="89">
        <f t="shared" si="17"/>
        <v>34312.148381601364</v>
      </c>
      <c r="K74" s="88">
        <v>20</v>
      </c>
      <c r="L74" s="90">
        <v>17193.865636269962</v>
      </c>
      <c r="M74" s="88">
        <v>40</v>
      </c>
      <c r="N74" s="87">
        <f t="shared" si="3"/>
        <v>40339.887577290618</v>
      </c>
      <c r="O74" s="91">
        <v>147</v>
      </c>
      <c r="P74" s="89">
        <f t="shared" si="19"/>
        <v>33803.375911290321</v>
      </c>
      <c r="Q74" s="93">
        <v>157</v>
      </c>
      <c r="R74" s="89">
        <f t="shared" si="20"/>
        <v>124096.95846499284</v>
      </c>
      <c r="S74" s="88">
        <f t="shared" si="18"/>
        <v>571</v>
      </c>
      <c r="T74" s="92">
        <f t="shared" si="18"/>
        <v>249746.2359714451</v>
      </c>
      <c r="U74" s="116"/>
      <c r="V74" s="289">
        <f t="shared" si="21"/>
        <v>790.42648703817099</v>
      </c>
      <c r="W74" s="291">
        <f t="shared" si="21"/>
        <v>0</v>
      </c>
      <c r="X74" s="290">
        <f t="shared" si="21"/>
        <v>1008.4971894322654</v>
      </c>
      <c r="Y74" s="283"/>
      <c r="Z74" s="288">
        <f t="shared" si="22"/>
        <v>165.75917092561045</v>
      </c>
      <c r="AA74" s="286">
        <f t="shared" si="22"/>
        <v>229.954938172043</v>
      </c>
      <c r="AB74" s="281"/>
      <c r="AC74" s="281"/>
      <c r="AD74" s="276"/>
      <c r="AE74" s="276"/>
      <c r="AF74" s="276"/>
    </row>
    <row r="75" spans="1:32" x14ac:dyDescent="0.2">
      <c r="A75" s="86">
        <f t="shared" si="23"/>
        <v>71</v>
      </c>
      <c r="B75" s="369"/>
      <c r="C75" s="93" t="s">
        <v>494</v>
      </c>
      <c r="D75" s="371"/>
      <c r="E75" s="93">
        <v>0</v>
      </c>
      <c r="F75" s="87">
        <v>0</v>
      </c>
      <c r="G75" s="88">
        <v>0</v>
      </c>
      <c r="H75" s="89">
        <v>0</v>
      </c>
      <c r="I75" s="88">
        <v>300</v>
      </c>
      <c r="J75" s="89">
        <f t="shared" si="17"/>
        <v>49727.751277683135</v>
      </c>
      <c r="K75" s="88">
        <v>39</v>
      </c>
      <c r="L75" s="90">
        <v>33528.037990726429</v>
      </c>
      <c r="M75" s="88">
        <v>20</v>
      </c>
      <c r="N75" s="87">
        <f t="shared" si="3"/>
        <v>20169.943788645309</v>
      </c>
      <c r="O75" s="91">
        <v>289</v>
      </c>
      <c r="P75" s="89">
        <f t="shared" si="19"/>
        <v>66456.977131720429</v>
      </c>
      <c r="Q75" s="93">
        <v>256</v>
      </c>
      <c r="R75" s="89">
        <f t="shared" si="20"/>
        <v>202349.18068177177</v>
      </c>
      <c r="S75" s="88">
        <f t="shared" si="18"/>
        <v>904</v>
      </c>
      <c r="T75" s="92">
        <f t="shared" si="18"/>
        <v>372231.8908705471</v>
      </c>
      <c r="U75" s="116"/>
      <c r="V75" s="289">
        <f t="shared" si="21"/>
        <v>790.42648703817099</v>
      </c>
      <c r="W75" s="291">
        <f t="shared" si="21"/>
        <v>0</v>
      </c>
      <c r="X75" s="290">
        <f t="shared" si="21"/>
        <v>1008.4971894322654</v>
      </c>
      <c r="Y75" s="283"/>
      <c r="Z75" s="288">
        <f t="shared" si="22"/>
        <v>165.75917092561045</v>
      </c>
      <c r="AA75" s="286">
        <f t="shared" si="22"/>
        <v>229.954938172043</v>
      </c>
      <c r="AB75" s="281"/>
      <c r="AC75" s="281"/>
      <c r="AD75" s="276"/>
      <c r="AE75" s="276"/>
      <c r="AF75" s="276"/>
    </row>
    <row r="76" spans="1:32" x14ac:dyDescent="0.2">
      <c r="A76" s="86">
        <f t="shared" si="23"/>
        <v>72</v>
      </c>
      <c r="B76" s="369"/>
      <c r="C76" s="93" t="s">
        <v>495</v>
      </c>
      <c r="D76" s="371"/>
      <c r="E76" s="93">
        <v>0</v>
      </c>
      <c r="F76" s="87">
        <v>0</v>
      </c>
      <c r="G76" s="88">
        <v>60</v>
      </c>
      <c r="H76" s="89">
        <f>+G76*Y73</f>
        <v>6029.5217203456405</v>
      </c>
      <c r="I76" s="88">
        <v>120</v>
      </c>
      <c r="J76" s="89">
        <f t="shared" si="17"/>
        <v>19891.100511073255</v>
      </c>
      <c r="K76" s="88">
        <v>0</v>
      </c>
      <c r="L76" s="90">
        <v>0</v>
      </c>
      <c r="M76" s="88">
        <v>0</v>
      </c>
      <c r="N76" s="87">
        <f t="shared" si="3"/>
        <v>0</v>
      </c>
      <c r="O76" s="91">
        <v>157</v>
      </c>
      <c r="P76" s="89">
        <f t="shared" si="19"/>
        <v>36102.925293010754</v>
      </c>
      <c r="Q76" s="93">
        <v>70</v>
      </c>
      <c r="R76" s="89">
        <f t="shared" si="20"/>
        <v>55329.854092671972</v>
      </c>
      <c r="S76" s="88">
        <f t="shared" si="18"/>
        <v>407</v>
      </c>
      <c r="T76" s="92">
        <f t="shared" si="18"/>
        <v>117353.40161710163</v>
      </c>
      <c r="U76" s="116"/>
      <c r="V76" s="289">
        <f t="shared" si="21"/>
        <v>790.42648703817099</v>
      </c>
      <c r="W76" s="291">
        <f t="shared" si="21"/>
        <v>0</v>
      </c>
      <c r="X76" s="290">
        <f t="shared" si="21"/>
        <v>1008.4971894322654</v>
      </c>
      <c r="Y76" s="283">
        <f>+Y73</f>
        <v>100.49202867242734</v>
      </c>
      <c r="Z76" s="288">
        <f t="shared" si="22"/>
        <v>165.75917092561045</v>
      </c>
      <c r="AA76" s="286">
        <f t="shared" si="22"/>
        <v>229.954938172043</v>
      </c>
      <c r="AB76" s="281"/>
      <c r="AC76" s="281"/>
      <c r="AD76" s="276"/>
      <c r="AE76" s="276"/>
      <c r="AF76" s="276"/>
    </row>
    <row r="77" spans="1:32" x14ac:dyDescent="0.2">
      <c r="A77" s="86">
        <f t="shared" si="23"/>
        <v>73</v>
      </c>
      <c r="B77" s="361" t="s">
        <v>496</v>
      </c>
      <c r="C77" s="93" t="s">
        <v>497</v>
      </c>
      <c r="D77" s="371"/>
      <c r="E77" s="93">
        <v>0</v>
      </c>
      <c r="F77" s="87">
        <v>0</v>
      </c>
      <c r="G77" s="88">
        <v>0</v>
      </c>
      <c r="H77" s="89">
        <v>0</v>
      </c>
      <c r="I77" s="88">
        <v>32</v>
      </c>
      <c r="J77" s="89">
        <f t="shared" si="17"/>
        <v>5304.2934696195343</v>
      </c>
      <c r="K77" s="88">
        <v>9</v>
      </c>
      <c r="L77" s="90">
        <v>7737.2395363214837</v>
      </c>
      <c r="M77" s="88">
        <v>2</v>
      </c>
      <c r="N77" s="87">
        <f t="shared" si="3"/>
        <v>2016.9943788645307</v>
      </c>
      <c r="O77" s="91">
        <v>4</v>
      </c>
      <c r="P77" s="89">
        <f t="shared" si="19"/>
        <v>919.819752688172</v>
      </c>
      <c r="Q77" s="93">
        <v>11</v>
      </c>
      <c r="R77" s="89">
        <f t="shared" si="20"/>
        <v>8694.6913574198807</v>
      </c>
      <c r="S77" s="88">
        <f t="shared" si="18"/>
        <v>58</v>
      </c>
      <c r="T77" s="92">
        <f t="shared" si="18"/>
        <v>24673.038494913602</v>
      </c>
      <c r="U77" s="116"/>
      <c r="V77" s="289">
        <f t="shared" si="21"/>
        <v>790.42648703817099</v>
      </c>
      <c r="W77" s="291">
        <f t="shared" si="21"/>
        <v>0</v>
      </c>
      <c r="X77" s="290">
        <f t="shared" si="21"/>
        <v>1008.4971894322654</v>
      </c>
      <c r="Y77" s="283"/>
      <c r="Z77" s="288">
        <f>+Z76</f>
        <v>165.75917092561045</v>
      </c>
      <c r="AA77" s="286">
        <f t="shared" si="22"/>
        <v>229.954938172043</v>
      </c>
      <c r="AB77" s="281"/>
      <c r="AC77" s="281"/>
      <c r="AD77" s="276"/>
      <c r="AE77" s="276"/>
      <c r="AF77" s="276"/>
    </row>
    <row r="78" spans="1:32" x14ac:dyDescent="0.2">
      <c r="A78" s="86">
        <f t="shared" si="23"/>
        <v>74</v>
      </c>
      <c r="B78" s="362"/>
      <c r="C78" s="93" t="s">
        <v>498</v>
      </c>
      <c r="D78" s="371"/>
      <c r="E78" s="93">
        <v>0</v>
      </c>
      <c r="F78" s="87">
        <v>0</v>
      </c>
      <c r="G78" s="88">
        <v>0</v>
      </c>
      <c r="H78" s="89">
        <v>0</v>
      </c>
      <c r="I78" s="88">
        <v>30</v>
      </c>
      <c r="J78" s="89">
        <f t="shared" si="17"/>
        <v>4972.7751277683137</v>
      </c>
      <c r="K78" s="88">
        <v>14</v>
      </c>
      <c r="L78" s="90">
        <v>12035.705945388974</v>
      </c>
      <c r="M78" s="88">
        <v>14</v>
      </c>
      <c r="N78" s="87">
        <f t="shared" ref="N78:N132" si="24">+M78*X78</f>
        <v>14118.960652051715</v>
      </c>
      <c r="O78" s="91">
        <v>3</v>
      </c>
      <c r="P78" s="89">
        <f t="shared" si="19"/>
        <v>689.86481451612894</v>
      </c>
      <c r="Q78" s="93">
        <v>6</v>
      </c>
      <c r="R78" s="89">
        <f t="shared" si="20"/>
        <v>4742.5589222290255</v>
      </c>
      <c r="S78" s="88">
        <f t="shared" si="18"/>
        <v>67</v>
      </c>
      <c r="T78" s="92">
        <f t="shared" si="18"/>
        <v>36559.865461954156</v>
      </c>
      <c r="U78" s="116"/>
      <c r="V78" s="289">
        <f t="shared" si="21"/>
        <v>790.42648703817099</v>
      </c>
      <c r="W78" s="291">
        <f t="shared" si="21"/>
        <v>0</v>
      </c>
      <c r="X78" s="290">
        <f t="shared" si="21"/>
        <v>1008.4971894322654</v>
      </c>
      <c r="Y78" s="283"/>
      <c r="Z78" s="288">
        <f t="shared" si="22"/>
        <v>165.75917092561045</v>
      </c>
      <c r="AA78" s="286">
        <f t="shared" si="22"/>
        <v>229.954938172043</v>
      </c>
      <c r="AB78" s="281"/>
      <c r="AC78" s="281"/>
      <c r="AD78" s="276"/>
      <c r="AE78" s="276"/>
      <c r="AF78" s="276"/>
    </row>
    <row r="79" spans="1:32" x14ac:dyDescent="0.2">
      <c r="A79" s="86">
        <f t="shared" si="23"/>
        <v>75</v>
      </c>
      <c r="B79" s="362"/>
      <c r="C79" s="93" t="s">
        <v>496</v>
      </c>
      <c r="D79" s="371"/>
      <c r="E79" s="93">
        <v>0</v>
      </c>
      <c r="F79" s="87">
        <v>0</v>
      </c>
      <c r="G79" s="88">
        <v>25</v>
      </c>
      <c r="H79" s="89">
        <f>+G79*Y76</f>
        <v>2512.3007168106833</v>
      </c>
      <c r="I79" s="88">
        <v>11</v>
      </c>
      <c r="J79" s="89">
        <f t="shared" si="17"/>
        <v>1823.350880181715</v>
      </c>
      <c r="K79" s="88">
        <v>11</v>
      </c>
      <c r="L79" s="90">
        <v>9456.6260999484803</v>
      </c>
      <c r="M79" s="88">
        <v>9</v>
      </c>
      <c r="N79" s="87">
        <f t="shared" si="24"/>
        <v>9076.4747048903882</v>
      </c>
      <c r="O79" s="91">
        <v>1</v>
      </c>
      <c r="P79" s="89">
        <f t="shared" si="19"/>
        <v>229.954938172043</v>
      </c>
      <c r="Q79" s="93">
        <v>2</v>
      </c>
      <c r="R79" s="89">
        <f t="shared" si="20"/>
        <v>1580.852974076342</v>
      </c>
      <c r="S79" s="88">
        <f t="shared" si="18"/>
        <v>59</v>
      </c>
      <c r="T79" s="92">
        <f t="shared" si="18"/>
        <v>24679.560314079652</v>
      </c>
      <c r="U79" s="116"/>
      <c r="V79" s="289">
        <f t="shared" si="21"/>
        <v>790.42648703817099</v>
      </c>
      <c r="W79" s="291">
        <f t="shared" si="21"/>
        <v>0</v>
      </c>
      <c r="X79" s="290">
        <f t="shared" si="21"/>
        <v>1008.4971894322654</v>
      </c>
      <c r="Y79" s="283">
        <f>+Y76</f>
        <v>100.49202867242734</v>
      </c>
      <c r="Z79" s="288">
        <f t="shared" si="22"/>
        <v>165.75917092561045</v>
      </c>
      <c r="AA79" s="286">
        <f t="shared" si="22"/>
        <v>229.954938172043</v>
      </c>
      <c r="AB79" s="281"/>
      <c r="AC79" s="281"/>
      <c r="AD79" s="276"/>
      <c r="AE79" s="276"/>
      <c r="AF79" s="276"/>
    </row>
    <row r="80" spans="1:32" x14ac:dyDescent="0.2">
      <c r="A80" s="86">
        <f t="shared" si="23"/>
        <v>76</v>
      </c>
      <c r="B80" s="362"/>
      <c r="C80" s="93" t="s">
        <v>499</v>
      </c>
      <c r="D80" s="371"/>
      <c r="E80" s="93">
        <v>0</v>
      </c>
      <c r="F80" s="87">
        <v>0</v>
      </c>
      <c r="G80" s="88">
        <v>0</v>
      </c>
      <c r="H80" s="89">
        <v>0</v>
      </c>
      <c r="I80" s="88">
        <v>0</v>
      </c>
      <c r="J80" s="89">
        <f t="shared" si="17"/>
        <v>0</v>
      </c>
      <c r="K80" s="88">
        <v>0</v>
      </c>
      <c r="L80" s="90">
        <v>0</v>
      </c>
      <c r="M80" s="88">
        <v>0</v>
      </c>
      <c r="N80" s="87">
        <f t="shared" si="24"/>
        <v>0</v>
      </c>
      <c r="O80" s="91">
        <v>5</v>
      </c>
      <c r="P80" s="89">
        <f t="shared" si="19"/>
        <v>1149.7746908602151</v>
      </c>
      <c r="Q80" s="93">
        <v>48</v>
      </c>
      <c r="R80" s="89">
        <f t="shared" si="20"/>
        <v>37940.471377832204</v>
      </c>
      <c r="S80" s="88">
        <f t="shared" si="18"/>
        <v>53</v>
      </c>
      <c r="T80" s="92">
        <f t="shared" si="18"/>
        <v>39090.246068692417</v>
      </c>
      <c r="U80" s="116"/>
      <c r="V80" s="289">
        <f t="shared" si="21"/>
        <v>790.42648703817099</v>
      </c>
      <c r="W80" s="291">
        <f t="shared" si="21"/>
        <v>0</v>
      </c>
      <c r="X80" s="290">
        <f t="shared" si="21"/>
        <v>1008.4971894322654</v>
      </c>
      <c r="Y80" s="283"/>
      <c r="Z80" s="288"/>
      <c r="AA80" s="286">
        <f t="shared" si="22"/>
        <v>229.954938172043</v>
      </c>
      <c r="AB80" s="281"/>
      <c r="AC80" s="281"/>
      <c r="AD80" s="276"/>
      <c r="AE80" s="276"/>
      <c r="AF80" s="276"/>
    </row>
    <row r="81" spans="1:32" x14ac:dyDescent="0.2">
      <c r="A81" s="86">
        <f t="shared" si="23"/>
        <v>77</v>
      </c>
      <c r="B81" s="362"/>
      <c r="C81" s="93" t="s">
        <v>500</v>
      </c>
      <c r="D81" s="371"/>
      <c r="E81" s="93">
        <v>0</v>
      </c>
      <c r="F81" s="87">
        <v>0</v>
      </c>
      <c r="G81" s="88">
        <v>0</v>
      </c>
      <c r="H81" s="89">
        <v>0</v>
      </c>
      <c r="I81" s="88">
        <v>0</v>
      </c>
      <c r="J81" s="89">
        <f t="shared" si="17"/>
        <v>0</v>
      </c>
      <c r="K81" s="88">
        <v>0</v>
      </c>
      <c r="L81" s="90">
        <v>0</v>
      </c>
      <c r="M81" s="88">
        <v>0</v>
      </c>
      <c r="N81" s="87">
        <f t="shared" si="24"/>
        <v>0</v>
      </c>
      <c r="O81" s="91">
        <v>0</v>
      </c>
      <c r="P81" s="89">
        <f t="shared" si="19"/>
        <v>0</v>
      </c>
      <c r="Q81" s="93">
        <v>0</v>
      </c>
      <c r="R81" s="89">
        <f t="shared" si="20"/>
        <v>0</v>
      </c>
      <c r="S81" s="88">
        <f t="shared" si="18"/>
        <v>0</v>
      </c>
      <c r="T81" s="92">
        <f t="shared" si="18"/>
        <v>0</v>
      </c>
      <c r="U81" s="116"/>
      <c r="V81" s="289">
        <f t="shared" si="21"/>
        <v>790.42648703817099</v>
      </c>
      <c r="W81" s="291">
        <f t="shared" si="21"/>
        <v>0</v>
      </c>
      <c r="X81" s="290">
        <f t="shared" si="21"/>
        <v>1008.4971894322654</v>
      </c>
      <c r="Y81" s="283"/>
      <c r="Z81" s="288"/>
      <c r="AA81" s="286">
        <f t="shared" si="22"/>
        <v>229.954938172043</v>
      </c>
      <c r="AB81" s="281"/>
      <c r="AC81" s="281"/>
      <c r="AD81" s="276"/>
      <c r="AE81" s="276"/>
      <c r="AF81" s="276"/>
    </row>
    <row r="82" spans="1:32" x14ac:dyDescent="0.2">
      <c r="A82" s="86">
        <f t="shared" si="23"/>
        <v>78</v>
      </c>
      <c r="B82" s="362"/>
      <c r="C82" s="93" t="s">
        <v>501</v>
      </c>
      <c r="D82" s="371"/>
      <c r="E82" s="93">
        <v>0</v>
      </c>
      <c r="F82" s="87">
        <v>0</v>
      </c>
      <c r="G82" s="88">
        <v>0</v>
      </c>
      <c r="H82" s="89">
        <v>0</v>
      </c>
      <c r="I82" s="88">
        <v>0</v>
      </c>
      <c r="J82" s="89">
        <f t="shared" si="17"/>
        <v>0</v>
      </c>
      <c r="K82" s="88">
        <v>0</v>
      </c>
      <c r="L82" s="90">
        <v>0</v>
      </c>
      <c r="M82" s="88">
        <v>0</v>
      </c>
      <c r="N82" s="87">
        <f t="shared" si="24"/>
        <v>0</v>
      </c>
      <c r="O82" s="91">
        <v>0</v>
      </c>
      <c r="P82" s="89">
        <f t="shared" si="19"/>
        <v>0</v>
      </c>
      <c r="Q82" s="93">
        <v>0</v>
      </c>
      <c r="R82" s="89">
        <f t="shared" si="20"/>
        <v>0</v>
      </c>
      <c r="S82" s="88">
        <f t="shared" si="18"/>
        <v>0</v>
      </c>
      <c r="T82" s="92">
        <f t="shared" si="18"/>
        <v>0</v>
      </c>
      <c r="U82" s="116"/>
      <c r="V82" s="289">
        <f t="shared" si="21"/>
        <v>790.42648703817099</v>
      </c>
      <c r="W82" s="291">
        <f t="shared" si="21"/>
        <v>0</v>
      </c>
      <c r="X82" s="290">
        <f t="shared" si="21"/>
        <v>1008.4971894322654</v>
      </c>
      <c r="Y82" s="283"/>
      <c r="Z82" s="288"/>
      <c r="AA82" s="286">
        <f t="shared" si="22"/>
        <v>229.954938172043</v>
      </c>
      <c r="AB82" s="281"/>
      <c r="AC82" s="281"/>
      <c r="AD82" s="276"/>
      <c r="AE82" s="276"/>
      <c r="AF82" s="276"/>
    </row>
    <row r="83" spans="1:32" x14ac:dyDescent="0.2">
      <c r="A83" s="86">
        <f t="shared" si="23"/>
        <v>79</v>
      </c>
      <c r="B83" s="362"/>
      <c r="C83" s="93" t="s">
        <v>502</v>
      </c>
      <c r="D83" s="371"/>
      <c r="E83" s="93">
        <v>0</v>
      </c>
      <c r="F83" s="87">
        <v>0</v>
      </c>
      <c r="G83" s="88">
        <v>0</v>
      </c>
      <c r="H83" s="89">
        <v>0</v>
      </c>
      <c r="I83" s="88">
        <v>0</v>
      </c>
      <c r="J83" s="89">
        <f t="shared" si="17"/>
        <v>0</v>
      </c>
      <c r="K83" s="88">
        <v>0</v>
      </c>
      <c r="L83" s="90">
        <v>0</v>
      </c>
      <c r="M83" s="88">
        <v>0</v>
      </c>
      <c r="N83" s="87">
        <f t="shared" si="24"/>
        <v>0</v>
      </c>
      <c r="O83" s="91">
        <v>0</v>
      </c>
      <c r="P83" s="89">
        <f t="shared" si="19"/>
        <v>0</v>
      </c>
      <c r="Q83" s="93">
        <v>0</v>
      </c>
      <c r="R83" s="89">
        <f t="shared" si="20"/>
        <v>0</v>
      </c>
      <c r="S83" s="88">
        <f t="shared" si="18"/>
        <v>0</v>
      </c>
      <c r="T83" s="92">
        <f t="shared" si="18"/>
        <v>0</v>
      </c>
      <c r="U83" s="116"/>
      <c r="V83" s="289">
        <f t="shared" si="21"/>
        <v>790.42648703817099</v>
      </c>
      <c r="W83" s="291">
        <f t="shared" si="21"/>
        <v>0</v>
      </c>
      <c r="X83" s="290">
        <f t="shared" si="21"/>
        <v>1008.4971894322654</v>
      </c>
      <c r="Y83" s="283"/>
      <c r="Z83" s="288"/>
      <c r="AA83" s="286">
        <f t="shared" si="22"/>
        <v>229.954938172043</v>
      </c>
      <c r="AB83" s="281"/>
      <c r="AC83" s="281"/>
      <c r="AD83" s="276"/>
      <c r="AE83" s="276"/>
      <c r="AF83" s="276"/>
    </row>
    <row r="84" spans="1:32" x14ac:dyDescent="0.2">
      <c r="A84" s="86">
        <f t="shared" si="23"/>
        <v>80</v>
      </c>
      <c r="B84" s="363"/>
      <c r="C84" s="93" t="s">
        <v>503</v>
      </c>
      <c r="D84" s="371"/>
      <c r="E84" s="93">
        <v>0</v>
      </c>
      <c r="F84" s="87">
        <v>0</v>
      </c>
      <c r="G84" s="88">
        <v>0</v>
      </c>
      <c r="H84" s="89">
        <v>0</v>
      </c>
      <c r="I84" s="88">
        <v>0</v>
      </c>
      <c r="J84" s="89">
        <f t="shared" si="17"/>
        <v>0</v>
      </c>
      <c r="K84" s="88">
        <v>0</v>
      </c>
      <c r="L84" s="90">
        <v>0</v>
      </c>
      <c r="M84" s="88">
        <v>0</v>
      </c>
      <c r="N84" s="87">
        <f t="shared" si="24"/>
        <v>0</v>
      </c>
      <c r="O84" s="91">
        <v>0</v>
      </c>
      <c r="P84" s="89">
        <f t="shared" si="19"/>
        <v>0</v>
      </c>
      <c r="Q84" s="93">
        <v>0</v>
      </c>
      <c r="R84" s="89">
        <f t="shared" si="20"/>
        <v>0</v>
      </c>
      <c r="S84" s="88">
        <f t="shared" si="18"/>
        <v>0</v>
      </c>
      <c r="T84" s="92">
        <f t="shared" si="18"/>
        <v>0</v>
      </c>
      <c r="U84" s="116"/>
      <c r="V84" s="289">
        <f t="shared" si="21"/>
        <v>790.42648703817099</v>
      </c>
      <c r="W84" s="291">
        <f t="shared" si="21"/>
        <v>0</v>
      </c>
      <c r="X84" s="290">
        <f t="shared" si="21"/>
        <v>1008.4971894322654</v>
      </c>
      <c r="Y84" s="283"/>
      <c r="Z84" s="288"/>
      <c r="AA84" s="286">
        <f t="shared" si="22"/>
        <v>229.954938172043</v>
      </c>
      <c r="AB84" s="281"/>
      <c r="AC84" s="281"/>
      <c r="AD84" s="276"/>
      <c r="AE84" s="276"/>
      <c r="AF84" s="276"/>
    </row>
    <row r="85" spans="1:32" x14ac:dyDescent="0.2">
      <c r="A85" s="86">
        <f t="shared" si="23"/>
        <v>81</v>
      </c>
      <c r="B85" s="369" t="s">
        <v>504</v>
      </c>
      <c r="C85" s="93" t="s">
        <v>505</v>
      </c>
      <c r="D85" s="371"/>
      <c r="E85" s="93">
        <v>0</v>
      </c>
      <c r="F85" s="87">
        <v>0</v>
      </c>
      <c r="G85" s="88">
        <v>20</v>
      </c>
      <c r="H85" s="89">
        <f>+G85*Y79</f>
        <v>2009.8405734485468</v>
      </c>
      <c r="I85" s="88">
        <v>66</v>
      </c>
      <c r="J85" s="89">
        <f t="shared" si="17"/>
        <v>10940.105281090289</v>
      </c>
      <c r="K85" s="88">
        <v>58</v>
      </c>
      <c r="L85" s="90">
        <v>49862.210345182895</v>
      </c>
      <c r="M85" s="88">
        <v>36</v>
      </c>
      <c r="N85" s="87">
        <f t="shared" si="24"/>
        <v>36305.898819561553</v>
      </c>
      <c r="O85" s="91">
        <v>186</v>
      </c>
      <c r="P85" s="89">
        <f t="shared" si="19"/>
        <v>42771.618499999997</v>
      </c>
      <c r="Q85" s="93">
        <v>153</v>
      </c>
      <c r="R85" s="89">
        <f t="shared" si="20"/>
        <v>120935.25251684016</v>
      </c>
      <c r="S85" s="88">
        <f t="shared" si="18"/>
        <v>519</v>
      </c>
      <c r="T85" s="92">
        <f t="shared" si="18"/>
        <v>262824.92603612348</v>
      </c>
      <c r="U85" s="116"/>
      <c r="V85" s="289">
        <f t="shared" si="21"/>
        <v>790.42648703817099</v>
      </c>
      <c r="W85" s="291">
        <f t="shared" si="21"/>
        <v>0</v>
      </c>
      <c r="X85" s="290">
        <f t="shared" si="21"/>
        <v>1008.4971894322654</v>
      </c>
      <c r="Y85" s="283">
        <f>+Y79</f>
        <v>100.49202867242734</v>
      </c>
      <c r="Z85" s="288">
        <f>+Z79</f>
        <v>165.75917092561045</v>
      </c>
      <c r="AA85" s="286">
        <f t="shared" si="22"/>
        <v>229.954938172043</v>
      </c>
      <c r="AB85" s="281"/>
      <c r="AC85" s="281"/>
      <c r="AD85" s="276"/>
      <c r="AE85" s="276"/>
      <c r="AF85" s="276"/>
    </row>
    <row r="86" spans="1:32" x14ac:dyDescent="0.2">
      <c r="A86" s="86">
        <f t="shared" si="23"/>
        <v>82</v>
      </c>
      <c r="B86" s="369"/>
      <c r="C86" s="93" t="s">
        <v>506</v>
      </c>
      <c r="D86" s="371"/>
      <c r="E86" s="93">
        <v>0</v>
      </c>
      <c r="F86" s="87">
        <v>0</v>
      </c>
      <c r="G86" s="88">
        <v>21</v>
      </c>
      <c r="H86" s="89">
        <f>+G86*Y85</f>
        <v>2110.3326021209741</v>
      </c>
      <c r="I86" s="88">
        <v>200</v>
      </c>
      <c r="J86" s="89">
        <f t="shared" si="17"/>
        <v>33151.83418512209</v>
      </c>
      <c r="K86" s="88">
        <v>69</v>
      </c>
      <c r="L86" s="90">
        <v>59318.836445131376</v>
      </c>
      <c r="M86" s="88">
        <v>1</v>
      </c>
      <c r="N86" s="87">
        <f t="shared" si="24"/>
        <v>1008.4971894322654</v>
      </c>
      <c r="O86" s="91">
        <v>162</v>
      </c>
      <c r="P86" s="89">
        <f t="shared" si="19"/>
        <v>37252.699983870967</v>
      </c>
      <c r="Q86" s="93">
        <v>125</v>
      </c>
      <c r="R86" s="89">
        <f t="shared" si="20"/>
        <v>98803.310879771379</v>
      </c>
      <c r="S86" s="88">
        <f t="shared" si="18"/>
        <v>578</v>
      </c>
      <c r="T86" s="92">
        <f t="shared" si="18"/>
        <v>231645.51128544903</v>
      </c>
      <c r="U86" s="116"/>
      <c r="V86" s="289">
        <f t="shared" ref="V86:AA101" si="25">+V85</f>
        <v>790.42648703817099</v>
      </c>
      <c r="W86" s="291">
        <f t="shared" si="25"/>
        <v>0</v>
      </c>
      <c r="X86" s="290">
        <f t="shared" si="25"/>
        <v>1008.4971894322654</v>
      </c>
      <c r="Y86" s="283">
        <f t="shared" si="25"/>
        <v>100.49202867242734</v>
      </c>
      <c r="Z86" s="288">
        <f t="shared" si="25"/>
        <v>165.75917092561045</v>
      </c>
      <c r="AA86" s="286">
        <f t="shared" si="25"/>
        <v>229.954938172043</v>
      </c>
      <c r="AB86" s="281"/>
      <c r="AC86" s="281"/>
      <c r="AD86" s="276"/>
      <c r="AE86" s="276"/>
      <c r="AF86" s="276"/>
    </row>
    <row r="87" spans="1:32" x14ac:dyDescent="0.2">
      <c r="A87" s="86">
        <f t="shared" si="23"/>
        <v>83</v>
      </c>
      <c r="B87" s="369"/>
      <c r="C87" s="93" t="s">
        <v>504</v>
      </c>
      <c r="D87" s="371"/>
      <c r="E87" s="93">
        <v>0</v>
      </c>
      <c r="F87" s="87">
        <v>0</v>
      </c>
      <c r="G87" s="88">
        <v>0</v>
      </c>
      <c r="H87" s="89">
        <f>+G87*Y86</f>
        <v>0</v>
      </c>
      <c r="I87" s="88">
        <v>46</v>
      </c>
      <c r="J87" s="89">
        <f t="shared" si="17"/>
        <v>7624.9218625780804</v>
      </c>
      <c r="K87" s="88">
        <v>79</v>
      </c>
      <c r="L87" s="90">
        <v>67915.769263266353</v>
      </c>
      <c r="M87" s="88">
        <v>45</v>
      </c>
      <c r="N87" s="87">
        <f t="shared" si="24"/>
        <v>45382.373524451941</v>
      </c>
      <c r="O87" s="91">
        <v>212</v>
      </c>
      <c r="P87" s="89">
        <f t="shared" si="19"/>
        <v>48750.446892473119</v>
      </c>
      <c r="Q87" s="93">
        <v>203</v>
      </c>
      <c r="R87" s="89">
        <f t="shared" si="20"/>
        <v>160456.5768687487</v>
      </c>
      <c r="S87" s="88">
        <f t="shared" si="18"/>
        <v>585</v>
      </c>
      <c r="T87" s="92">
        <f t="shared" si="18"/>
        <v>330130.0884115182</v>
      </c>
      <c r="U87" s="116"/>
      <c r="V87" s="289">
        <f t="shared" si="25"/>
        <v>790.42648703817099</v>
      </c>
      <c r="W87" s="291">
        <f t="shared" si="25"/>
        <v>0</v>
      </c>
      <c r="X87" s="290">
        <f t="shared" si="25"/>
        <v>1008.4971894322654</v>
      </c>
      <c r="Y87" s="283">
        <f t="shared" si="25"/>
        <v>100.49202867242734</v>
      </c>
      <c r="Z87" s="288">
        <f t="shared" si="25"/>
        <v>165.75917092561045</v>
      </c>
      <c r="AA87" s="286">
        <f t="shared" si="25"/>
        <v>229.954938172043</v>
      </c>
      <c r="AB87" s="281"/>
      <c r="AC87" s="281"/>
      <c r="AD87" s="276"/>
      <c r="AE87" s="276"/>
      <c r="AF87" s="276"/>
    </row>
    <row r="88" spans="1:32" x14ac:dyDescent="0.2">
      <c r="A88" s="86">
        <f t="shared" si="23"/>
        <v>84</v>
      </c>
      <c r="B88" s="369"/>
      <c r="C88" s="93" t="s">
        <v>507</v>
      </c>
      <c r="D88" s="371"/>
      <c r="E88" s="93">
        <v>0</v>
      </c>
      <c r="F88" s="87">
        <v>0</v>
      </c>
      <c r="G88" s="88">
        <v>0</v>
      </c>
      <c r="H88" s="89">
        <v>0</v>
      </c>
      <c r="I88" s="88">
        <v>13</v>
      </c>
      <c r="J88" s="89">
        <f t="shared" si="17"/>
        <v>2154.8692220329358</v>
      </c>
      <c r="K88" s="88">
        <v>10</v>
      </c>
      <c r="L88" s="90">
        <v>8596.9328181349811</v>
      </c>
      <c r="M88" s="88">
        <v>52</v>
      </c>
      <c r="N88" s="87">
        <f t="shared" si="24"/>
        <v>52441.853850477797</v>
      </c>
      <c r="O88" s="91">
        <v>5</v>
      </c>
      <c r="P88" s="89">
        <f t="shared" si="19"/>
        <v>1149.7746908602151</v>
      </c>
      <c r="Q88" s="93">
        <v>148</v>
      </c>
      <c r="R88" s="89">
        <f t="shared" si="20"/>
        <v>116983.12008164931</v>
      </c>
      <c r="S88" s="88">
        <f t="shared" si="18"/>
        <v>228</v>
      </c>
      <c r="T88" s="92">
        <f t="shared" si="18"/>
        <v>181326.55066315524</v>
      </c>
      <c r="U88" s="116"/>
      <c r="V88" s="289">
        <f t="shared" si="25"/>
        <v>790.42648703817099</v>
      </c>
      <c r="W88" s="291">
        <f t="shared" si="25"/>
        <v>0</v>
      </c>
      <c r="X88" s="290">
        <f t="shared" si="25"/>
        <v>1008.4971894322654</v>
      </c>
      <c r="Y88" s="283"/>
      <c r="Z88" s="288">
        <f t="shared" si="25"/>
        <v>165.75917092561045</v>
      </c>
      <c r="AA88" s="286">
        <f t="shared" si="25"/>
        <v>229.954938172043</v>
      </c>
      <c r="AB88" s="281"/>
      <c r="AC88" s="281"/>
      <c r="AD88" s="276"/>
      <c r="AE88" s="276"/>
      <c r="AF88" s="276"/>
    </row>
    <row r="89" spans="1:32" x14ac:dyDescent="0.2">
      <c r="A89" s="86">
        <f t="shared" si="23"/>
        <v>85</v>
      </c>
      <c r="B89" s="369"/>
      <c r="C89" s="93" t="s">
        <v>508</v>
      </c>
      <c r="D89" s="371"/>
      <c r="E89" s="93">
        <v>0</v>
      </c>
      <c r="F89" s="87">
        <v>0</v>
      </c>
      <c r="G89" s="88">
        <v>18</v>
      </c>
      <c r="H89" s="89">
        <f>+G89*Y87</f>
        <v>1808.856516103692</v>
      </c>
      <c r="I89" s="88">
        <v>152</v>
      </c>
      <c r="J89" s="89">
        <f t="shared" si="17"/>
        <v>25195.393980692788</v>
      </c>
      <c r="K89" s="88">
        <v>60</v>
      </c>
      <c r="L89" s="90">
        <v>51581.596908809894</v>
      </c>
      <c r="M89" s="88">
        <v>37</v>
      </c>
      <c r="N89" s="87">
        <f t="shared" si="24"/>
        <v>37314.396008993819</v>
      </c>
      <c r="O89" s="91">
        <v>175</v>
      </c>
      <c r="P89" s="89">
        <f t="shared" si="19"/>
        <v>40242.114180107528</v>
      </c>
      <c r="Q89" s="93">
        <v>133</v>
      </c>
      <c r="R89" s="89">
        <f t="shared" si="20"/>
        <v>105126.72277607674</v>
      </c>
      <c r="S89" s="88">
        <f t="shared" si="18"/>
        <v>575</v>
      </c>
      <c r="T89" s="92">
        <f t="shared" si="18"/>
        <v>261269.08037078445</v>
      </c>
      <c r="U89" s="116"/>
      <c r="V89" s="289">
        <f t="shared" si="25"/>
        <v>790.42648703817099</v>
      </c>
      <c r="W89" s="291">
        <f t="shared" si="25"/>
        <v>0</v>
      </c>
      <c r="X89" s="290">
        <f t="shared" si="25"/>
        <v>1008.4971894322654</v>
      </c>
      <c r="Y89" s="283">
        <f>+Y87</f>
        <v>100.49202867242734</v>
      </c>
      <c r="Z89" s="288">
        <f t="shared" si="25"/>
        <v>165.75917092561045</v>
      </c>
      <c r="AA89" s="286">
        <f t="shared" si="25"/>
        <v>229.954938172043</v>
      </c>
      <c r="AB89" s="281"/>
      <c r="AC89" s="281"/>
      <c r="AD89" s="276"/>
      <c r="AE89" s="276"/>
      <c r="AF89" s="276"/>
    </row>
    <row r="90" spans="1:32" x14ac:dyDescent="0.2">
      <c r="A90" s="86">
        <f t="shared" si="23"/>
        <v>86</v>
      </c>
      <c r="B90" s="369" t="s">
        <v>509</v>
      </c>
      <c r="C90" s="93" t="s">
        <v>510</v>
      </c>
      <c r="D90" s="371"/>
      <c r="E90" s="93">
        <v>0</v>
      </c>
      <c r="F90" s="87">
        <v>0</v>
      </c>
      <c r="G90" s="88">
        <v>18</v>
      </c>
      <c r="H90" s="89">
        <f t="shared" ref="H90:H97" si="26">+G90*Y89</f>
        <v>1808.856516103692</v>
      </c>
      <c r="I90" s="88">
        <v>6</v>
      </c>
      <c r="J90" s="89">
        <f t="shared" si="17"/>
        <v>994.55502555366274</v>
      </c>
      <c r="K90" s="88">
        <v>48</v>
      </c>
      <c r="L90" s="90">
        <v>41265.277527047911</v>
      </c>
      <c r="M90" s="88">
        <v>22</v>
      </c>
      <c r="N90" s="87">
        <f t="shared" si="24"/>
        <v>22186.938167509838</v>
      </c>
      <c r="O90" s="91">
        <v>122</v>
      </c>
      <c r="P90" s="89">
        <f t="shared" si="19"/>
        <v>28054.502456989245</v>
      </c>
      <c r="Q90" s="93">
        <v>102</v>
      </c>
      <c r="R90" s="89">
        <f t="shared" si="20"/>
        <v>80623.501677893437</v>
      </c>
      <c r="S90" s="88">
        <f t="shared" si="18"/>
        <v>318</v>
      </c>
      <c r="T90" s="92">
        <f t="shared" si="18"/>
        <v>174933.63137109778</v>
      </c>
      <c r="U90" s="116"/>
      <c r="V90" s="289">
        <f t="shared" si="25"/>
        <v>790.42648703817099</v>
      </c>
      <c r="W90" s="291">
        <f t="shared" si="25"/>
        <v>0</v>
      </c>
      <c r="X90" s="290">
        <f t="shared" si="25"/>
        <v>1008.4971894322654</v>
      </c>
      <c r="Y90" s="283">
        <f t="shared" si="25"/>
        <v>100.49202867242734</v>
      </c>
      <c r="Z90" s="288">
        <f t="shared" si="25"/>
        <v>165.75917092561045</v>
      </c>
      <c r="AA90" s="286">
        <f t="shared" si="25"/>
        <v>229.954938172043</v>
      </c>
      <c r="AB90" s="281"/>
      <c r="AC90" s="281"/>
      <c r="AD90" s="276"/>
      <c r="AE90" s="276"/>
      <c r="AF90" s="276"/>
    </row>
    <row r="91" spans="1:32" x14ac:dyDescent="0.2">
      <c r="A91" s="86">
        <f t="shared" si="23"/>
        <v>87</v>
      </c>
      <c r="B91" s="369"/>
      <c r="C91" s="93" t="s">
        <v>511</v>
      </c>
      <c r="D91" s="371"/>
      <c r="E91" s="93">
        <v>0</v>
      </c>
      <c r="F91" s="87">
        <v>0</v>
      </c>
      <c r="G91" s="88">
        <v>28</v>
      </c>
      <c r="H91" s="89">
        <f t="shared" si="26"/>
        <v>2813.7768028279656</v>
      </c>
      <c r="I91" s="88">
        <v>142</v>
      </c>
      <c r="J91" s="89">
        <f t="shared" si="17"/>
        <v>23537.802271436685</v>
      </c>
      <c r="K91" s="88">
        <v>18</v>
      </c>
      <c r="L91" s="90">
        <v>15474.479072642967</v>
      </c>
      <c r="M91" s="88">
        <v>10</v>
      </c>
      <c r="N91" s="87">
        <f t="shared" si="24"/>
        <v>10084.971894322654</v>
      </c>
      <c r="O91" s="91">
        <v>120</v>
      </c>
      <c r="P91" s="89">
        <f t="shared" si="19"/>
        <v>27594.59258064516</v>
      </c>
      <c r="Q91" s="93">
        <v>100</v>
      </c>
      <c r="R91" s="89">
        <f t="shared" si="20"/>
        <v>79042.648703817104</v>
      </c>
      <c r="S91" s="88">
        <f t="shared" si="18"/>
        <v>418</v>
      </c>
      <c r="T91" s="92">
        <f t="shared" si="18"/>
        <v>158548.27132569253</v>
      </c>
      <c r="U91" s="116"/>
      <c r="V91" s="289">
        <f t="shared" si="25"/>
        <v>790.42648703817099</v>
      </c>
      <c r="W91" s="291">
        <f t="shared" si="25"/>
        <v>0</v>
      </c>
      <c r="X91" s="290">
        <f t="shared" si="25"/>
        <v>1008.4971894322654</v>
      </c>
      <c r="Y91" s="283">
        <f t="shared" si="25"/>
        <v>100.49202867242734</v>
      </c>
      <c r="Z91" s="288">
        <f t="shared" si="25"/>
        <v>165.75917092561045</v>
      </c>
      <c r="AA91" s="286">
        <f t="shared" si="25"/>
        <v>229.954938172043</v>
      </c>
      <c r="AB91" s="281"/>
      <c r="AC91" s="281"/>
      <c r="AD91" s="276"/>
      <c r="AE91" s="276"/>
      <c r="AF91" s="276"/>
    </row>
    <row r="92" spans="1:32" x14ac:dyDescent="0.2">
      <c r="A92" s="86">
        <f t="shared" si="23"/>
        <v>88</v>
      </c>
      <c r="B92" s="369"/>
      <c r="C92" s="93" t="s">
        <v>512</v>
      </c>
      <c r="D92" s="371"/>
      <c r="E92" s="93">
        <v>0</v>
      </c>
      <c r="F92" s="87">
        <v>0</v>
      </c>
      <c r="G92" s="88">
        <v>46</v>
      </c>
      <c r="H92" s="89">
        <f t="shared" si="26"/>
        <v>4622.6333189316574</v>
      </c>
      <c r="I92" s="88">
        <v>131</v>
      </c>
      <c r="J92" s="89">
        <f t="shared" si="17"/>
        <v>21714.45139125497</v>
      </c>
      <c r="K92" s="88">
        <v>9</v>
      </c>
      <c r="L92" s="90">
        <v>7737.2395363214837</v>
      </c>
      <c r="M92" s="88">
        <v>3</v>
      </c>
      <c r="N92" s="87">
        <f t="shared" si="24"/>
        <v>3025.4915682967962</v>
      </c>
      <c r="O92" s="91">
        <v>120</v>
      </c>
      <c r="P92" s="89">
        <f t="shared" si="19"/>
        <v>27594.59258064516</v>
      </c>
      <c r="Q92" s="93">
        <v>104</v>
      </c>
      <c r="R92" s="89">
        <f t="shared" si="20"/>
        <v>82204.354651969785</v>
      </c>
      <c r="S92" s="88">
        <f t="shared" si="18"/>
        <v>413</v>
      </c>
      <c r="T92" s="92">
        <f t="shared" si="18"/>
        <v>146898.76304741984</v>
      </c>
      <c r="U92" s="116"/>
      <c r="V92" s="289">
        <f t="shared" si="25"/>
        <v>790.42648703817099</v>
      </c>
      <c r="W92" s="291">
        <f t="shared" si="25"/>
        <v>0</v>
      </c>
      <c r="X92" s="290">
        <f t="shared" si="25"/>
        <v>1008.4971894322654</v>
      </c>
      <c r="Y92" s="283">
        <f t="shared" si="25"/>
        <v>100.49202867242734</v>
      </c>
      <c r="Z92" s="288">
        <f t="shared" si="25"/>
        <v>165.75917092561045</v>
      </c>
      <c r="AA92" s="286">
        <f t="shared" si="25"/>
        <v>229.954938172043</v>
      </c>
      <c r="AB92" s="281"/>
      <c r="AC92" s="281"/>
      <c r="AD92" s="276"/>
      <c r="AE92" s="276"/>
      <c r="AF92" s="276"/>
    </row>
    <row r="93" spans="1:32" x14ac:dyDescent="0.2">
      <c r="A93" s="86">
        <f t="shared" si="23"/>
        <v>89</v>
      </c>
      <c r="B93" s="369"/>
      <c r="C93" s="93" t="s">
        <v>513</v>
      </c>
      <c r="D93" s="371"/>
      <c r="E93" s="93">
        <v>0</v>
      </c>
      <c r="F93" s="87">
        <v>0</v>
      </c>
      <c r="G93" s="88">
        <v>32</v>
      </c>
      <c r="H93" s="89">
        <f t="shared" si="26"/>
        <v>3215.7449175176748</v>
      </c>
      <c r="I93" s="88">
        <v>122</v>
      </c>
      <c r="J93" s="89">
        <f t="shared" si="17"/>
        <v>20222.618852924476</v>
      </c>
      <c r="K93" s="88">
        <v>5</v>
      </c>
      <c r="L93" s="90">
        <v>4298.4664090674905</v>
      </c>
      <c r="M93" s="88">
        <v>0</v>
      </c>
      <c r="N93" s="87">
        <f t="shared" si="24"/>
        <v>0</v>
      </c>
      <c r="O93" s="91">
        <v>0</v>
      </c>
      <c r="P93" s="89">
        <f t="shared" si="19"/>
        <v>0</v>
      </c>
      <c r="Q93" s="93">
        <v>102</v>
      </c>
      <c r="R93" s="89">
        <f t="shared" si="20"/>
        <v>80623.501677893437</v>
      </c>
      <c r="S93" s="88">
        <f t="shared" si="18"/>
        <v>261</v>
      </c>
      <c r="T93" s="92">
        <f t="shared" si="18"/>
        <v>108360.33185740307</v>
      </c>
      <c r="U93" s="116"/>
      <c r="V93" s="289">
        <f t="shared" si="25"/>
        <v>790.42648703817099</v>
      </c>
      <c r="W93" s="291">
        <f t="shared" si="25"/>
        <v>0</v>
      </c>
      <c r="X93" s="290">
        <f t="shared" si="25"/>
        <v>1008.4971894322654</v>
      </c>
      <c r="Y93" s="283">
        <f t="shared" si="25"/>
        <v>100.49202867242734</v>
      </c>
      <c r="Z93" s="288">
        <f t="shared" si="25"/>
        <v>165.75917092561045</v>
      </c>
      <c r="AA93" s="286">
        <f t="shared" si="25"/>
        <v>229.954938172043</v>
      </c>
      <c r="AB93" s="281"/>
      <c r="AC93" s="281"/>
      <c r="AD93" s="276"/>
      <c r="AE93" s="276"/>
      <c r="AF93" s="276"/>
    </row>
    <row r="94" spans="1:32" x14ac:dyDescent="0.2">
      <c r="A94" s="86">
        <f t="shared" si="23"/>
        <v>90</v>
      </c>
      <c r="B94" s="369"/>
      <c r="C94" s="93" t="s">
        <v>514</v>
      </c>
      <c r="D94" s="371"/>
      <c r="E94" s="93">
        <v>0</v>
      </c>
      <c r="F94" s="87">
        <v>0</v>
      </c>
      <c r="G94" s="88">
        <v>67</v>
      </c>
      <c r="H94" s="89">
        <f t="shared" si="26"/>
        <v>6732.9659210526315</v>
      </c>
      <c r="I94" s="88">
        <v>118</v>
      </c>
      <c r="J94" s="89">
        <f t="shared" si="17"/>
        <v>19559.582169222034</v>
      </c>
      <c r="K94" s="88">
        <v>13</v>
      </c>
      <c r="L94" s="90">
        <v>11176.012663575477</v>
      </c>
      <c r="M94" s="88">
        <v>9</v>
      </c>
      <c r="N94" s="87">
        <f t="shared" si="24"/>
        <v>9076.4747048903882</v>
      </c>
      <c r="O94" s="91">
        <v>142</v>
      </c>
      <c r="P94" s="89">
        <f t="shared" si="19"/>
        <v>32653.601220430108</v>
      </c>
      <c r="Q94" s="93">
        <v>103</v>
      </c>
      <c r="R94" s="89">
        <f t="shared" si="20"/>
        <v>81413.928164931611</v>
      </c>
      <c r="S94" s="88">
        <f t="shared" si="18"/>
        <v>452</v>
      </c>
      <c r="T94" s="92">
        <f t="shared" si="18"/>
        <v>160612.56484410225</v>
      </c>
      <c r="U94" s="116"/>
      <c r="V94" s="289">
        <f t="shared" si="25"/>
        <v>790.42648703817099</v>
      </c>
      <c r="W94" s="291">
        <f t="shared" si="25"/>
        <v>0</v>
      </c>
      <c r="X94" s="290">
        <f t="shared" si="25"/>
        <v>1008.4971894322654</v>
      </c>
      <c r="Y94" s="283">
        <f t="shared" si="25"/>
        <v>100.49202867242734</v>
      </c>
      <c r="Z94" s="288">
        <f t="shared" si="25"/>
        <v>165.75917092561045</v>
      </c>
      <c r="AA94" s="286">
        <f t="shared" si="25"/>
        <v>229.954938172043</v>
      </c>
      <c r="AB94" s="281"/>
      <c r="AC94" s="281"/>
      <c r="AD94" s="276"/>
      <c r="AE94" s="276"/>
      <c r="AF94" s="276"/>
    </row>
    <row r="95" spans="1:32" x14ac:dyDescent="0.2">
      <c r="A95" s="86">
        <f t="shared" si="23"/>
        <v>91</v>
      </c>
      <c r="B95" s="369" t="s">
        <v>515</v>
      </c>
      <c r="C95" s="93" t="s">
        <v>515</v>
      </c>
      <c r="D95" s="371"/>
      <c r="E95" s="93">
        <v>0</v>
      </c>
      <c r="F95" s="87">
        <v>0</v>
      </c>
      <c r="G95" s="88">
        <v>39</v>
      </c>
      <c r="H95" s="89">
        <f t="shared" si="26"/>
        <v>3919.1891182246663</v>
      </c>
      <c r="I95" s="88">
        <v>183</v>
      </c>
      <c r="J95" s="89">
        <f t="shared" si="17"/>
        <v>30333.928279386713</v>
      </c>
      <c r="K95" s="88">
        <v>48</v>
      </c>
      <c r="L95" s="90">
        <v>41265.277527047911</v>
      </c>
      <c r="M95" s="88">
        <v>16</v>
      </c>
      <c r="N95" s="87">
        <f t="shared" si="24"/>
        <v>16135.955030916246</v>
      </c>
      <c r="O95" s="91">
        <v>251</v>
      </c>
      <c r="P95" s="89">
        <f t="shared" si="19"/>
        <v>57718.689481182795</v>
      </c>
      <c r="Q95" s="93">
        <v>21</v>
      </c>
      <c r="R95" s="89">
        <f t="shared" si="20"/>
        <v>16598.956227801591</v>
      </c>
      <c r="S95" s="88">
        <f t="shared" si="18"/>
        <v>558</v>
      </c>
      <c r="T95" s="92">
        <f t="shared" si="18"/>
        <v>165971.99566455992</v>
      </c>
      <c r="U95" s="116"/>
      <c r="V95" s="289">
        <f t="shared" si="25"/>
        <v>790.42648703817099</v>
      </c>
      <c r="W95" s="291">
        <f t="shared" si="25"/>
        <v>0</v>
      </c>
      <c r="X95" s="290">
        <f t="shared" si="25"/>
        <v>1008.4971894322654</v>
      </c>
      <c r="Y95" s="283">
        <f t="shared" si="25"/>
        <v>100.49202867242734</v>
      </c>
      <c r="Z95" s="288">
        <f t="shared" si="25"/>
        <v>165.75917092561045</v>
      </c>
      <c r="AA95" s="286">
        <f t="shared" si="25"/>
        <v>229.954938172043</v>
      </c>
      <c r="AB95" s="281"/>
      <c r="AC95" s="281"/>
      <c r="AD95" s="276"/>
      <c r="AE95" s="276"/>
      <c r="AF95" s="276"/>
    </row>
    <row r="96" spans="1:32" x14ac:dyDescent="0.2">
      <c r="A96" s="86">
        <f t="shared" si="23"/>
        <v>92</v>
      </c>
      <c r="B96" s="369"/>
      <c r="C96" s="93" t="s">
        <v>516</v>
      </c>
      <c r="D96" s="371"/>
      <c r="E96" s="93">
        <v>0</v>
      </c>
      <c r="F96" s="87">
        <v>0</v>
      </c>
      <c r="G96" s="88">
        <v>56</v>
      </c>
      <c r="H96" s="89">
        <f t="shared" si="26"/>
        <v>5627.5536056559313</v>
      </c>
      <c r="I96" s="88">
        <v>184</v>
      </c>
      <c r="J96" s="89">
        <f t="shared" si="17"/>
        <v>30499.687450312322</v>
      </c>
      <c r="K96" s="88">
        <v>96</v>
      </c>
      <c r="L96" s="90">
        <v>82530.555054095821</v>
      </c>
      <c r="M96" s="88">
        <v>7</v>
      </c>
      <c r="N96" s="87">
        <f t="shared" si="24"/>
        <v>7059.4803260258577</v>
      </c>
      <c r="O96" s="91">
        <v>250</v>
      </c>
      <c r="P96" s="89">
        <f t="shared" si="19"/>
        <v>57488.734543010753</v>
      </c>
      <c r="Q96" s="93">
        <v>14</v>
      </c>
      <c r="R96" s="89">
        <f t="shared" si="20"/>
        <v>11065.970818534393</v>
      </c>
      <c r="S96" s="88">
        <f t="shared" si="18"/>
        <v>607</v>
      </c>
      <c r="T96" s="92">
        <f t="shared" si="18"/>
        <v>194271.98179763512</v>
      </c>
      <c r="U96" s="116"/>
      <c r="V96" s="289">
        <f t="shared" si="25"/>
        <v>790.42648703817099</v>
      </c>
      <c r="W96" s="291">
        <f t="shared" si="25"/>
        <v>0</v>
      </c>
      <c r="X96" s="290">
        <f t="shared" si="25"/>
        <v>1008.4971894322654</v>
      </c>
      <c r="Y96" s="283">
        <f t="shared" si="25"/>
        <v>100.49202867242734</v>
      </c>
      <c r="Z96" s="288">
        <f t="shared" si="25"/>
        <v>165.75917092561045</v>
      </c>
      <c r="AA96" s="286">
        <f t="shared" si="25"/>
        <v>229.954938172043</v>
      </c>
      <c r="AB96" s="281"/>
      <c r="AC96" s="281"/>
      <c r="AD96" s="276"/>
      <c r="AE96" s="276"/>
      <c r="AF96" s="276"/>
    </row>
    <row r="97" spans="1:32" x14ac:dyDescent="0.2">
      <c r="A97" s="86">
        <f t="shared" si="23"/>
        <v>93</v>
      </c>
      <c r="B97" s="369"/>
      <c r="C97" s="93" t="s">
        <v>517</v>
      </c>
      <c r="D97" s="371"/>
      <c r="E97" s="93">
        <v>0</v>
      </c>
      <c r="F97" s="87">
        <v>0</v>
      </c>
      <c r="G97" s="88">
        <v>94</v>
      </c>
      <c r="H97" s="89">
        <f t="shared" si="26"/>
        <v>9446.2506952081694</v>
      </c>
      <c r="I97" s="88">
        <v>103</v>
      </c>
      <c r="J97" s="89">
        <f t="shared" si="17"/>
        <v>17073.194605337878</v>
      </c>
      <c r="K97" s="88">
        <v>2</v>
      </c>
      <c r="L97" s="90">
        <v>1719.3865636269963</v>
      </c>
      <c r="M97" s="88">
        <v>32</v>
      </c>
      <c r="N97" s="87">
        <f t="shared" si="24"/>
        <v>32271.910061832492</v>
      </c>
      <c r="O97" s="91">
        <v>245</v>
      </c>
      <c r="P97" s="89">
        <f t="shared" si="19"/>
        <v>56338.959852150532</v>
      </c>
      <c r="Q97" s="93">
        <v>15</v>
      </c>
      <c r="R97" s="89">
        <f t="shared" si="20"/>
        <v>11856.397305572566</v>
      </c>
      <c r="S97" s="88">
        <f t="shared" si="18"/>
        <v>491</v>
      </c>
      <c r="T97" s="92">
        <f t="shared" si="18"/>
        <v>128706.09908372864</v>
      </c>
      <c r="U97" s="116"/>
      <c r="V97" s="289">
        <f t="shared" si="25"/>
        <v>790.42648703817099</v>
      </c>
      <c r="W97" s="291">
        <f t="shared" si="25"/>
        <v>0</v>
      </c>
      <c r="X97" s="290">
        <f t="shared" si="25"/>
        <v>1008.4971894322654</v>
      </c>
      <c r="Y97" s="283">
        <f t="shared" si="25"/>
        <v>100.49202867242734</v>
      </c>
      <c r="Z97" s="288">
        <f t="shared" si="25"/>
        <v>165.75917092561045</v>
      </c>
      <c r="AA97" s="286">
        <f t="shared" si="25"/>
        <v>229.954938172043</v>
      </c>
      <c r="AB97" s="281"/>
      <c r="AC97" s="281"/>
      <c r="AD97" s="276"/>
      <c r="AE97" s="276"/>
      <c r="AF97" s="276"/>
    </row>
    <row r="98" spans="1:32" x14ac:dyDescent="0.2">
      <c r="A98" s="86">
        <f t="shared" si="23"/>
        <v>94</v>
      </c>
      <c r="B98" s="369"/>
      <c r="C98" s="93" t="s">
        <v>518</v>
      </c>
      <c r="D98" s="371"/>
      <c r="E98" s="93">
        <v>0</v>
      </c>
      <c r="F98" s="87">
        <v>0</v>
      </c>
      <c r="G98" s="88">
        <v>0</v>
      </c>
      <c r="H98" s="89">
        <v>0</v>
      </c>
      <c r="I98" s="88">
        <v>56</v>
      </c>
      <c r="J98" s="89">
        <f t="shared" si="17"/>
        <v>9282.5135718341844</v>
      </c>
      <c r="K98" s="88">
        <v>8</v>
      </c>
      <c r="L98" s="90">
        <v>6877.5462545079854</v>
      </c>
      <c r="M98" s="88">
        <v>88</v>
      </c>
      <c r="N98" s="87">
        <f t="shared" si="24"/>
        <v>88747.75267003935</v>
      </c>
      <c r="O98" s="91">
        <v>194</v>
      </c>
      <c r="P98" s="89">
        <f t="shared" si="19"/>
        <v>44611.258005376345</v>
      </c>
      <c r="Q98" s="93">
        <v>17</v>
      </c>
      <c r="R98" s="89">
        <f t="shared" si="20"/>
        <v>13437.250279648906</v>
      </c>
      <c r="S98" s="88">
        <f t="shared" si="18"/>
        <v>363</v>
      </c>
      <c r="T98" s="92">
        <f t="shared" si="18"/>
        <v>162956.32078140677</v>
      </c>
      <c r="U98" s="116"/>
      <c r="V98" s="289">
        <f t="shared" si="25"/>
        <v>790.42648703817099</v>
      </c>
      <c r="W98" s="291">
        <f t="shared" si="25"/>
        <v>0</v>
      </c>
      <c r="X98" s="290">
        <f t="shared" si="25"/>
        <v>1008.4971894322654</v>
      </c>
      <c r="Y98" s="283"/>
      <c r="Z98" s="288">
        <f t="shared" si="25"/>
        <v>165.75917092561045</v>
      </c>
      <c r="AA98" s="286">
        <f t="shared" si="25"/>
        <v>229.954938172043</v>
      </c>
      <c r="AB98" s="281"/>
      <c r="AC98" s="281"/>
      <c r="AD98" s="276"/>
      <c r="AE98" s="276"/>
      <c r="AF98" s="276"/>
    </row>
    <row r="99" spans="1:32" x14ac:dyDescent="0.2">
      <c r="A99" s="86">
        <f t="shared" si="23"/>
        <v>95</v>
      </c>
      <c r="B99" s="369"/>
      <c r="C99" s="93" t="s">
        <v>519</v>
      </c>
      <c r="D99" s="371"/>
      <c r="E99" s="93">
        <v>0</v>
      </c>
      <c r="F99" s="87">
        <v>0</v>
      </c>
      <c r="G99" s="88">
        <v>0</v>
      </c>
      <c r="H99" s="89">
        <v>0</v>
      </c>
      <c r="I99" s="88">
        <v>50</v>
      </c>
      <c r="J99" s="89">
        <f t="shared" si="17"/>
        <v>8287.9585462805226</v>
      </c>
      <c r="K99" s="88">
        <v>50</v>
      </c>
      <c r="L99" s="90">
        <v>42984.664090674909</v>
      </c>
      <c r="M99" s="88">
        <v>28</v>
      </c>
      <c r="N99" s="87">
        <f t="shared" si="24"/>
        <v>28237.921304103431</v>
      </c>
      <c r="O99" s="91">
        <v>358</v>
      </c>
      <c r="P99" s="89">
        <f t="shared" si="19"/>
        <v>82323.867865591397</v>
      </c>
      <c r="Q99" s="93">
        <v>8</v>
      </c>
      <c r="R99" s="89">
        <f t="shared" si="20"/>
        <v>6323.4118963053679</v>
      </c>
      <c r="S99" s="88">
        <f t="shared" si="18"/>
        <v>494</v>
      </c>
      <c r="T99" s="92">
        <f t="shared" si="18"/>
        <v>168157.82370295562</v>
      </c>
      <c r="U99" s="116"/>
      <c r="V99" s="289">
        <f t="shared" si="25"/>
        <v>790.42648703817099</v>
      </c>
      <c r="W99" s="291">
        <f t="shared" si="25"/>
        <v>0</v>
      </c>
      <c r="X99" s="290">
        <f t="shared" si="25"/>
        <v>1008.4971894322654</v>
      </c>
      <c r="Y99" s="283"/>
      <c r="Z99" s="288">
        <f t="shared" si="25"/>
        <v>165.75917092561045</v>
      </c>
      <c r="AA99" s="286">
        <f t="shared" si="25"/>
        <v>229.954938172043</v>
      </c>
      <c r="AB99" s="281"/>
      <c r="AC99" s="281"/>
      <c r="AD99" s="276"/>
      <c r="AE99" s="276"/>
      <c r="AF99" s="276"/>
    </row>
    <row r="100" spans="1:32" x14ac:dyDescent="0.2">
      <c r="A100" s="86">
        <f t="shared" si="23"/>
        <v>96</v>
      </c>
      <c r="B100" s="369"/>
      <c r="C100" s="93" t="s">
        <v>520</v>
      </c>
      <c r="D100" s="371"/>
      <c r="E100" s="93">
        <v>0</v>
      </c>
      <c r="F100" s="87">
        <v>0</v>
      </c>
      <c r="G100" s="88">
        <v>53</v>
      </c>
      <c r="H100" s="89">
        <f>+G100*Y97</f>
        <v>5326.0775196386485</v>
      </c>
      <c r="I100" s="88">
        <v>134</v>
      </c>
      <c r="J100" s="89">
        <f t="shared" si="17"/>
        <v>22211.728904031799</v>
      </c>
      <c r="K100" s="88">
        <v>8</v>
      </c>
      <c r="L100" s="90">
        <v>6877.5462545079854</v>
      </c>
      <c r="M100" s="88">
        <v>23</v>
      </c>
      <c r="N100" s="87">
        <f t="shared" si="24"/>
        <v>23195.435356942104</v>
      </c>
      <c r="O100" s="91">
        <v>318</v>
      </c>
      <c r="P100" s="89">
        <f t="shared" si="19"/>
        <v>73125.670338709679</v>
      </c>
      <c r="Q100" s="93">
        <v>0</v>
      </c>
      <c r="R100" s="89">
        <f t="shared" si="20"/>
        <v>0</v>
      </c>
      <c r="S100" s="88">
        <f t="shared" si="18"/>
        <v>536</v>
      </c>
      <c r="T100" s="92">
        <f t="shared" si="18"/>
        <v>130736.45837383022</v>
      </c>
      <c r="U100" s="116"/>
      <c r="V100" s="289">
        <f t="shared" si="25"/>
        <v>790.42648703817099</v>
      </c>
      <c r="W100" s="291">
        <f t="shared" si="25"/>
        <v>0</v>
      </c>
      <c r="X100" s="290">
        <f t="shared" si="25"/>
        <v>1008.4971894322654</v>
      </c>
      <c r="Y100" s="283">
        <f>+Y97</f>
        <v>100.49202867242734</v>
      </c>
      <c r="Z100" s="288">
        <f t="shared" si="25"/>
        <v>165.75917092561045</v>
      </c>
      <c r="AA100" s="286">
        <f t="shared" si="25"/>
        <v>229.954938172043</v>
      </c>
      <c r="AB100" s="281"/>
      <c r="AC100" s="281"/>
      <c r="AD100" s="276"/>
      <c r="AE100" s="276"/>
      <c r="AF100" s="276"/>
    </row>
    <row r="101" spans="1:32" x14ac:dyDescent="0.2">
      <c r="A101" s="86">
        <f t="shared" si="23"/>
        <v>97</v>
      </c>
      <c r="B101" s="369" t="s">
        <v>521</v>
      </c>
      <c r="C101" s="93" t="s">
        <v>522</v>
      </c>
      <c r="D101" s="371"/>
      <c r="E101" s="93">
        <v>0</v>
      </c>
      <c r="F101" s="87">
        <v>0</v>
      </c>
      <c r="G101" s="88">
        <v>52</v>
      </c>
      <c r="H101" s="89">
        <f>+G101*Y100</f>
        <v>5225.5854909662212</v>
      </c>
      <c r="I101" s="88">
        <v>55</v>
      </c>
      <c r="J101" s="89">
        <f t="shared" si="17"/>
        <v>9116.7544009085741</v>
      </c>
      <c r="K101" s="88">
        <v>4</v>
      </c>
      <c r="L101" s="90">
        <v>3438.7731272539927</v>
      </c>
      <c r="M101" s="88">
        <v>0</v>
      </c>
      <c r="N101" s="87">
        <f t="shared" si="24"/>
        <v>0</v>
      </c>
      <c r="O101" s="91">
        <v>127</v>
      </c>
      <c r="P101" s="89">
        <f t="shared" si="19"/>
        <v>29204.277147849461</v>
      </c>
      <c r="Q101" s="93">
        <v>5</v>
      </c>
      <c r="R101" s="89">
        <f t="shared" si="20"/>
        <v>3952.1324351908552</v>
      </c>
      <c r="S101" s="88">
        <f t="shared" si="18"/>
        <v>243</v>
      </c>
      <c r="T101" s="92">
        <f t="shared" si="18"/>
        <v>50937.522602169105</v>
      </c>
      <c r="U101" s="116"/>
      <c r="V101" s="289">
        <f t="shared" si="25"/>
        <v>790.42648703817099</v>
      </c>
      <c r="W101" s="291">
        <f t="shared" si="25"/>
        <v>0</v>
      </c>
      <c r="X101" s="290">
        <f t="shared" si="25"/>
        <v>1008.4971894322654</v>
      </c>
      <c r="Y101" s="283">
        <f t="shared" si="25"/>
        <v>100.49202867242734</v>
      </c>
      <c r="Z101" s="288">
        <f t="shared" si="25"/>
        <v>165.75917092561045</v>
      </c>
      <c r="AA101" s="286">
        <f t="shared" si="25"/>
        <v>229.954938172043</v>
      </c>
      <c r="AB101" s="281"/>
      <c r="AC101" s="281"/>
      <c r="AD101" s="276"/>
      <c r="AE101" s="276"/>
      <c r="AF101" s="276"/>
    </row>
    <row r="102" spans="1:32" x14ac:dyDescent="0.2">
      <c r="A102" s="86">
        <f t="shared" si="23"/>
        <v>98</v>
      </c>
      <c r="B102" s="369"/>
      <c r="C102" s="93" t="s">
        <v>523</v>
      </c>
      <c r="D102" s="371"/>
      <c r="E102" s="93">
        <v>0</v>
      </c>
      <c r="F102" s="87">
        <v>0</v>
      </c>
      <c r="G102" s="88">
        <v>0</v>
      </c>
      <c r="H102" s="89">
        <v>0</v>
      </c>
      <c r="I102" s="88">
        <v>38</v>
      </c>
      <c r="J102" s="89">
        <f t="shared" si="17"/>
        <v>6298.8484951731971</v>
      </c>
      <c r="K102" s="88">
        <v>24</v>
      </c>
      <c r="L102" s="90">
        <v>20632.638763523955</v>
      </c>
      <c r="M102" s="88">
        <v>9</v>
      </c>
      <c r="N102" s="87">
        <f t="shared" si="24"/>
        <v>9076.4747048903882</v>
      </c>
      <c r="O102" s="91">
        <v>27</v>
      </c>
      <c r="P102" s="89">
        <f t="shared" si="19"/>
        <v>6208.7833306451612</v>
      </c>
      <c r="Q102" s="93">
        <v>13</v>
      </c>
      <c r="R102" s="89">
        <f t="shared" si="20"/>
        <v>10275.544331496223</v>
      </c>
      <c r="S102" s="88">
        <f t="shared" si="18"/>
        <v>111</v>
      </c>
      <c r="T102" s="92">
        <f t="shared" si="18"/>
        <v>52492.289625728932</v>
      </c>
      <c r="U102" s="116"/>
      <c r="V102" s="289">
        <f t="shared" ref="V102:Y117" si="27">+V101</f>
        <v>790.42648703817099</v>
      </c>
      <c r="W102" s="291">
        <f t="shared" si="27"/>
        <v>0</v>
      </c>
      <c r="X102" s="290">
        <f t="shared" si="27"/>
        <v>1008.4971894322654</v>
      </c>
      <c r="Y102" s="283"/>
      <c r="Z102" s="288">
        <f t="shared" ref="Z102:AA117" si="28">+Z101</f>
        <v>165.75917092561045</v>
      </c>
      <c r="AA102" s="286">
        <f t="shared" si="28"/>
        <v>229.954938172043</v>
      </c>
      <c r="AB102" s="281"/>
      <c r="AC102" s="281"/>
      <c r="AD102" s="276"/>
      <c r="AE102" s="276"/>
      <c r="AF102" s="276"/>
    </row>
    <row r="103" spans="1:32" x14ac:dyDescent="0.2">
      <c r="A103" s="86">
        <f t="shared" si="23"/>
        <v>99</v>
      </c>
      <c r="B103" s="369"/>
      <c r="C103" s="93" t="s">
        <v>524</v>
      </c>
      <c r="D103" s="371"/>
      <c r="E103" s="93">
        <v>0</v>
      </c>
      <c r="F103" s="87">
        <v>0</v>
      </c>
      <c r="G103" s="88">
        <v>28</v>
      </c>
      <c r="H103" s="89">
        <f>+G103*Y101</f>
        <v>2813.7768028279656</v>
      </c>
      <c r="I103" s="88">
        <v>7</v>
      </c>
      <c r="J103" s="89">
        <f t="shared" si="17"/>
        <v>1160.3141964792731</v>
      </c>
      <c r="K103" s="88">
        <v>12</v>
      </c>
      <c r="L103" s="90">
        <v>10316.319381761978</v>
      </c>
      <c r="M103" s="88">
        <v>13</v>
      </c>
      <c r="N103" s="87">
        <f t="shared" si="24"/>
        <v>13110.463462619449</v>
      </c>
      <c r="O103" s="91">
        <v>7</v>
      </c>
      <c r="P103" s="89">
        <f t="shared" si="19"/>
        <v>1609.6845672043009</v>
      </c>
      <c r="Q103" s="93">
        <v>13</v>
      </c>
      <c r="R103" s="89">
        <f t="shared" si="20"/>
        <v>10275.544331496223</v>
      </c>
      <c r="S103" s="88">
        <f t="shared" si="18"/>
        <v>80</v>
      </c>
      <c r="T103" s="92">
        <f t="shared" si="18"/>
        <v>39286.102742389186</v>
      </c>
      <c r="U103" s="116"/>
      <c r="V103" s="289">
        <f t="shared" si="27"/>
        <v>790.42648703817099</v>
      </c>
      <c r="W103" s="291">
        <f t="shared" si="27"/>
        <v>0</v>
      </c>
      <c r="X103" s="290">
        <f t="shared" si="27"/>
        <v>1008.4971894322654</v>
      </c>
      <c r="Y103" s="283">
        <f>+Y101</f>
        <v>100.49202867242734</v>
      </c>
      <c r="Z103" s="288">
        <f t="shared" si="28"/>
        <v>165.75917092561045</v>
      </c>
      <c r="AA103" s="286">
        <f t="shared" si="28"/>
        <v>229.954938172043</v>
      </c>
      <c r="AB103" s="281"/>
      <c r="AC103" s="281"/>
      <c r="AD103" s="276"/>
      <c r="AE103" s="276"/>
      <c r="AF103" s="276"/>
    </row>
    <row r="104" spans="1:32" x14ac:dyDescent="0.2">
      <c r="A104" s="86">
        <f t="shared" si="23"/>
        <v>100</v>
      </c>
      <c r="B104" s="361" t="s">
        <v>525</v>
      </c>
      <c r="C104" s="93" t="s">
        <v>526</v>
      </c>
      <c r="D104" s="371"/>
      <c r="E104" s="93">
        <v>0</v>
      </c>
      <c r="F104" s="87">
        <v>0</v>
      </c>
      <c r="G104" s="88">
        <v>100</v>
      </c>
      <c r="H104" s="89">
        <f>+G104*Y103</f>
        <v>10049.202867242733</v>
      </c>
      <c r="I104" s="88">
        <v>54</v>
      </c>
      <c r="J104" s="89">
        <f t="shared" si="17"/>
        <v>8950.9952299829638</v>
      </c>
      <c r="K104" s="88">
        <v>10</v>
      </c>
      <c r="L104" s="90">
        <v>8596.9328181349811</v>
      </c>
      <c r="M104" s="88">
        <v>32</v>
      </c>
      <c r="N104" s="87">
        <f t="shared" si="24"/>
        <v>32271.910061832492</v>
      </c>
      <c r="O104" s="91">
        <v>128</v>
      </c>
      <c r="P104" s="89">
        <f t="shared" si="19"/>
        <v>29434.232086021504</v>
      </c>
      <c r="Q104" s="93">
        <v>74</v>
      </c>
      <c r="R104" s="89">
        <f t="shared" si="20"/>
        <v>58491.560040824654</v>
      </c>
      <c r="S104" s="88">
        <f t="shared" si="18"/>
        <v>398</v>
      </c>
      <c r="T104" s="92">
        <f t="shared" si="18"/>
        <v>147794.83310403931</v>
      </c>
      <c r="U104" s="116"/>
      <c r="V104" s="289">
        <f t="shared" si="27"/>
        <v>790.42648703817099</v>
      </c>
      <c r="W104" s="291">
        <f t="shared" si="27"/>
        <v>0</v>
      </c>
      <c r="X104" s="290">
        <f t="shared" si="27"/>
        <v>1008.4971894322654</v>
      </c>
      <c r="Y104" s="283">
        <f t="shared" si="27"/>
        <v>100.49202867242734</v>
      </c>
      <c r="Z104" s="288">
        <f t="shared" si="28"/>
        <v>165.75917092561045</v>
      </c>
      <c r="AA104" s="286">
        <f t="shared" si="28"/>
        <v>229.954938172043</v>
      </c>
      <c r="AB104" s="281"/>
      <c r="AC104" s="281"/>
      <c r="AD104" s="276"/>
      <c r="AE104" s="276"/>
      <c r="AF104" s="276"/>
    </row>
    <row r="105" spans="1:32" x14ac:dyDescent="0.2">
      <c r="A105" s="86">
        <f t="shared" si="23"/>
        <v>101</v>
      </c>
      <c r="B105" s="362"/>
      <c r="C105" s="93" t="s">
        <v>527</v>
      </c>
      <c r="D105" s="371"/>
      <c r="E105" s="93">
        <v>0</v>
      </c>
      <c r="F105" s="87">
        <v>0</v>
      </c>
      <c r="G105" s="88">
        <v>0</v>
      </c>
      <c r="H105" s="89">
        <v>0</v>
      </c>
      <c r="I105" s="88">
        <v>23</v>
      </c>
      <c r="J105" s="89">
        <f t="shared" si="17"/>
        <v>3812.4609312890402</v>
      </c>
      <c r="K105" s="88">
        <v>8</v>
      </c>
      <c r="L105" s="90">
        <v>6877.5462545079854</v>
      </c>
      <c r="M105" s="88">
        <v>24</v>
      </c>
      <c r="N105" s="87">
        <f t="shared" si="24"/>
        <v>24203.93254637437</v>
      </c>
      <c r="O105" s="91">
        <v>21</v>
      </c>
      <c r="P105" s="89">
        <f t="shared" si="19"/>
        <v>4829.0537016129028</v>
      </c>
      <c r="Q105" s="93">
        <v>37</v>
      </c>
      <c r="R105" s="89">
        <f t="shared" si="20"/>
        <v>29245.780020412327</v>
      </c>
      <c r="S105" s="88">
        <f t="shared" si="18"/>
        <v>113</v>
      </c>
      <c r="T105" s="92">
        <f t="shared" si="18"/>
        <v>68968.77345419662</v>
      </c>
      <c r="U105" s="116"/>
      <c r="V105" s="289">
        <f t="shared" si="27"/>
        <v>790.42648703817099</v>
      </c>
      <c r="W105" s="291">
        <f t="shared" si="27"/>
        <v>0</v>
      </c>
      <c r="X105" s="290">
        <f t="shared" si="27"/>
        <v>1008.4971894322654</v>
      </c>
      <c r="Y105" s="283"/>
      <c r="Z105" s="288">
        <f t="shared" si="28"/>
        <v>165.75917092561045</v>
      </c>
      <c r="AA105" s="286">
        <f t="shared" si="28"/>
        <v>229.954938172043</v>
      </c>
      <c r="AB105" s="281"/>
      <c r="AC105" s="281"/>
      <c r="AD105" s="276"/>
      <c r="AE105" s="276"/>
      <c r="AF105" s="276"/>
    </row>
    <row r="106" spans="1:32" x14ac:dyDescent="0.2">
      <c r="A106" s="86">
        <f t="shared" si="23"/>
        <v>102</v>
      </c>
      <c r="B106" s="362"/>
      <c r="C106" s="93" t="s">
        <v>528</v>
      </c>
      <c r="D106" s="371"/>
      <c r="E106" s="93">
        <v>0</v>
      </c>
      <c r="F106" s="87">
        <v>0</v>
      </c>
      <c r="G106" s="88">
        <v>0</v>
      </c>
      <c r="H106" s="89">
        <v>0</v>
      </c>
      <c r="I106" s="88">
        <v>36</v>
      </c>
      <c r="J106" s="89">
        <f t="shared" si="17"/>
        <v>5967.3301533219765</v>
      </c>
      <c r="K106" s="88">
        <v>20</v>
      </c>
      <c r="L106" s="90">
        <v>17193.865636269962</v>
      </c>
      <c r="M106" s="88">
        <v>4</v>
      </c>
      <c r="N106" s="87">
        <f t="shared" si="24"/>
        <v>4033.9887577290615</v>
      </c>
      <c r="O106" s="91">
        <v>18</v>
      </c>
      <c r="P106" s="89">
        <f t="shared" si="19"/>
        <v>4139.1888870967741</v>
      </c>
      <c r="Q106" s="93">
        <v>15</v>
      </c>
      <c r="R106" s="89">
        <f t="shared" si="20"/>
        <v>11856.397305572566</v>
      </c>
      <c r="S106" s="88">
        <f t="shared" si="18"/>
        <v>93</v>
      </c>
      <c r="T106" s="92">
        <f t="shared" si="18"/>
        <v>43190.770739990345</v>
      </c>
      <c r="U106" s="116"/>
      <c r="V106" s="289">
        <f t="shared" si="27"/>
        <v>790.42648703817099</v>
      </c>
      <c r="W106" s="291">
        <f t="shared" si="27"/>
        <v>0</v>
      </c>
      <c r="X106" s="290">
        <f t="shared" si="27"/>
        <v>1008.4971894322654</v>
      </c>
      <c r="Y106" s="283"/>
      <c r="Z106" s="288">
        <f t="shared" si="28"/>
        <v>165.75917092561045</v>
      </c>
      <c r="AA106" s="286">
        <f t="shared" si="28"/>
        <v>229.954938172043</v>
      </c>
      <c r="AB106" s="281"/>
      <c r="AC106" s="281"/>
      <c r="AD106" s="276"/>
      <c r="AE106" s="276"/>
      <c r="AF106" s="276"/>
    </row>
    <row r="107" spans="1:32" x14ac:dyDescent="0.2">
      <c r="A107" s="86">
        <f t="shared" si="23"/>
        <v>103</v>
      </c>
      <c r="B107" s="362"/>
      <c r="C107" s="93" t="s">
        <v>529</v>
      </c>
      <c r="D107" s="371"/>
      <c r="E107" s="93">
        <v>0</v>
      </c>
      <c r="F107" s="87">
        <v>0</v>
      </c>
      <c r="G107" s="88">
        <v>0</v>
      </c>
      <c r="H107" s="89">
        <v>0</v>
      </c>
      <c r="I107" s="88">
        <v>59</v>
      </c>
      <c r="J107" s="89">
        <f t="shared" si="17"/>
        <v>9779.7910846110171</v>
      </c>
      <c r="K107" s="88">
        <v>21</v>
      </c>
      <c r="L107" s="90">
        <v>18053.558918083461</v>
      </c>
      <c r="M107" s="88">
        <v>13</v>
      </c>
      <c r="N107" s="87">
        <f t="shared" si="24"/>
        <v>13110.463462619449</v>
      </c>
      <c r="O107" s="91">
        <v>5</v>
      </c>
      <c r="P107" s="89">
        <f t="shared" si="19"/>
        <v>1149.7746908602151</v>
      </c>
      <c r="Q107" s="93">
        <v>38</v>
      </c>
      <c r="R107" s="89">
        <f t="shared" si="20"/>
        <v>30036.206507450497</v>
      </c>
      <c r="S107" s="88">
        <f t="shared" si="18"/>
        <v>136</v>
      </c>
      <c r="T107" s="92">
        <f t="shared" si="18"/>
        <v>72129.794663624634</v>
      </c>
      <c r="U107" s="116"/>
      <c r="V107" s="289">
        <f t="shared" si="27"/>
        <v>790.42648703817099</v>
      </c>
      <c r="W107" s="291">
        <f t="shared" si="27"/>
        <v>0</v>
      </c>
      <c r="X107" s="290">
        <f t="shared" si="27"/>
        <v>1008.4971894322654</v>
      </c>
      <c r="Y107" s="283"/>
      <c r="Z107" s="288">
        <f t="shared" si="28"/>
        <v>165.75917092561045</v>
      </c>
      <c r="AA107" s="286">
        <f t="shared" si="28"/>
        <v>229.954938172043</v>
      </c>
      <c r="AB107" s="281"/>
      <c r="AC107" s="281"/>
      <c r="AD107" s="276"/>
      <c r="AE107" s="276"/>
      <c r="AF107" s="276"/>
    </row>
    <row r="108" spans="1:32" x14ac:dyDescent="0.2">
      <c r="A108" s="86">
        <f t="shared" si="23"/>
        <v>104</v>
      </c>
      <c r="B108" s="363"/>
      <c r="C108" s="93" t="s">
        <v>525</v>
      </c>
      <c r="D108" s="371"/>
      <c r="E108" s="93">
        <v>0</v>
      </c>
      <c r="F108" s="87">
        <v>0</v>
      </c>
      <c r="G108" s="88"/>
      <c r="H108" s="89">
        <v>0</v>
      </c>
      <c r="I108" s="88"/>
      <c r="J108" s="89">
        <v>0</v>
      </c>
      <c r="K108" s="88"/>
      <c r="L108" s="90">
        <v>0</v>
      </c>
      <c r="M108" s="88">
        <v>0</v>
      </c>
      <c r="N108" s="87">
        <f t="shared" si="24"/>
        <v>0</v>
      </c>
      <c r="O108" s="91">
        <v>4</v>
      </c>
      <c r="P108" s="89">
        <f t="shared" si="19"/>
        <v>919.819752688172</v>
      </c>
      <c r="Q108" s="93">
        <v>34</v>
      </c>
      <c r="R108" s="89">
        <f t="shared" si="20"/>
        <v>26874.500559297812</v>
      </c>
      <c r="S108" s="88">
        <f t="shared" si="18"/>
        <v>38</v>
      </c>
      <c r="T108" s="92">
        <f t="shared" si="18"/>
        <v>27794.320311985983</v>
      </c>
      <c r="U108" s="116"/>
      <c r="V108" s="289">
        <f t="shared" si="27"/>
        <v>790.42648703817099</v>
      </c>
      <c r="W108" s="291">
        <f t="shared" si="27"/>
        <v>0</v>
      </c>
      <c r="X108" s="290">
        <f t="shared" si="27"/>
        <v>1008.4971894322654</v>
      </c>
      <c r="Y108" s="283"/>
      <c r="Z108" s="288"/>
      <c r="AA108" s="286">
        <f t="shared" si="28"/>
        <v>229.954938172043</v>
      </c>
      <c r="AB108" s="281"/>
      <c r="AC108" s="281"/>
      <c r="AD108" s="276"/>
      <c r="AE108" s="276"/>
      <c r="AF108" s="276"/>
    </row>
    <row r="109" spans="1:32" x14ac:dyDescent="0.2">
      <c r="A109" s="86">
        <f t="shared" si="23"/>
        <v>105</v>
      </c>
      <c r="B109" s="361" t="s">
        <v>530</v>
      </c>
      <c r="C109" s="93" t="s">
        <v>531</v>
      </c>
      <c r="D109" s="371"/>
      <c r="E109" s="93">
        <v>0</v>
      </c>
      <c r="F109" s="87">
        <v>0</v>
      </c>
      <c r="G109" s="88">
        <v>0</v>
      </c>
      <c r="H109" s="89">
        <v>0</v>
      </c>
      <c r="I109" s="88">
        <v>0</v>
      </c>
      <c r="J109" s="89">
        <f>+I109*Z109</f>
        <v>0</v>
      </c>
      <c r="K109" s="88">
        <v>63</v>
      </c>
      <c r="L109" s="90">
        <v>54160.676754250388</v>
      </c>
      <c r="M109" s="88">
        <v>41</v>
      </c>
      <c r="N109" s="87">
        <f t="shared" si="24"/>
        <v>41348.384766722884</v>
      </c>
      <c r="O109" s="91">
        <v>155</v>
      </c>
      <c r="P109" s="89">
        <f t="shared" si="19"/>
        <v>35643.015416666662</v>
      </c>
      <c r="Q109" s="93">
        <v>49</v>
      </c>
      <c r="R109" s="89">
        <f t="shared" si="20"/>
        <v>38730.897864870378</v>
      </c>
      <c r="S109" s="88">
        <f t="shared" si="18"/>
        <v>308</v>
      </c>
      <c r="T109" s="92">
        <f t="shared" si="18"/>
        <v>169882.97480251032</v>
      </c>
      <c r="U109" s="116"/>
      <c r="V109" s="289">
        <f t="shared" si="27"/>
        <v>790.42648703817099</v>
      </c>
      <c r="W109" s="291">
        <f t="shared" si="27"/>
        <v>0</v>
      </c>
      <c r="X109" s="290">
        <f t="shared" si="27"/>
        <v>1008.4971894322654</v>
      </c>
      <c r="Y109" s="283"/>
      <c r="Z109" s="288">
        <f>+Z107</f>
        <v>165.75917092561045</v>
      </c>
      <c r="AA109" s="286">
        <f t="shared" si="28"/>
        <v>229.954938172043</v>
      </c>
      <c r="AB109" s="281"/>
      <c r="AC109" s="281"/>
      <c r="AD109" s="276"/>
      <c r="AE109" s="276"/>
      <c r="AF109" s="276"/>
    </row>
    <row r="110" spans="1:32" x14ac:dyDescent="0.2">
      <c r="A110" s="86">
        <f t="shared" si="23"/>
        <v>106</v>
      </c>
      <c r="B110" s="362"/>
      <c r="C110" s="93" t="s">
        <v>532</v>
      </c>
      <c r="D110" s="371"/>
      <c r="E110" s="93">
        <v>0</v>
      </c>
      <c r="F110" s="87">
        <v>0</v>
      </c>
      <c r="G110" s="88">
        <v>0</v>
      </c>
      <c r="H110" s="89">
        <v>0</v>
      </c>
      <c r="I110" s="88">
        <v>0</v>
      </c>
      <c r="J110" s="89">
        <f>+I110*Z110</f>
        <v>0</v>
      </c>
      <c r="K110" s="88">
        <v>32</v>
      </c>
      <c r="L110" s="90">
        <v>27510.185018031942</v>
      </c>
      <c r="M110" s="88">
        <v>1</v>
      </c>
      <c r="N110" s="87">
        <f t="shared" si="24"/>
        <v>1008.4971894322654</v>
      </c>
      <c r="O110" s="91">
        <v>5</v>
      </c>
      <c r="P110" s="89">
        <f t="shared" si="19"/>
        <v>1149.7746908602151</v>
      </c>
      <c r="Q110" s="93">
        <v>18</v>
      </c>
      <c r="R110" s="89">
        <f t="shared" si="20"/>
        <v>14227.676766687078</v>
      </c>
      <c r="S110" s="88">
        <f t="shared" si="18"/>
        <v>56</v>
      </c>
      <c r="T110" s="92">
        <f t="shared" si="18"/>
        <v>43896.133665011504</v>
      </c>
      <c r="U110" s="116"/>
      <c r="V110" s="289">
        <f t="shared" si="27"/>
        <v>790.42648703817099</v>
      </c>
      <c r="W110" s="291">
        <f t="shared" si="27"/>
        <v>0</v>
      </c>
      <c r="X110" s="290">
        <f t="shared" si="27"/>
        <v>1008.4971894322654</v>
      </c>
      <c r="Y110" s="283"/>
      <c r="Z110" s="288">
        <f t="shared" si="28"/>
        <v>165.75917092561045</v>
      </c>
      <c r="AA110" s="286">
        <f t="shared" si="28"/>
        <v>229.954938172043</v>
      </c>
      <c r="AB110" s="281"/>
      <c r="AC110" s="281"/>
      <c r="AD110" s="276"/>
      <c r="AE110" s="276"/>
      <c r="AF110" s="276"/>
    </row>
    <row r="111" spans="1:32" x14ac:dyDescent="0.2">
      <c r="A111" s="86">
        <f t="shared" si="23"/>
        <v>107</v>
      </c>
      <c r="B111" s="362"/>
      <c r="C111" s="93" t="s">
        <v>533</v>
      </c>
      <c r="D111" s="371"/>
      <c r="E111" s="93">
        <v>0</v>
      </c>
      <c r="F111" s="87">
        <v>0</v>
      </c>
      <c r="G111" s="88">
        <v>0</v>
      </c>
      <c r="H111" s="89">
        <v>0</v>
      </c>
      <c r="I111" s="88">
        <v>6</v>
      </c>
      <c r="J111" s="89">
        <f>+I111*Z111</f>
        <v>994.55502555366274</v>
      </c>
      <c r="K111" s="88">
        <v>12</v>
      </c>
      <c r="L111" s="90">
        <v>10316.319381761978</v>
      </c>
      <c r="M111" s="88">
        <v>5</v>
      </c>
      <c r="N111" s="87">
        <f t="shared" si="24"/>
        <v>5042.4859471613272</v>
      </c>
      <c r="O111" s="91">
        <v>10</v>
      </c>
      <c r="P111" s="89">
        <f t="shared" si="19"/>
        <v>2299.5493817204301</v>
      </c>
      <c r="Q111" s="93">
        <v>24</v>
      </c>
      <c r="R111" s="89">
        <f t="shared" si="20"/>
        <v>18970.235688916102</v>
      </c>
      <c r="S111" s="88">
        <f t="shared" si="18"/>
        <v>57</v>
      </c>
      <c r="T111" s="92">
        <f t="shared" si="18"/>
        <v>37623.1454251135</v>
      </c>
      <c r="U111" s="116"/>
      <c r="V111" s="289">
        <f t="shared" si="27"/>
        <v>790.42648703817099</v>
      </c>
      <c r="W111" s="291">
        <f t="shared" si="27"/>
        <v>0</v>
      </c>
      <c r="X111" s="290">
        <f t="shared" si="27"/>
        <v>1008.4971894322654</v>
      </c>
      <c r="Y111" s="283"/>
      <c r="Z111" s="288">
        <f t="shared" si="28"/>
        <v>165.75917092561045</v>
      </c>
      <c r="AA111" s="286">
        <f t="shared" si="28"/>
        <v>229.954938172043</v>
      </c>
      <c r="AB111" s="281"/>
      <c r="AC111" s="281"/>
      <c r="AD111" s="276"/>
      <c r="AE111" s="276"/>
      <c r="AF111" s="276"/>
    </row>
    <row r="112" spans="1:32" x14ac:dyDescent="0.2">
      <c r="A112" s="86">
        <f t="shared" si="23"/>
        <v>108</v>
      </c>
      <c r="B112" s="362"/>
      <c r="C112" s="93" t="s">
        <v>534</v>
      </c>
      <c r="D112" s="371"/>
      <c r="E112" s="93">
        <v>0</v>
      </c>
      <c r="F112" s="87">
        <v>0</v>
      </c>
      <c r="G112" s="88">
        <v>0</v>
      </c>
      <c r="H112" s="89">
        <v>0</v>
      </c>
      <c r="I112" s="88">
        <v>0</v>
      </c>
      <c r="J112" s="89">
        <f>+I112*Z112</f>
        <v>0</v>
      </c>
      <c r="K112" s="88">
        <v>25</v>
      </c>
      <c r="L112" s="90">
        <v>21492.332045337454</v>
      </c>
      <c r="M112" s="88">
        <v>19</v>
      </c>
      <c r="N112" s="87">
        <f t="shared" si="24"/>
        <v>19161.446599213043</v>
      </c>
      <c r="O112" s="91">
        <v>80</v>
      </c>
      <c r="P112" s="89">
        <f t="shared" si="19"/>
        <v>18396.395053763441</v>
      </c>
      <c r="Q112" s="93">
        <v>27</v>
      </c>
      <c r="R112" s="89">
        <f t="shared" si="20"/>
        <v>21341.515150030616</v>
      </c>
      <c r="S112" s="88">
        <f t="shared" si="18"/>
        <v>151</v>
      </c>
      <c r="T112" s="92">
        <f t="shared" si="18"/>
        <v>80391.688848344551</v>
      </c>
      <c r="U112" s="116"/>
      <c r="V112" s="289">
        <f t="shared" si="27"/>
        <v>790.42648703817099</v>
      </c>
      <c r="W112" s="291">
        <f t="shared" si="27"/>
        <v>0</v>
      </c>
      <c r="X112" s="290">
        <f t="shared" si="27"/>
        <v>1008.4971894322654</v>
      </c>
      <c r="Y112" s="283"/>
      <c r="Z112" s="288">
        <f t="shared" si="28"/>
        <v>165.75917092561045</v>
      </c>
      <c r="AA112" s="286">
        <f t="shared" si="28"/>
        <v>229.954938172043</v>
      </c>
      <c r="AB112" s="281"/>
      <c r="AC112" s="281"/>
      <c r="AD112" s="276"/>
      <c r="AE112" s="276"/>
      <c r="AF112" s="276"/>
    </row>
    <row r="113" spans="1:32" x14ac:dyDescent="0.2">
      <c r="A113" s="86">
        <f t="shared" si="23"/>
        <v>109</v>
      </c>
      <c r="B113" s="362"/>
      <c r="C113" s="93" t="s">
        <v>535</v>
      </c>
      <c r="D113" s="371"/>
      <c r="E113" s="93">
        <v>0</v>
      </c>
      <c r="F113" s="87">
        <v>0</v>
      </c>
      <c r="G113" s="88">
        <v>50</v>
      </c>
      <c r="H113" s="89">
        <f>+G113*Y104</f>
        <v>5024.6014336213666</v>
      </c>
      <c r="I113" s="88">
        <v>11</v>
      </c>
      <c r="J113" s="89">
        <f>+I113*Z113</f>
        <v>1823.350880181715</v>
      </c>
      <c r="K113" s="88">
        <v>6</v>
      </c>
      <c r="L113" s="90">
        <v>5158.1596908809888</v>
      </c>
      <c r="M113" s="88">
        <v>34</v>
      </c>
      <c r="N113" s="87">
        <f t="shared" si="24"/>
        <v>34288.904440697021</v>
      </c>
      <c r="O113" s="91">
        <v>54</v>
      </c>
      <c r="P113" s="89">
        <f t="shared" si="19"/>
        <v>12417.566661290322</v>
      </c>
      <c r="Q113" s="93">
        <v>20</v>
      </c>
      <c r="R113" s="89">
        <f t="shared" si="20"/>
        <v>15808.529740763421</v>
      </c>
      <c r="S113" s="88">
        <f t="shared" si="18"/>
        <v>175</v>
      </c>
      <c r="T113" s="92">
        <f t="shared" si="18"/>
        <v>74521.112847434822</v>
      </c>
      <c r="U113" s="116"/>
      <c r="V113" s="289">
        <f t="shared" si="27"/>
        <v>790.42648703817099</v>
      </c>
      <c r="W113" s="291">
        <f t="shared" si="27"/>
        <v>0</v>
      </c>
      <c r="X113" s="290">
        <f t="shared" si="27"/>
        <v>1008.4971894322654</v>
      </c>
      <c r="Y113" s="283">
        <f>+Y104</f>
        <v>100.49202867242734</v>
      </c>
      <c r="Z113" s="288">
        <f t="shared" si="28"/>
        <v>165.75917092561045</v>
      </c>
      <c r="AA113" s="286">
        <f t="shared" si="28"/>
        <v>229.954938172043</v>
      </c>
      <c r="AB113" s="281"/>
      <c r="AC113" s="281"/>
      <c r="AD113" s="276"/>
      <c r="AE113" s="276"/>
      <c r="AF113" s="276"/>
    </row>
    <row r="114" spans="1:32" x14ac:dyDescent="0.2">
      <c r="A114" s="86">
        <f t="shared" si="23"/>
        <v>110</v>
      </c>
      <c r="B114" s="363"/>
      <c r="C114" s="93" t="s">
        <v>536</v>
      </c>
      <c r="D114" s="371"/>
      <c r="E114" s="93">
        <v>0</v>
      </c>
      <c r="F114" s="87">
        <v>0</v>
      </c>
      <c r="G114" s="88">
        <v>0</v>
      </c>
      <c r="H114" s="89">
        <v>0</v>
      </c>
      <c r="I114" s="88">
        <v>0</v>
      </c>
      <c r="J114" s="89">
        <v>0</v>
      </c>
      <c r="K114" s="88">
        <v>0</v>
      </c>
      <c r="L114" s="90">
        <v>0</v>
      </c>
      <c r="M114" s="88">
        <v>0</v>
      </c>
      <c r="N114" s="87">
        <f t="shared" si="24"/>
        <v>0</v>
      </c>
      <c r="O114" s="91">
        <v>99</v>
      </c>
      <c r="P114" s="89">
        <f t="shared" si="19"/>
        <v>22765.538879032258</v>
      </c>
      <c r="Q114" s="93">
        <v>46</v>
      </c>
      <c r="R114" s="89">
        <f t="shared" si="20"/>
        <v>36359.618403755863</v>
      </c>
      <c r="S114" s="88">
        <f t="shared" si="18"/>
        <v>145</v>
      </c>
      <c r="T114" s="92">
        <f t="shared" si="18"/>
        <v>59125.157282788117</v>
      </c>
      <c r="U114" s="116"/>
      <c r="V114" s="289">
        <f t="shared" si="27"/>
        <v>790.42648703817099</v>
      </c>
      <c r="W114" s="291">
        <f t="shared" si="27"/>
        <v>0</v>
      </c>
      <c r="X114" s="290">
        <f t="shared" si="27"/>
        <v>1008.4971894322654</v>
      </c>
      <c r="Y114" s="283"/>
      <c r="Z114" s="288"/>
      <c r="AA114" s="286">
        <f t="shared" si="28"/>
        <v>229.954938172043</v>
      </c>
      <c r="AB114" s="281"/>
      <c r="AC114" s="281"/>
      <c r="AD114" s="276"/>
      <c r="AE114" s="276"/>
      <c r="AF114" s="276"/>
    </row>
    <row r="115" spans="1:32" x14ac:dyDescent="0.2">
      <c r="A115" s="86">
        <f t="shared" si="23"/>
        <v>111</v>
      </c>
      <c r="B115" s="361" t="s">
        <v>537</v>
      </c>
      <c r="C115" s="93" t="s">
        <v>672</v>
      </c>
      <c r="D115" s="371"/>
      <c r="E115" s="93">
        <v>0</v>
      </c>
      <c r="F115" s="87">
        <v>0</v>
      </c>
      <c r="G115" s="88">
        <v>0</v>
      </c>
      <c r="H115" s="89">
        <v>0</v>
      </c>
      <c r="I115" s="88">
        <v>0</v>
      </c>
      <c r="J115" s="89">
        <v>0</v>
      </c>
      <c r="K115" s="88">
        <v>0</v>
      </c>
      <c r="L115" s="89">
        <v>0</v>
      </c>
      <c r="M115" s="88">
        <v>0</v>
      </c>
      <c r="N115" s="89">
        <v>0</v>
      </c>
      <c r="O115" s="88">
        <v>0</v>
      </c>
      <c r="P115" s="89">
        <v>0</v>
      </c>
      <c r="Q115" s="93">
        <v>1</v>
      </c>
      <c r="R115" s="89">
        <f t="shared" si="20"/>
        <v>790.42648703817099</v>
      </c>
      <c r="S115" s="88">
        <f t="shared" si="18"/>
        <v>1</v>
      </c>
      <c r="T115" s="92">
        <f t="shared" si="18"/>
        <v>790.42648703817099</v>
      </c>
      <c r="U115" s="116"/>
      <c r="V115" s="289">
        <f t="shared" si="27"/>
        <v>790.42648703817099</v>
      </c>
      <c r="W115" s="291"/>
      <c r="X115" s="290"/>
      <c r="Y115" s="283"/>
      <c r="Z115" s="288"/>
      <c r="AA115" s="286"/>
      <c r="AB115" s="281"/>
      <c r="AC115" s="281"/>
      <c r="AD115" s="276"/>
      <c r="AE115" s="276"/>
      <c r="AF115" s="276"/>
    </row>
    <row r="116" spans="1:32" x14ac:dyDescent="0.2">
      <c r="A116" s="86">
        <f t="shared" si="23"/>
        <v>112</v>
      </c>
      <c r="B116" s="362"/>
      <c r="C116" s="93" t="s">
        <v>537</v>
      </c>
      <c r="D116" s="371"/>
      <c r="E116" s="93">
        <v>0</v>
      </c>
      <c r="F116" s="87">
        <v>0</v>
      </c>
      <c r="G116" s="88">
        <v>44</v>
      </c>
      <c r="H116" s="89">
        <f>+G116*Y113</f>
        <v>4421.6492615868028</v>
      </c>
      <c r="I116" s="88">
        <v>38</v>
      </c>
      <c r="J116" s="89">
        <f>+I116*Z116</f>
        <v>6298.8484951731971</v>
      </c>
      <c r="K116" s="88">
        <v>8</v>
      </c>
      <c r="L116" s="90">
        <v>6877.5462545079854</v>
      </c>
      <c r="M116" s="88">
        <v>4</v>
      </c>
      <c r="N116" s="87">
        <f t="shared" si="24"/>
        <v>4033.9887577290615</v>
      </c>
      <c r="O116" s="91">
        <v>0</v>
      </c>
      <c r="P116" s="89">
        <f t="shared" si="19"/>
        <v>0</v>
      </c>
      <c r="Q116" s="93">
        <v>0</v>
      </c>
      <c r="R116" s="89">
        <f t="shared" si="20"/>
        <v>0</v>
      </c>
      <c r="S116" s="88">
        <f t="shared" si="18"/>
        <v>94</v>
      </c>
      <c r="T116" s="92">
        <f t="shared" si="18"/>
        <v>21632.032768997047</v>
      </c>
      <c r="U116" s="116"/>
      <c r="V116" s="289">
        <f t="shared" si="27"/>
        <v>790.42648703817099</v>
      </c>
      <c r="W116" s="291">
        <f>+W114</f>
        <v>0</v>
      </c>
      <c r="X116" s="290">
        <f>+X114</f>
        <v>1008.4971894322654</v>
      </c>
      <c r="Y116" s="283">
        <f>+Y113</f>
        <v>100.49202867242734</v>
      </c>
      <c r="Z116" s="288">
        <f>+Z113</f>
        <v>165.75917092561045</v>
      </c>
      <c r="AA116" s="286">
        <f>+AA114</f>
        <v>229.954938172043</v>
      </c>
      <c r="AB116" s="281"/>
      <c r="AC116" s="281"/>
      <c r="AD116" s="276"/>
      <c r="AE116" s="276"/>
      <c r="AF116" s="276"/>
    </row>
    <row r="117" spans="1:32" x14ac:dyDescent="0.2">
      <c r="A117" s="86">
        <f t="shared" si="23"/>
        <v>113</v>
      </c>
      <c r="B117" s="362"/>
      <c r="C117" s="93" t="s">
        <v>538</v>
      </c>
      <c r="D117" s="371"/>
      <c r="E117" s="93">
        <v>0</v>
      </c>
      <c r="F117" s="87">
        <v>0</v>
      </c>
      <c r="G117" s="88">
        <v>25</v>
      </c>
      <c r="H117" s="89">
        <f>+G117*Y116</f>
        <v>2512.3007168106833</v>
      </c>
      <c r="I117" s="88">
        <v>45</v>
      </c>
      <c r="J117" s="89">
        <f>+I117*Z117</f>
        <v>7459.1626916524701</v>
      </c>
      <c r="K117" s="88">
        <v>6</v>
      </c>
      <c r="L117" s="90">
        <v>5158.1596908809888</v>
      </c>
      <c r="M117" s="88">
        <v>6</v>
      </c>
      <c r="N117" s="87">
        <f t="shared" si="24"/>
        <v>6050.9831365935925</v>
      </c>
      <c r="O117" s="91">
        <v>125</v>
      </c>
      <c r="P117" s="89">
        <f t="shared" si="19"/>
        <v>28744.367271505376</v>
      </c>
      <c r="Q117" s="93">
        <v>7</v>
      </c>
      <c r="R117" s="89">
        <f t="shared" si="20"/>
        <v>5532.9854092671967</v>
      </c>
      <c r="S117" s="88">
        <f t="shared" si="18"/>
        <v>214</v>
      </c>
      <c r="T117" s="92">
        <f t="shared" si="18"/>
        <v>55457.958916710304</v>
      </c>
      <c r="U117" s="116"/>
      <c r="V117" s="289">
        <f t="shared" si="27"/>
        <v>790.42648703817099</v>
      </c>
      <c r="W117" s="291">
        <f t="shared" si="27"/>
        <v>0</v>
      </c>
      <c r="X117" s="290">
        <f t="shared" si="27"/>
        <v>1008.4971894322654</v>
      </c>
      <c r="Y117" s="283">
        <f t="shared" si="27"/>
        <v>100.49202867242734</v>
      </c>
      <c r="Z117" s="288">
        <f t="shared" si="28"/>
        <v>165.75917092561045</v>
      </c>
      <c r="AA117" s="286">
        <f t="shared" si="28"/>
        <v>229.954938172043</v>
      </c>
      <c r="AB117" s="281"/>
      <c r="AC117" s="281"/>
      <c r="AD117" s="276"/>
      <c r="AE117" s="276"/>
      <c r="AF117" s="276"/>
    </row>
    <row r="118" spans="1:32" x14ac:dyDescent="0.2">
      <c r="A118" s="86">
        <f t="shared" si="23"/>
        <v>114</v>
      </c>
      <c r="B118" s="362"/>
      <c r="C118" s="93" t="s">
        <v>539</v>
      </c>
      <c r="D118" s="371"/>
      <c r="E118" s="93">
        <v>0</v>
      </c>
      <c r="F118" s="87">
        <v>0</v>
      </c>
      <c r="G118" s="88">
        <v>25</v>
      </c>
      <c r="H118" s="89">
        <f>+G118*Y117</f>
        <v>2512.3007168106833</v>
      </c>
      <c r="I118" s="88">
        <v>49</v>
      </c>
      <c r="J118" s="89">
        <f>+I118*Z118</f>
        <v>8122.1993753549123</v>
      </c>
      <c r="K118" s="88">
        <v>4</v>
      </c>
      <c r="L118" s="90">
        <v>3438.7731272539927</v>
      </c>
      <c r="M118" s="88">
        <v>0</v>
      </c>
      <c r="N118" s="87">
        <f t="shared" si="24"/>
        <v>0</v>
      </c>
      <c r="O118" s="91">
        <v>0</v>
      </c>
      <c r="P118" s="89">
        <f t="shared" si="19"/>
        <v>0</v>
      </c>
      <c r="Q118" s="93">
        <v>0</v>
      </c>
      <c r="R118" s="89">
        <f t="shared" si="20"/>
        <v>0</v>
      </c>
      <c r="S118" s="88">
        <f t="shared" si="18"/>
        <v>78</v>
      </c>
      <c r="T118" s="92">
        <f t="shared" si="18"/>
        <v>14073.273219419589</v>
      </c>
      <c r="U118" s="116"/>
      <c r="V118" s="289">
        <f t="shared" ref="V118:AA132" si="29">+V117</f>
        <v>790.42648703817099</v>
      </c>
      <c r="W118" s="291">
        <f t="shared" si="29"/>
        <v>0</v>
      </c>
      <c r="X118" s="290">
        <f t="shared" si="29"/>
        <v>1008.4971894322654</v>
      </c>
      <c r="Y118" s="283">
        <f t="shared" si="29"/>
        <v>100.49202867242734</v>
      </c>
      <c r="Z118" s="288">
        <f t="shared" si="29"/>
        <v>165.75917092561045</v>
      </c>
      <c r="AA118" s="286">
        <f t="shared" si="29"/>
        <v>229.954938172043</v>
      </c>
      <c r="AB118" s="281"/>
      <c r="AC118" s="281"/>
      <c r="AD118" s="276"/>
      <c r="AE118" s="276"/>
      <c r="AF118" s="276"/>
    </row>
    <row r="119" spans="1:32" x14ac:dyDescent="0.2">
      <c r="A119" s="86">
        <f t="shared" si="23"/>
        <v>115</v>
      </c>
      <c r="B119" s="362"/>
      <c r="C119" s="93" t="s">
        <v>540</v>
      </c>
      <c r="D119" s="371"/>
      <c r="E119" s="93">
        <v>0</v>
      </c>
      <c r="F119" s="87">
        <v>0</v>
      </c>
      <c r="G119" s="88">
        <v>34</v>
      </c>
      <c r="H119" s="89">
        <f>+G119*Y118</f>
        <v>3416.7289748625294</v>
      </c>
      <c r="I119" s="88">
        <v>108</v>
      </c>
      <c r="J119" s="89">
        <f>+I119*Z119</f>
        <v>17901.990459965928</v>
      </c>
      <c r="K119" s="88">
        <v>10</v>
      </c>
      <c r="L119" s="90">
        <v>8596.9328181349811</v>
      </c>
      <c r="M119" s="88">
        <v>1</v>
      </c>
      <c r="N119" s="87">
        <f t="shared" si="24"/>
        <v>1008.4971894322654</v>
      </c>
      <c r="O119" s="91">
        <v>125</v>
      </c>
      <c r="P119" s="89">
        <f t="shared" si="19"/>
        <v>28744.367271505376</v>
      </c>
      <c r="Q119" s="93">
        <v>6</v>
      </c>
      <c r="R119" s="89">
        <f t="shared" si="20"/>
        <v>4742.5589222290255</v>
      </c>
      <c r="S119" s="88">
        <f t="shared" si="18"/>
        <v>284</v>
      </c>
      <c r="T119" s="92">
        <f t="shared" si="18"/>
        <v>64411.075636130103</v>
      </c>
      <c r="U119" s="116"/>
      <c r="V119" s="289">
        <f t="shared" si="29"/>
        <v>790.42648703817099</v>
      </c>
      <c r="W119" s="291">
        <f t="shared" si="29"/>
        <v>0</v>
      </c>
      <c r="X119" s="290">
        <f t="shared" si="29"/>
        <v>1008.4971894322654</v>
      </c>
      <c r="Y119" s="283">
        <f t="shared" si="29"/>
        <v>100.49202867242734</v>
      </c>
      <c r="Z119" s="288">
        <f t="shared" si="29"/>
        <v>165.75917092561045</v>
      </c>
      <c r="AA119" s="286">
        <f t="shared" si="29"/>
        <v>229.954938172043</v>
      </c>
      <c r="AB119" s="281"/>
      <c r="AC119" s="281"/>
      <c r="AD119" s="276"/>
      <c r="AE119" s="276"/>
      <c r="AF119" s="276"/>
    </row>
    <row r="120" spans="1:32" x14ac:dyDescent="0.2">
      <c r="A120" s="86">
        <f t="shared" si="23"/>
        <v>116</v>
      </c>
      <c r="B120" s="362"/>
      <c r="C120" s="93" t="s">
        <v>541</v>
      </c>
      <c r="D120" s="371"/>
      <c r="E120" s="93">
        <v>0</v>
      </c>
      <c r="F120" s="87">
        <v>0</v>
      </c>
      <c r="G120" s="88">
        <v>0</v>
      </c>
      <c r="H120" s="89">
        <v>0</v>
      </c>
      <c r="I120" s="88">
        <v>0</v>
      </c>
      <c r="J120" s="89">
        <v>0</v>
      </c>
      <c r="K120" s="88">
        <v>0</v>
      </c>
      <c r="L120" s="90">
        <v>0</v>
      </c>
      <c r="M120" s="88">
        <v>0</v>
      </c>
      <c r="N120" s="87">
        <f t="shared" si="24"/>
        <v>0</v>
      </c>
      <c r="O120" s="91">
        <v>41</v>
      </c>
      <c r="P120" s="89">
        <f t="shared" si="19"/>
        <v>9428.1524650537631</v>
      </c>
      <c r="Q120" s="93">
        <v>6</v>
      </c>
      <c r="R120" s="89">
        <f t="shared" si="20"/>
        <v>4742.5589222290255</v>
      </c>
      <c r="S120" s="88">
        <f t="shared" si="18"/>
        <v>47</v>
      </c>
      <c r="T120" s="92">
        <f t="shared" si="18"/>
        <v>14170.711387282789</v>
      </c>
      <c r="U120" s="116"/>
      <c r="V120" s="289">
        <f t="shared" si="29"/>
        <v>790.42648703817099</v>
      </c>
      <c r="W120" s="291">
        <f t="shared" si="29"/>
        <v>0</v>
      </c>
      <c r="X120" s="290">
        <f t="shared" si="29"/>
        <v>1008.4971894322654</v>
      </c>
      <c r="Y120" s="283"/>
      <c r="Z120" s="288"/>
      <c r="AA120" s="286">
        <f t="shared" si="29"/>
        <v>229.954938172043</v>
      </c>
      <c r="AB120" s="281"/>
      <c r="AC120" s="281"/>
      <c r="AD120" s="276"/>
      <c r="AE120" s="276"/>
      <c r="AF120" s="276"/>
    </row>
    <row r="121" spans="1:32" x14ac:dyDescent="0.2">
      <c r="A121" s="86">
        <f t="shared" si="23"/>
        <v>117</v>
      </c>
      <c r="B121" s="363"/>
      <c r="C121" s="94" t="s">
        <v>542</v>
      </c>
      <c r="D121" s="371"/>
      <c r="E121" s="93">
        <v>0</v>
      </c>
      <c r="F121" s="87">
        <v>0</v>
      </c>
      <c r="G121" s="88">
        <v>0</v>
      </c>
      <c r="H121" s="89">
        <v>0</v>
      </c>
      <c r="I121" s="88">
        <v>0</v>
      </c>
      <c r="J121" s="89">
        <v>0</v>
      </c>
      <c r="K121" s="88">
        <v>0</v>
      </c>
      <c r="L121" s="90">
        <v>0</v>
      </c>
      <c r="M121" s="88">
        <v>0</v>
      </c>
      <c r="N121" s="87">
        <f t="shared" si="24"/>
        <v>0</v>
      </c>
      <c r="O121" s="91">
        <v>0</v>
      </c>
      <c r="P121" s="89">
        <f t="shared" si="19"/>
        <v>0</v>
      </c>
      <c r="Q121" s="93">
        <v>15</v>
      </c>
      <c r="R121" s="89">
        <f t="shared" si="20"/>
        <v>11856.397305572566</v>
      </c>
      <c r="S121" s="88">
        <f t="shared" si="18"/>
        <v>15</v>
      </c>
      <c r="T121" s="92">
        <f t="shared" si="18"/>
        <v>11856.397305572566</v>
      </c>
      <c r="U121" s="116"/>
      <c r="V121" s="289">
        <f t="shared" si="29"/>
        <v>790.42648703817099</v>
      </c>
      <c r="W121" s="291">
        <f t="shared" si="29"/>
        <v>0</v>
      </c>
      <c r="X121" s="290">
        <f t="shared" si="29"/>
        <v>1008.4971894322654</v>
      </c>
      <c r="Y121" s="283"/>
      <c r="Z121" s="288"/>
      <c r="AA121" s="286">
        <f t="shared" si="29"/>
        <v>229.954938172043</v>
      </c>
      <c r="AB121" s="281"/>
      <c r="AC121" s="281"/>
      <c r="AD121" s="276"/>
      <c r="AE121" s="276"/>
      <c r="AF121" s="276"/>
    </row>
    <row r="122" spans="1:32" x14ac:dyDescent="0.2">
      <c r="A122" s="86">
        <f t="shared" si="23"/>
        <v>118</v>
      </c>
      <c r="B122" s="361" t="s">
        <v>543</v>
      </c>
      <c r="C122" s="93" t="s">
        <v>544</v>
      </c>
      <c r="D122" s="371"/>
      <c r="E122" s="93">
        <v>0</v>
      </c>
      <c r="F122" s="87">
        <v>0</v>
      </c>
      <c r="G122" s="88">
        <v>110</v>
      </c>
      <c r="H122" s="89">
        <f>+G122*Y119</f>
        <v>11054.123153967008</v>
      </c>
      <c r="I122" s="88">
        <v>34</v>
      </c>
      <c r="J122" s="89">
        <f>+I122*Z122</f>
        <v>5635.8118114707549</v>
      </c>
      <c r="K122" s="88">
        <v>9</v>
      </c>
      <c r="L122" s="90">
        <v>7737.2395363214837</v>
      </c>
      <c r="M122" s="88">
        <v>3</v>
      </c>
      <c r="N122" s="87">
        <f t="shared" si="24"/>
        <v>3025.4915682967962</v>
      </c>
      <c r="O122" s="91">
        <v>121</v>
      </c>
      <c r="P122" s="89">
        <f t="shared" si="19"/>
        <v>27824.547518817202</v>
      </c>
      <c r="Q122" s="93">
        <v>3</v>
      </c>
      <c r="R122" s="89">
        <f t="shared" si="20"/>
        <v>2371.2794611145127</v>
      </c>
      <c r="S122" s="88">
        <f t="shared" si="18"/>
        <v>280</v>
      </c>
      <c r="T122" s="92">
        <f t="shared" si="18"/>
        <v>57648.493049987759</v>
      </c>
      <c r="U122" s="116"/>
      <c r="V122" s="289">
        <f t="shared" si="29"/>
        <v>790.42648703817099</v>
      </c>
      <c r="W122" s="291">
        <f t="shared" si="29"/>
        <v>0</v>
      </c>
      <c r="X122" s="290">
        <f t="shared" si="29"/>
        <v>1008.4971894322654</v>
      </c>
      <c r="Y122" s="283">
        <f>+Y119</f>
        <v>100.49202867242734</v>
      </c>
      <c r="Z122" s="288">
        <f>+Z119</f>
        <v>165.75917092561045</v>
      </c>
      <c r="AA122" s="286">
        <f t="shared" si="29"/>
        <v>229.954938172043</v>
      </c>
      <c r="AB122" s="281"/>
      <c r="AC122" s="281"/>
      <c r="AD122" s="276"/>
      <c r="AE122" s="276"/>
      <c r="AF122" s="276"/>
    </row>
    <row r="123" spans="1:32" x14ac:dyDescent="0.2">
      <c r="A123" s="86">
        <f t="shared" si="23"/>
        <v>119</v>
      </c>
      <c r="B123" s="362"/>
      <c r="C123" s="93" t="s">
        <v>545</v>
      </c>
      <c r="D123" s="371"/>
      <c r="E123" s="93">
        <v>0</v>
      </c>
      <c r="F123" s="87">
        <v>0</v>
      </c>
      <c r="G123" s="88">
        <v>232</v>
      </c>
      <c r="H123" s="89">
        <f>+G123*Y122</f>
        <v>23314.150652003143</v>
      </c>
      <c r="I123" s="88">
        <v>47</v>
      </c>
      <c r="J123" s="89">
        <f>+I123*Z123</f>
        <v>7790.6810335036907</v>
      </c>
      <c r="K123" s="88">
        <v>5</v>
      </c>
      <c r="L123" s="90">
        <v>4298.4664090674905</v>
      </c>
      <c r="M123" s="88">
        <v>14</v>
      </c>
      <c r="N123" s="87">
        <f t="shared" si="24"/>
        <v>14118.960652051715</v>
      </c>
      <c r="O123" s="91">
        <v>137</v>
      </c>
      <c r="P123" s="89">
        <f t="shared" si="19"/>
        <v>31503.826529569891</v>
      </c>
      <c r="Q123" s="93">
        <v>13</v>
      </c>
      <c r="R123" s="89">
        <f t="shared" si="20"/>
        <v>10275.544331496223</v>
      </c>
      <c r="S123" s="88">
        <f t="shared" si="18"/>
        <v>448</v>
      </c>
      <c r="T123" s="92">
        <f t="shared" si="18"/>
        <v>91301.629607692157</v>
      </c>
      <c r="U123" s="116"/>
      <c r="V123" s="289">
        <f t="shared" si="29"/>
        <v>790.42648703817099</v>
      </c>
      <c r="W123" s="291">
        <f t="shared" si="29"/>
        <v>0</v>
      </c>
      <c r="X123" s="290">
        <f t="shared" si="29"/>
        <v>1008.4971894322654</v>
      </c>
      <c r="Y123" s="283">
        <f t="shared" si="29"/>
        <v>100.49202867242734</v>
      </c>
      <c r="Z123" s="288">
        <f t="shared" si="29"/>
        <v>165.75917092561045</v>
      </c>
      <c r="AA123" s="286">
        <f t="shared" si="29"/>
        <v>229.954938172043</v>
      </c>
      <c r="AB123" s="281"/>
      <c r="AC123" s="281"/>
      <c r="AD123" s="276"/>
      <c r="AE123" s="276"/>
      <c r="AF123" s="276"/>
    </row>
    <row r="124" spans="1:32" x14ac:dyDescent="0.2">
      <c r="A124" s="86">
        <f t="shared" si="23"/>
        <v>120</v>
      </c>
      <c r="B124" s="362"/>
      <c r="C124" s="93" t="s">
        <v>546</v>
      </c>
      <c r="D124" s="371"/>
      <c r="E124" s="93">
        <v>0</v>
      </c>
      <c r="F124" s="87">
        <v>0</v>
      </c>
      <c r="G124" s="88">
        <v>111</v>
      </c>
      <c r="H124" s="89">
        <f>+G124*Y123</f>
        <v>11154.615182639434</v>
      </c>
      <c r="I124" s="88">
        <v>53</v>
      </c>
      <c r="J124" s="89">
        <f>+I124*Z124</f>
        <v>8785.2360590573535</v>
      </c>
      <c r="K124" s="88">
        <v>7</v>
      </c>
      <c r="L124" s="90">
        <v>6017.8529726944871</v>
      </c>
      <c r="M124" s="88">
        <v>25</v>
      </c>
      <c r="N124" s="87">
        <f t="shared" si="24"/>
        <v>25212.429735806636</v>
      </c>
      <c r="O124" s="91">
        <v>126</v>
      </c>
      <c r="P124" s="89">
        <f t="shared" si="19"/>
        <v>28974.322209677419</v>
      </c>
      <c r="Q124" s="93">
        <v>3</v>
      </c>
      <c r="R124" s="89">
        <f t="shared" si="20"/>
        <v>2371.2794611145127</v>
      </c>
      <c r="S124" s="88">
        <f t="shared" si="18"/>
        <v>325</v>
      </c>
      <c r="T124" s="92">
        <f t="shared" si="18"/>
        <v>82515.735620989828</v>
      </c>
      <c r="U124" s="116"/>
      <c r="V124" s="289">
        <f t="shared" si="29"/>
        <v>790.42648703817099</v>
      </c>
      <c r="W124" s="291">
        <f t="shared" si="29"/>
        <v>0</v>
      </c>
      <c r="X124" s="290">
        <f t="shared" si="29"/>
        <v>1008.4971894322654</v>
      </c>
      <c r="Y124" s="283">
        <f t="shared" si="29"/>
        <v>100.49202867242734</v>
      </c>
      <c r="Z124" s="288">
        <f t="shared" si="29"/>
        <v>165.75917092561045</v>
      </c>
      <c r="AA124" s="286">
        <f t="shared" si="29"/>
        <v>229.954938172043</v>
      </c>
      <c r="AB124" s="281"/>
      <c r="AC124" s="281"/>
      <c r="AD124" s="276"/>
      <c r="AE124" s="276"/>
      <c r="AF124" s="276"/>
    </row>
    <row r="125" spans="1:32" x14ac:dyDescent="0.2">
      <c r="A125" s="86">
        <f t="shared" si="23"/>
        <v>121</v>
      </c>
      <c r="B125" s="362"/>
      <c r="C125" s="93" t="s">
        <v>547</v>
      </c>
      <c r="D125" s="371"/>
      <c r="E125" s="93">
        <v>0</v>
      </c>
      <c r="F125" s="87">
        <v>0</v>
      </c>
      <c r="G125" s="88">
        <v>0</v>
      </c>
      <c r="H125" s="90">
        <v>0</v>
      </c>
      <c r="I125" s="88">
        <v>0</v>
      </c>
      <c r="J125" s="90">
        <v>0</v>
      </c>
      <c r="K125" s="88">
        <v>0</v>
      </c>
      <c r="L125" s="90">
        <v>0</v>
      </c>
      <c r="M125" s="88">
        <v>0</v>
      </c>
      <c r="N125" s="87">
        <f t="shared" si="24"/>
        <v>0</v>
      </c>
      <c r="O125" s="91">
        <v>0</v>
      </c>
      <c r="P125" s="89">
        <f t="shared" si="19"/>
        <v>0</v>
      </c>
      <c r="Q125" s="93">
        <v>14</v>
      </c>
      <c r="R125" s="89">
        <f t="shared" si="20"/>
        <v>11065.970818534393</v>
      </c>
      <c r="S125" s="88">
        <f t="shared" si="18"/>
        <v>14</v>
      </c>
      <c r="T125" s="92">
        <f t="shared" si="18"/>
        <v>11065.970818534393</v>
      </c>
      <c r="U125" s="116"/>
      <c r="V125" s="289">
        <f t="shared" si="29"/>
        <v>790.42648703817099</v>
      </c>
      <c r="W125" s="291">
        <f t="shared" si="29"/>
        <v>0</v>
      </c>
      <c r="X125" s="290">
        <f t="shared" si="29"/>
        <v>1008.4971894322654</v>
      </c>
      <c r="Y125" s="283"/>
      <c r="Z125" s="288"/>
      <c r="AA125" s="286">
        <f t="shared" si="29"/>
        <v>229.954938172043</v>
      </c>
      <c r="AB125" s="281"/>
      <c r="AC125" s="281"/>
      <c r="AD125" s="276"/>
      <c r="AE125" s="276"/>
      <c r="AF125" s="276"/>
    </row>
    <row r="126" spans="1:32" x14ac:dyDescent="0.2">
      <c r="A126" s="86">
        <f t="shared" si="23"/>
        <v>122</v>
      </c>
      <c r="B126" s="362"/>
      <c r="C126" s="93" t="s">
        <v>548</v>
      </c>
      <c r="D126" s="371"/>
      <c r="E126" s="93">
        <v>0</v>
      </c>
      <c r="F126" s="87">
        <v>0</v>
      </c>
      <c r="G126" s="88">
        <v>0</v>
      </c>
      <c r="H126" s="90">
        <v>0</v>
      </c>
      <c r="I126" s="88">
        <v>0</v>
      </c>
      <c r="J126" s="90">
        <v>0</v>
      </c>
      <c r="K126" s="88">
        <v>0</v>
      </c>
      <c r="L126" s="90">
        <v>0</v>
      </c>
      <c r="M126" s="88">
        <v>0</v>
      </c>
      <c r="N126" s="87">
        <f t="shared" si="24"/>
        <v>0</v>
      </c>
      <c r="O126" s="91">
        <v>3</v>
      </c>
      <c r="P126" s="89">
        <f t="shared" si="19"/>
        <v>689.86481451612894</v>
      </c>
      <c r="Q126" s="93">
        <v>9</v>
      </c>
      <c r="R126" s="89">
        <f t="shared" si="20"/>
        <v>7113.8383833435391</v>
      </c>
      <c r="S126" s="88">
        <f t="shared" si="18"/>
        <v>12</v>
      </c>
      <c r="T126" s="92">
        <f t="shared" si="18"/>
        <v>7803.7031978596679</v>
      </c>
      <c r="U126" s="116"/>
      <c r="V126" s="289">
        <f t="shared" si="29"/>
        <v>790.42648703817099</v>
      </c>
      <c r="W126" s="291">
        <f t="shared" si="29"/>
        <v>0</v>
      </c>
      <c r="X126" s="290">
        <f t="shared" si="29"/>
        <v>1008.4971894322654</v>
      </c>
      <c r="Y126" s="283"/>
      <c r="Z126" s="288"/>
      <c r="AA126" s="286">
        <f t="shared" si="29"/>
        <v>229.954938172043</v>
      </c>
      <c r="AB126" s="281"/>
      <c r="AC126" s="281"/>
      <c r="AD126" s="276"/>
      <c r="AE126" s="276"/>
      <c r="AF126" s="276"/>
    </row>
    <row r="127" spans="1:32" x14ac:dyDescent="0.2">
      <c r="A127" s="86">
        <f t="shared" si="23"/>
        <v>123</v>
      </c>
      <c r="B127" s="362"/>
      <c r="C127" s="93" t="s">
        <v>549</v>
      </c>
      <c r="D127" s="371"/>
      <c r="E127" s="93">
        <v>0</v>
      </c>
      <c r="F127" s="87">
        <v>0</v>
      </c>
      <c r="G127" s="88">
        <v>0</v>
      </c>
      <c r="H127" s="90">
        <v>0</v>
      </c>
      <c r="I127" s="88">
        <v>0</v>
      </c>
      <c r="J127" s="90">
        <v>0</v>
      </c>
      <c r="K127" s="88">
        <v>0</v>
      </c>
      <c r="L127" s="90">
        <v>0</v>
      </c>
      <c r="M127" s="88">
        <v>0</v>
      </c>
      <c r="N127" s="87">
        <f t="shared" si="24"/>
        <v>0</v>
      </c>
      <c r="O127" s="91">
        <v>17</v>
      </c>
      <c r="P127" s="89">
        <f t="shared" si="19"/>
        <v>3909.2339489247311</v>
      </c>
      <c r="Q127" s="93">
        <v>4</v>
      </c>
      <c r="R127" s="89">
        <f t="shared" si="20"/>
        <v>3161.705948152684</v>
      </c>
      <c r="S127" s="88">
        <f t="shared" si="18"/>
        <v>21</v>
      </c>
      <c r="T127" s="92">
        <f t="shared" si="18"/>
        <v>7070.9398970774146</v>
      </c>
      <c r="U127" s="116"/>
      <c r="V127" s="289">
        <f t="shared" si="29"/>
        <v>790.42648703817099</v>
      </c>
      <c r="W127" s="291">
        <f t="shared" si="29"/>
        <v>0</v>
      </c>
      <c r="X127" s="290">
        <f t="shared" si="29"/>
        <v>1008.4971894322654</v>
      </c>
      <c r="Y127" s="283"/>
      <c r="Z127" s="288"/>
      <c r="AA127" s="286">
        <f t="shared" si="29"/>
        <v>229.954938172043</v>
      </c>
      <c r="AB127" s="281"/>
      <c r="AC127" s="281"/>
      <c r="AD127" s="276"/>
      <c r="AE127" s="276"/>
      <c r="AF127" s="276"/>
    </row>
    <row r="128" spans="1:32" x14ac:dyDescent="0.2">
      <c r="A128" s="86">
        <f t="shared" si="23"/>
        <v>124</v>
      </c>
      <c r="B128" s="363"/>
      <c r="C128" s="93" t="s">
        <v>550</v>
      </c>
      <c r="D128" s="371"/>
      <c r="E128" s="93">
        <v>0</v>
      </c>
      <c r="F128" s="87">
        <v>0</v>
      </c>
      <c r="G128" s="88">
        <v>0</v>
      </c>
      <c r="H128" s="90">
        <v>0</v>
      </c>
      <c r="I128" s="88">
        <v>0</v>
      </c>
      <c r="J128" s="90">
        <v>0</v>
      </c>
      <c r="K128" s="88">
        <v>0</v>
      </c>
      <c r="L128" s="90">
        <v>0</v>
      </c>
      <c r="M128" s="88">
        <v>0</v>
      </c>
      <c r="N128" s="87">
        <f t="shared" si="24"/>
        <v>0</v>
      </c>
      <c r="O128" s="91">
        <v>6</v>
      </c>
      <c r="P128" s="89">
        <f t="shared" si="19"/>
        <v>1379.7296290322579</v>
      </c>
      <c r="Q128" s="93">
        <v>8</v>
      </c>
      <c r="R128" s="89">
        <f t="shared" si="20"/>
        <v>6323.4118963053679</v>
      </c>
      <c r="S128" s="88">
        <f t="shared" si="18"/>
        <v>14</v>
      </c>
      <c r="T128" s="92">
        <f t="shared" si="18"/>
        <v>7703.1415253376254</v>
      </c>
      <c r="U128" s="116"/>
      <c r="V128" s="289">
        <f t="shared" si="29"/>
        <v>790.42648703817099</v>
      </c>
      <c r="W128" s="291">
        <f t="shared" si="29"/>
        <v>0</v>
      </c>
      <c r="X128" s="290">
        <f t="shared" si="29"/>
        <v>1008.4971894322654</v>
      </c>
      <c r="Y128" s="283"/>
      <c r="Z128" s="288"/>
      <c r="AA128" s="286">
        <f t="shared" si="29"/>
        <v>229.954938172043</v>
      </c>
      <c r="AB128" s="281"/>
      <c r="AC128" s="281"/>
      <c r="AD128" s="276"/>
      <c r="AE128" s="276"/>
      <c r="AF128" s="276"/>
    </row>
    <row r="129" spans="1:32" x14ac:dyDescent="0.2">
      <c r="A129" s="86">
        <f t="shared" si="23"/>
        <v>125</v>
      </c>
      <c r="B129" s="364" t="s">
        <v>551</v>
      </c>
      <c r="C129" s="93" t="s">
        <v>552</v>
      </c>
      <c r="D129" s="371"/>
      <c r="E129" s="93">
        <v>0</v>
      </c>
      <c r="F129" s="87">
        <v>0</v>
      </c>
      <c r="G129" s="88">
        <v>50</v>
      </c>
      <c r="H129" s="89">
        <f>+G129*Y124</f>
        <v>5024.6014336213666</v>
      </c>
      <c r="I129" s="88">
        <v>116</v>
      </c>
      <c r="J129" s="89">
        <f>+I129*Z129</f>
        <v>19228.063827370814</v>
      </c>
      <c r="K129" s="88">
        <v>8</v>
      </c>
      <c r="L129" s="90">
        <v>6877.5462545079854</v>
      </c>
      <c r="M129" s="88">
        <v>6</v>
      </c>
      <c r="N129" s="87">
        <f t="shared" si="24"/>
        <v>6050.9831365935925</v>
      </c>
      <c r="O129" s="91">
        <v>126</v>
      </c>
      <c r="P129" s="89">
        <f t="shared" si="19"/>
        <v>28974.322209677419</v>
      </c>
      <c r="Q129" s="93">
        <v>9</v>
      </c>
      <c r="R129" s="89">
        <f t="shared" si="20"/>
        <v>7113.8383833435391</v>
      </c>
      <c r="S129" s="88">
        <f t="shared" si="18"/>
        <v>315</v>
      </c>
      <c r="T129" s="92">
        <f t="shared" si="18"/>
        <v>73269.355245114712</v>
      </c>
      <c r="U129" s="116"/>
      <c r="V129" s="289">
        <f t="shared" si="29"/>
        <v>790.42648703817099</v>
      </c>
      <c r="W129" s="291">
        <f t="shared" si="29"/>
        <v>0</v>
      </c>
      <c r="X129" s="290">
        <f t="shared" si="29"/>
        <v>1008.4971894322654</v>
      </c>
      <c r="Y129" s="283">
        <f>+Y124</f>
        <v>100.49202867242734</v>
      </c>
      <c r="Z129" s="288">
        <f>+Z124</f>
        <v>165.75917092561045</v>
      </c>
      <c r="AA129" s="286">
        <f t="shared" si="29"/>
        <v>229.954938172043</v>
      </c>
      <c r="AB129" s="281"/>
      <c r="AC129" s="281"/>
      <c r="AD129" s="276"/>
      <c r="AE129" s="276"/>
      <c r="AF129" s="276"/>
    </row>
    <row r="130" spans="1:32" x14ac:dyDescent="0.2">
      <c r="A130" s="86">
        <f t="shared" si="23"/>
        <v>126</v>
      </c>
      <c r="B130" s="365"/>
      <c r="C130" s="93" t="s">
        <v>553</v>
      </c>
      <c r="D130" s="371"/>
      <c r="E130" s="93">
        <v>0</v>
      </c>
      <c r="F130" s="87">
        <v>0</v>
      </c>
      <c r="G130" s="88">
        <v>0</v>
      </c>
      <c r="H130" s="89">
        <v>0</v>
      </c>
      <c r="I130" s="88">
        <v>39</v>
      </c>
      <c r="J130" s="89">
        <f>+I130*Z130</f>
        <v>6464.6076660988074</v>
      </c>
      <c r="K130" s="88">
        <v>13</v>
      </c>
      <c r="L130" s="90">
        <v>11176.012663575477</v>
      </c>
      <c r="M130" s="88">
        <v>0</v>
      </c>
      <c r="N130" s="87">
        <f t="shared" si="24"/>
        <v>0</v>
      </c>
      <c r="O130" s="91">
        <v>0</v>
      </c>
      <c r="P130" s="89">
        <f t="shared" si="19"/>
        <v>0</v>
      </c>
      <c r="Q130" s="93">
        <v>0</v>
      </c>
      <c r="R130" s="89">
        <f t="shared" si="20"/>
        <v>0</v>
      </c>
      <c r="S130" s="88">
        <f t="shared" si="18"/>
        <v>52</v>
      </c>
      <c r="T130" s="92">
        <f t="shared" si="18"/>
        <v>17640.620329674282</v>
      </c>
      <c r="U130" s="116"/>
      <c r="V130" s="289">
        <f t="shared" si="29"/>
        <v>790.42648703817099</v>
      </c>
      <c r="W130" s="291">
        <f t="shared" si="29"/>
        <v>0</v>
      </c>
      <c r="X130" s="290">
        <f t="shared" si="29"/>
        <v>1008.4971894322654</v>
      </c>
      <c r="Y130" s="283"/>
      <c r="Z130" s="288">
        <f t="shared" si="29"/>
        <v>165.75917092561045</v>
      </c>
      <c r="AA130" s="286">
        <f t="shared" si="29"/>
        <v>229.954938172043</v>
      </c>
      <c r="AB130" s="281"/>
      <c r="AC130" s="281"/>
      <c r="AD130" s="276"/>
      <c r="AE130" s="276"/>
      <c r="AF130" s="276"/>
    </row>
    <row r="131" spans="1:32" x14ac:dyDescent="0.2">
      <c r="A131" s="86">
        <f t="shared" si="23"/>
        <v>127</v>
      </c>
      <c r="B131" s="365"/>
      <c r="C131" s="95" t="s">
        <v>554</v>
      </c>
      <c r="D131" s="371"/>
      <c r="E131" s="93">
        <v>0</v>
      </c>
      <c r="F131" s="87">
        <v>0</v>
      </c>
      <c r="G131" s="88">
        <v>16</v>
      </c>
      <c r="H131" s="89">
        <f>+G131*Y129</f>
        <v>1607.8724587588374</v>
      </c>
      <c r="I131" s="88">
        <v>21</v>
      </c>
      <c r="J131" s="89">
        <f>+I131*Z131</f>
        <v>3480.9425894378196</v>
      </c>
      <c r="K131" s="88">
        <v>5</v>
      </c>
      <c r="L131" s="90">
        <v>4298.4664090674905</v>
      </c>
      <c r="M131" s="88">
        <v>5</v>
      </c>
      <c r="N131" s="87">
        <f t="shared" si="24"/>
        <v>5042.4859471613272</v>
      </c>
      <c r="O131" s="91">
        <v>7</v>
      </c>
      <c r="P131" s="89">
        <f t="shared" si="19"/>
        <v>1609.6845672043009</v>
      </c>
      <c r="Q131" s="93">
        <v>4</v>
      </c>
      <c r="R131" s="89">
        <f t="shared" si="20"/>
        <v>3161.705948152684</v>
      </c>
      <c r="S131" s="88">
        <f t="shared" si="18"/>
        <v>58</v>
      </c>
      <c r="T131" s="92">
        <f t="shared" si="18"/>
        <v>19201.157919782461</v>
      </c>
      <c r="U131" s="116"/>
      <c r="V131" s="289">
        <f t="shared" si="29"/>
        <v>790.42648703817099</v>
      </c>
      <c r="W131" s="291">
        <f t="shared" si="29"/>
        <v>0</v>
      </c>
      <c r="X131" s="290">
        <f t="shared" si="29"/>
        <v>1008.4971894322654</v>
      </c>
      <c r="Y131" s="283"/>
      <c r="Z131" s="288">
        <f t="shared" si="29"/>
        <v>165.75917092561045</v>
      </c>
      <c r="AA131" s="286">
        <f t="shared" si="29"/>
        <v>229.954938172043</v>
      </c>
      <c r="AB131" s="281"/>
      <c r="AC131" s="281"/>
      <c r="AD131" s="276"/>
      <c r="AE131" s="276"/>
      <c r="AF131" s="276"/>
    </row>
    <row r="132" spans="1:32" ht="16" thickBot="1" x14ac:dyDescent="0.25">
      <c r="A132" s="86">
        <f t="shared" si="23"/>
        <v>128</v>
      </c>
      <c r="B132" s="365"/>
      <c r="C132" s="95" t="s">
        <v>555</v>
      </c>
      <c r="D132" s="371"/>
      <c r="E132" s="95">
        <v>0</v>
      </c>
      <c r="F132" s="261">
        <v>0</v>
      </c>
      <c r="G132" s="262">
        <v>0</v>
      </c>
      <c r="H132" s="263">
        <v>0</v>
      </c>
      <c r="I132" s="262">
        <v>0</v>
      </c>
      <c r="J132" s="263">
        <v>0</v>
      </c>
      <c r="K132" s="262">
        <v>0</v>
      </c>
      <c r="L132" s="264">
        <v>0</v>
      </c>
      <c r="M132" s="262">
        <v>0</v>
      </c>
      <c r="N132" s="261">
        <f t="shared" si="24"/>
        <v>0</v>
      </c>
      <c r="O132" s="265">
        <v>0</v>
      </c>
      <c r="P132" s="263">
        <v>0</v>
      </c>
      <c r="Q132" s="95">
        <v>38</v>
      </c>
      <c r="R132" s="263">
        <f t="shared" si="20"/>
        <v>30036.206507450497</v>
      </c>
      <c r="S132" s="262">
        <f t="shared" ref="S132:T132" si="30">+G132+I132+K132+M132+O132+Q132</f>
        <v>38</v>
      </c>
      <c r="T132" s="266">
        <f t="shared" si="30"/>
        <v>30036.206507450497</v>
      </c>
      <c r="U132" s="116"/>
      <c r="V132" s="289">
        <f t="shared" si="29"/>
        <v>790.42648703817099</v>
      </c>
      <c r="W132" s="291">
        <f t="shared" si="29"/>
        <v>0</v>
      </c>
      <c r="X132" s="290">
        <f t="shared" si="29"/>
        <v>1008.4971894322654</v>
      </c>
      <c r="Y132" s="283"/>
      <c r="Z132" s="288"/>
      <c r="AA132" s="286">
        <f t="shared" si="29"/>
        <v>229.954938172043</v>
      </c>
      <c r="AB132" s="281"/>
      <c r="AC132" s="281"/>
      <c r="AD132" s="276"/>
      <c r="AE132" s="276"/>
      <c r="AF132" s="276"/>
    </row>
    <row r="133" spans="1:32" ht="16" thickBot="1" x14ac:dyDescent="0.25">
      <c r="A133" s="366" t="s">
        <v>556</v>
      </c>
      <c r="B133" s="367"/>
      <c r="C133" s="367"/>
      <c r="D133" s="368"/>
      <c r="E133" s="96" t="s">
        <v>557</v>
      </c>
      <c r="F133" s="96" t="s">
        <v>557</v>
      </c>
      <c r="G133" s="97">
        <f>SUM(G5:G132)</f>
        <v>5092</v>
      </c>
      <c r="H133" s="98">
        <f>SUM(H5:H132)</f>
        <v>511705.40999999992</v>
      </c>
      <c r="I133" s="97">
        <f>SUM(I5:I132)</f>
        <v>8805</v>
      </c>
      <c r="J133" s="98">
        <f>SUM(J5:J131)</f>
        <v>1459509.5</v>
      </c>
      <c r="K133" s="97">
        <f>SUM(K5:K132)</f>
        <v>1941</v>
      </c>
      <c r="L133" s="98">
        <v>1668664.66</v>
      </c>
      <c r="M133" s="97">
        <f t="shared" ref="M133:S133" si="31">SUM(M5:M132)</f>
        <v>1779</v>
      </c>
      <c r="N133" s="99">
        <f t="shared" si="31"/>
        <v>1794116.4999999986</v>
      </c>
      <c r="O133" s="267">
        <f t="shared" si="31"/>
        <v>11160</v>
      </c>
      <c r="P133" s="268">
        <f t="shared" si="31"/>
        <v>2566297.1100000003</v>
      </c>
      <c r="Q133" s="292">
        <f t="shared" si="31"/>
        <v>4779</v>
      </c>
      <c r="R133" s="268">
        <f t="shared" si="31"/>
        <v>3777448.1815554178</v>
      </c>
      <c r="S133" s="293">
        <f t="shared" si="31"/>
        <v>33556</v>
      </c>
      <c r="T133" s="269">
        <f>SUM(T5:T131)</f>
        <v>11747705.155047968</v>
      </c>
      <c r="U133" s="180"/>
      <c r="V133" s="294"/>
      <c r="W133" s="295"/>
      <c r="X133" s="296"/>
      <c r="Y133" s="297"/>
      <c r="Z133" s="298"/>
      <c r="AA133" s="299"/>
      <c r="AB133" s="300"/>
      <c r="AC133" s="300"/>
      <c r="AD133" s="301"/>
      <c r="AE133" s="301"/>
      <c r="AF133" s="301"/>
    </row>
    <row r="134" spans="1:32" ht="16" thickBot="1" x14ac:dyDescent="0.25">
      <c r="A134" s="351" t="s">
        <v>558</v>
      </c>
      <c r="B134" s="352"/>
      <c r="C134" s="352"/>
      <c r="D134" s="352"/>
      <c r="E134" s="100" t="s">
        <v>557</v>
      </c>
      <c r="F134" s="100" t="s">
        <v>557</v>
      </c>
      <c r="G134" s="270" t="s">
        <v>673</v>
      </c>
      <c r="H134" s="101">
        <f>+H5+H6+H7+H8+H9+H10+H12+H13+H14+H15+H16+H18+H22+H24+H27+H28+H29+H30+H31+H32+H33+H34+H35+H42+H43+H44+H45+H46+H47+H48+H50+H51+H52+H53+H54+H55+H59+H60+H64+H65+H66+H70+H71+H72+H73+H76+H79+H85+H86+H87+H89+H90+H91+H92+H93+H94+H95+H96+H97+H100+H101+H103+H104+H113+H116+H117+H118+H119+H122+H123+H124+H129+H131</f>
        <v>511705.40999999992</v>
      </c>
      <c r="I134" s="270" t="s">
        <v>674</v>
      </c>
      <c r="J134" s="101">
        <v>1459509.5</v>
      </c>
      <c r="K134" s="270" t="s">
        <v>675</v>
      </c>
      <c r="L134" s="102">
        <f>+L133</f>
        <v>1668664.66</v>
      </c>
      <c r="M134" s="270" t="s">
        <v>676</v>
      </c>
      <c r="N134" s="101">
        <f>+N133</f>
        <v>1794116.4999999986</v>
      </c>
      <c r="O134" s="270" t="s">
        <v>677</v>
      </c>
      <c r="P134" s="101">
        <f>+P133</f>
        <v>2566297.1100000003</v>
      </c>
      <c r="Q134" s="271" t="s">
        <v>679</v>
      </c>
      <c r="R134" s="101">
        <v>3872299.36</v>
      </c>
      <c r="S134" s="270" t="s">
        <v>678</v>
      </c>
      <c r="T134" s="272">
        <f>+H134+J134+L134+N134+P134+R134</f>
        <v>11872592.539999999</v>
      </c>
      <c r="U134" s="181"/>
      <c r="V134" s="294"/>
      <c r="W134" s="295"/>
      <c r="X134" s="296"/>
      <c r="Y134" s="297"/>
      <c r="Z134" s="288"/>
      <c r="AA134" s="299"/>
      <c r="AB134" s="300"/>
      <c r="AC134" s="300"/>
      <c r="AD134" s="301"/>
      <c r="AE134" s="301"/>
      <c r="AF134" s="301"/>
    </row>
    <row r="135" spans="1:32" ht="16" thickBot="1" x14ac:dyDescent="0.25">
      <c r="A135" s="353" t="s">
        <v>559</v>
      </c>
      <c r="B135" s="354"/>
      <c r="C135" s="354"/>
      <c r="D135" s="354"/>
      <c r="E135" s="103">
        <v>0</v>
      </c>
      <c r="F135" s="104">
        <v>289398.77</v>
      </c>
      <c r="G135" s="105" t="s">
        <v>557</v>
      </c>
      <c r="H135" s="106">
        <v>319242.99</v>
      </c>
      <c r="I135" s="105" t="s">
        <v>557</v>
      </c>
      <c r="J135" s="106">
        <f>1823970.48-J134</f>
        <v>364460.98</v>
      </c>
      <c r="K135" s="105" t="s">
        <v>557</v>
      </c>
      <c r="L135" s="107">
        <v>315030.62</v>
      </c>
      <c r="M135" s="105" t="s">
        <v>557</v>
      </c>
      <c r="N135" s="106">
        <v>311380.27</v>
      </c>
      <c r="O135" s="105" t="s">
        <v>557</v>
      </c>
      <c r="P135" s="106">
        <v>594591.21</v>
      </c>
      <c r="Q135" s="273" t="s">
        <v>557</v>
      </c>
      <c r="R135" s="106">
        <v>364226.27</v>
      </c>
      <c r="S135" s="105" t="s">
        <v>557</v>
      </c>
      <c r="T135" s="272">
        <f>+F135+H135+J135+L135+N135+P135+R135</f>
        <v>2558331.11</v>
      </c>
      <c r="U135" s="181"/>
      <c r="V135" s="294"/>
      <c r="W135" s="295"/>
      <c r="X135" s="296"/>
      <c r="Y135" s="297"/>
      <c r="Z135" s="302"/>
      <c r="AA135" s="299"/>
      <c r="AB135" s="300"/>
      <c r="AC135" s="300"/>
      <c r="AD135" s="301"/>
      <c r="AE135" s="301"/>
      <c r="AF135" s="301"/>
    </row>
    <row r="136" spans="1:32" ht="16" thickBot="1" x14ac:dyDescent="0.25">
      <c r="A136" s="355" t="s">
        <v>560</v>
      </c>
      <c r="B136" s="356"/>
      <c r="C136" s="356"/>
      <c r="D136" s="274"/>
      <c r="E136" s="103"/>
      <c r="F136" s="104" t="e">
        <f>+#REF!</f>
        <v>#REF!</v>
      </c>
      <c r="G136" s="108">
        <f>SUM(G5:G131)</f>
        <v>5092</v>
      </c>
      <c r="H136" s="106"/>
      <c r="I136" s="108">
        <f>SUM(I5:I135)</f>
        <v>17610</v>
      </c>
      <c r="J136" s="106"/>
      <c r="K136" s="108">
        <f>SUM(K5:K135)</f>
        <v>3882</v>
      </c>
      <c r="L136" s="107">
        <f>SUM(L5:L131)</f>
        <v>1668664.66</v>
      </c>
      <c r="M136" s="108">
        <f>SUM(M5:M135)</f>
        <v>3558</v>
      </c>
      <c r="N136" s="106"/>
      <c r="O136" s="108">
        <f>SUM(O5:O135)</f>
        <v>22320</v>
      </c>
      <c r="P136" s="106"/>
      <c r="Q136" s="275"/>
      <c r="R136" s="106"/>
      <c r="S136" s="108"/>
      <c r="T136" s="272">
        <f t="shared" ref="T136" si="32">+H136+J136+L136+N136+P136+R136</f>
        <v>1668664.66</v>
      </c>
      <c r="U136" s="116"/>
      <c r="V136" s="294"/>
      <c r="W136" s="295"/>
      <c r="X136" s="296"/>
      <c r="Y136" s="297"/>
      <c r="Z136" s="302"/>
      <c r="AA136" s="299"/>
      <c r="AB136" s="300"/>
      <c r="AC136" s="300"/>
      <c r="AD136" s="301"/>
      <c r="AE136" s="301"/>
      <c r="AF136" s="301"/>
    </row>
    <row r="137" spans="1:32" ht="19" thickBot="1" x14ac:dyDescent="0.25">
      <c r="A137" s="357" t="s">
        <v>556</v>
      </c>
      <c r="B137" s="358"/>
      <c r="C137" s="358"/>
      <c r="D137" s="358"/>
      <c r="E137" s="109">
        <v>0</v>
      </c>
      <c r="F137" s="110">
        <f>+F135</f>
        <v>289398.77</v>
      </c>
      <c r="G137" s="111">
        <f>SUM(G5:G131)</f>
        <v>5092</v>
      </c>
      <c r="H137" s="112">
        <f>+H134+H135</f>
        <v>830948.39999999991</v>
      </c>
      <c r="I137" s="111">
        <f>+I133</f>
        <v>8805</v>
      </c>
      <c r="J137" s="112">
        <f>+J135+J134</f>
        <v>1823970.48</v>
      </c>
      <c r="K137" s="111">
        <f>+K133</f>
        <v>1941</v>
      </c>
      <c r="L137" s="113">
        <f>+L135+L134</f>
        <v>1983695.2799999998</v>
      </c>
      <c r="M137" s="111">
        <f>+M133</f>
        <v>1779</v>
      </c>
      <c r="N137" s="112">
        <f>+N135+N134</f>
        <v>2105496.7699999986</v>
      </c>
      <c r="O137" s="111">
        <f>+O133</f>
        <v>11160</v>
      </c>
      <c r="P137" s="112">
        <f>+P135+P134</f>
        <v>3160888.3200000003</v>
      </c>
      <c r="Q137" s="109">
        <v>4899</v>
      </c>
      <c r="R137" s="112">
        <f>+R135+R134</f>
        <v>4236525.63</v>
      </c>
      <c r="S137" s="111">
        <f>+S133</f>
        <v>33556</v>
      </c>
      <c r="T137" s="272">
        <f>+F137+H137+J137+L137+N137+P137+R137</f>
        <v>14430923.649999999</v>
      </c>
      <c r="U137" s="181"/>
      <c r="V137" s="294"/>
      <c r="W137" s="295"/>
      <c r="X137" s="296"/>
      <c r="Y137" s="296"/>
      <c r="Z137" s="302"/>
      <c r="AA137" s="299"/>
      <c r="AB137" s="300"/>
      <c r="AC137" s="300"/>
      <c r="AD137" s="301"/>
      <c r="AE137" s="301"/>
      <c r="AF137" s="301"/>
    </row>
    <row r="138" spans="1:32" x14ac:dyDescent="0.2">
      <c r="A138" s="85"/>
      <c r="B138" s="85"/>
      <c r="C138" s="85"/>
      <c r="D138" s="85"/>
      <c r="E138" s="114"/>
      <c r="F138" s="85"/>
      <c r="G138" s="94"/>
      <c r="H138" s="115"/>
      <c r="I138" s="94"/>
      <c r="J138" s="115"/>
      <c r="K138" s="94"/>
      <c r="L138" s="115"/>
      <c r="M138" s="94"/>
      <c r="N138" s="115"/>
      <c r="O138" s="115"/>
      <c r="P138" s="115"/>
      <c r="Q138" s="249"/>
      <c r="R138" s="115"/>
      <c r="S138" s="94"/>
      <c r="T138" s="85"/>
      <c r="U138" s="85"/>
      <c r="V138" s="289"/>
      <c r="W138" s="277"/>
      <c r="X138" s="278"/>
      <c r="Y138" s="278"/>
      <c r="Z138" s="277"/>
      <c r="AA138" s="280"/>
      <c r="AB138" s="281"/>
      <c r="AC138" s="281"/>
      <c r="AD138" s="276"/>
      <c r="AE138" s="276"/>
      <c r="AF138" s="276"/>
    </row>
    <row r="139" spans="1:32" x14ac:dyDescent="0.2">
      <c r="A139" s="85"/>
      <c r="B139" s="85"/>
      <c r="C139" s="85"/>
      <c r="D139" s="85"/>
      <c r="E139" s="114"/>
      <c r="F139" s="85"/>
      <c r="G139" s="94"/>
      <c r="H139" s="115"/>
      <c r="I139" s="94"/>
      <c r="J139" s="115"/>
      <c r="K139" s="94"/>
      <c r="L139" s="115"/>
      <c r="M139" s="94"/>
      <c r="N139" s="115"/>
      <c r="O139" s="115"/>
      <c r="P139" s="115"/>
      <c r="Q139" s="249"/>
      <c r="R139" s="115"/>
      <c r="S139" s="94"/>
      <c r="T139" s="116"/>
      <c r="U139" s="116"/>
      <c r="V139" s="276"/>
      <c r="W139" s="277"/>
      <c r="X139" s="278"/>
      <c r="Y139" s="278"/>
      <c r="Z139" s="277"/>
      <c r="AA139" s="280"/>
      <c r="AB139" s="281"/>
      <c r="AC139" s="281"/>
      <c r="AD139" s="276"/>
      <c r="AE139" s="276"/>
      <c r="AF139" s="276"/>
    </row>
    <row r="140" spans="1:32" x14ac:dyDescent="0.2">
      <c r="A140" s="85"/>
      <c r="B140" s="85"/>
      <c r="C140" s="85"/>
      <c r="D140" s="85"/>
      <c r="E140" s="114"/>
      <c r="F140" s="303">
        <v>289398.77</v>
      </c>
      <c r="G140" s="94"/>
      <c r="H140" s="115">
        <v>830948.4</v>
      </c>
      <c r="I140" s="94"/>
      <c r="J140" s="115">
        <v>1823970.48</v>
      </c>
      <c r="K140" s="94"/>
      <c r="L140" s="115">
        <v>1983695.28</v>
      </c>
      <c r="M140" s="94"/>
      <c r="N140" s="303">
        <v>2105496.77</v>
      </c>
      <c r="O140" s="115"/>
      <c r="P140" s="303">
        <v>3160888.32</v>
      </c>
      <c r="Q140" s="304"/>
      <c r="R140" s="303">
        <v>4236525.63</v>
      </c>
      <c r="S140" s="94"/>
      <c r="T140" s="305">
        <f>SUM(F140:R140)</f>
        <v>14430923.649999999</v>
      </c>
      <c r="U140" s="115"/>
      <c r="V140" s="276"/>
      <c r="W140" s="306"/>
      <c r="X140" s="307"/>
      <c r="Y140" s="307"/>
      <c r="Z140" s="306"/>
      <c r="AA140" s="281"/>
      <c r="AB140" s="281"/>
      <c r="AC140" s="281"/>
      <c r="AD140" s="276"/>
      <c r="AE140" s="276"/>
      <c r="AF140" s="276"/>
    </row>
    <row r="141" spans="1:32" x14ac:dyDescent="0.2">
      <c r="A141" s="85"/>
      <c r="B141" s="85"/>
      <c r="C141" s="85"/>
      <c r="D141" s="85"/>
      <c r="E141" s="114"/>
      <c r="F141" s="85"/>
      <c r="G141" s="94"/>
      <c r="H141" s="115"/>
      <c r="I141" s="94"/>
      <c r="J141" s="115"/>
      <c r="K141" s="94"/>
      <c r="L141" s="115"/>
      <c r="M141" s="94"/>
      <c r="N141" s="115"/>
      <c r="O141" s="115"/>
      <c r="P141" s="115"/>
      <c r="Q141" s="249"/>
      <c r="R141" s="115"/>
      <c r="S141" s="94"/>
      <c r="T141" s="303"/>
      <c r="U141" s="85"/>
      <c r="V141" s="276"/>
      <c r="W141" s="277"/>
      <c r="X141" s="278"/>
      <c r="Y141" s="278"/>
      <c r="Z141" s="277"/>
      <c r="AA141" s="280"/>
      <c r="AB141" s="281"/>
      <c r="AC141" s="281"/>
      <c r="AD141" s="276"/>
      <c r="AE141" s="276"/>
      <c r="AF141" s="276"/>
    </row>
    <row r="142" spans="1:32" x14ac:dyDescent="0.2">
      <c r="A142" s="85"/>
      <c r="B142" s="85"/>
      <c r="C142" s="85"/>
      <c r="D142" s="85"/>
      <c r="E142" s="114"/>
      <c r="F142" s="85"/>
      <c r="G142" s="94"/>
      <c r="H142" s="115"/>
      <c r="I142" s="94"/>
      <c r="J142" s="115"/>
      <c r="K142" s="94"/>
      <c r="L142" s="115"/>
      <c r="M142" s="94"/>
      <c r="N142" s="115"/>
      <c r="O142" s="115"/>
      <c r="P142" s="115"/>
      <c r="Q142" s="249"/>
      <c r="R142" s="115"/>
      <c r="S142" s="94"/>
      <c r="T142" s="85"/>
      <c r="U142" s="85"/>
      <c r="V142" s="276"/>
      <c r="W142" s="277"/>
      <c r="X142" s="278"/>
      <c r="Y142" s="278"/>
      <c r="Z142" s="279"/>
      <c r="AA142" s="280"/>
      <c r="AB142" s="281"/>
      <c r="AC142" s="281"/>
      <c r="AD142" s="276"/>
      <c r="AE142" s="276"/>
      <c r="AF142" s="276"/>
    </row>
    <row r="143" spans="1:32" x14ac:dyDescent="0.2">
      <c r="A143" s="85"/>
      <c r="B143" s="85"/>
      <c r="C143" s="85"/>
      <c r="D143" s="85"/>
      <c r="E143" s="114"/>
      <c r="F143" s="284"/>
      <c r="G143" s="94"/>
      <c r="H143" s="115"/>
      <c r="I143" s="94"/>
      <c r="J143" s="115"/>
      <c r="K143" s="94"/>
      <c r="L143" s="115"/>
      <c r="M143" s="94"/>
      <c r="N143" s="308"/>
      <c r="O143" s="115"/>
      <c r="P143" s="115">
        <f>+S134-33556</f>
        <v>0</v>
      </c>
      <c r="Q143" s="249"/>
      <c r="R143" s="115"/>
      <c r="S143" s="94"/>
      <c r="T143" s="115"/>
      <c r="U143" s="85"/>
      <c r="V143" s="276"/>
      <c r="W143" s="277"/>
      <c r="X143" s="278"/>
      <c r="Y143" s="278"/>
      <c r="Z143" s="279"/>
      <c r="AA143" s="280"/>
      <c r="AB143" s="281"/>
      <c r="AC143" s="281"/>
      <c r="AD143" s="276"/>
      <c r="AE143" s="276"/>
      <c r="AF143" s="276"/>
    </row>
    <row r="144" spans="1:32" x14ac:dyDescent="0.2">
      <c r="A144" s="85"/>
      <c r="B144" s="85"/>
      <c r="C144" s="85"/>
      <c r="D144" s="85"/>
      <c r="E144" s="114"/>
      <c r="F144" s="85"/>
      <c r="G144" s="94"/>
      <c r="H144" s="115"/>
      <c r="I144" s="94"/>
      <c r="J144" s="115"/>
      <c r="K144" s="94"/>
      <c r="L144" s="115"/>
      <c r="M144" s="94"/>
      <c r="N144" s="115"/>
      <c r="O144" s="115"/>
      <c r="P144" s="115"/>
      <c r="Q144" s="249"/>
      <c r="R144" s="115"/>
      <c r="S144" s="94"/>
      <c r="T144" s="115"/>
      <c r="U144" s="85"/>
      <c r="V144" s="276"/>
      <c r="W144" s="277"/>
      <c r="X144" s="278"/>
      <c r="Y144" s="278"/>
      <c r="Z144" s="279"/>
      <c r="AA144" s="280"/>
      <c r="AB144" s="281"/>
      <c r="AC144" s="281"/>
      <c r="AD144" s="276"/>
      <c r="AE144" s="276"/>
      <c r="AF144" s="276"/>
    </row>
    <row r="145" spans="1:32" x14ac:dyDescent="0.2">
      <c r="A145" s="85"/>
      <c r="B145" s="85"/>
      <c r="C145" s="85"/>
      <c r="D145" s="85"/>
      <c r="F145" s="309"/>
      <c r="G145" s="310"/>
      <c r="H145" s="115"/>
      <c r="I145" s="94"/>
      <c r="J145" s="115"/>
      <c r="K145" s="94"/>
      <c r="L145" s="115"/>
      <c r="M145" s="94"/>
      <c r="N145" s="115"/>
      <c r="O145" s="115"/>
      <c r="P145" s="308"/>
      <c r="Q145" s="311"/>
      <c r="R145" s="308"/>
      <c r="S145" s="94"/>
      <c r="T145" s="85"/>
      <c r="U145" s="85"/>
      <c r="V145" s="276"/>
      <c r="W145" s="277"/>
      <c r="X145" s="278"/>
      <c r="Y145" s="278"/>
      <c r="Z145" s="279"/>
      <c r="AA145" s="280"/>
      <c r="AB145" s="281"/>
      <c r="AC145" s="281"/>
      <c r="AD145" s="276"/>
      <c r="AE145" s="276"/>
      <c r="AF145" s="276"/>
    </row>
    <row r="146" spans="1:32" x14ac:dyDescent="0.2">
      <c r="A146" s="85"/>
      <c r="B146" s="85"/>
      <c r="C146" s="85"/>
      <c r="D146" s="85"/>
      <c r="F146" s="359"/>
      <c r="G146" s="359"/>
      <c r="H146" s="360"/>
      <c r="I146" s="360"/>
      <c r="J146" s="115"/>
      <c r="K146" s="94"/>
      <c r="L146" s="115"/>
      <c r="M146" s="94"/>
      <c r="N146" s="115"/>
      <c r="O146" s="115"/>
      <c r="P146" s="308"/>
      <c r="Q146" s="311"/>
      <c r="R146" s="308"/>
      <c r="S146" s="94"/>
      <c r="T146" s="85"/>
      <c r="U146" s="85"/>
      <c r="V146" s="276"/>
      <c r="W146" s="277"/>
      <c r="X146" s="278"/>
      <c r="Y146" s="278"/>
      <c r="Z146" s="279"/>
      <c r="AA146" s="280"/>
      <c r="AB146" s="281"/>
      <c r="AC146" s="281"/>
      <c r="AD146" s="276"/>
      <c r="AE146" s="276"/>
      <c r="AF146" s="276"/>
    </row>
  </sheetData>
  <mergeCells count="44">
    <mergeCell ref="A2:T2"/>
    <mergeCell ref="A3:A4"/>
    <mergeCell ref="B3:B4"/>
    <mergeCell ref="C3:C4"/>
    <mergeCell ref="D3:D4"/>
    <mergeCell ref="E3:F3"/>
    <mergeCell ref="G3:H3"/>
    <mergeCell ref="I3:J3"/>
    <mergeCell ref="K3:L3"/>
    <mergeCell ref="M3:N3"/>
    <mergeCell ref="O3:P3"/>
    <mergeCell ref="Q3:R3"/>
    <mergeCell ref="S3:T3"/>
    <mergeCell ref="V3:W3"/>
    <mergeCell ref="B5:B11"/>
    <mergeCell ref="D5:D132"/>
    <mergeCell ref="B12:B15"/>
    <mergeCell ref="B16:B21"/>
    <mergeCell ref="B22:B26"/>
    <mergeCell ref="B27:B31"/>
    <mergeCell ref="B101:B103"/>
    <mergeCell ref="B32:B41"/>
    <mergeCell ref="B42:B49"/>
    <mergeCell ref="B50:B52"/>
    <mergeCell ref="B53:B58"/>
    <mergeCell ref="B59:B64"/>
    <mergeCell ref="B65:B70"/>
    <mergeCell ref="B71:B76"/>
    <mergeCell ref="B77:B84"/>
    <mergeCell ref="B85:B89"/>
    <mergeCell ref="B90:B94"/>
    <mergeCell ref="B95:B100"/>
    <mergeCell ref="H146:I146"/>
    <mergeCell ref="B104:B108"/>
    <mergeCell ref="B109:B114"/>
    <mergeCell ref="B115:B121"/>
    <mergeCell ref="B122:B128"/>
    <mergeCell ref="B129:B132"/>
    <mergeCell ref="A133:D133"/>
    <mergeCell ref="A134:D134"/>
    <mergeCell ref="A135:D135"/>
    <mergeCell ref="A136:C136"/>
    <mergeCell ref="A137:D137"/>
    <mergeCell ref="F146:G14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5286D-E3A6-F240-B01B-52B133F0A22F}">
  <dimension ref="A1:Y35"/>
  <sheetViews>
    <sheetView topLeftCell="G1" workbookViewId="0">
      <selection activeCell="X26" sqref="X26"/>
    </sheetView>
  </sheetViews>
  <sheetFormatPr baseColWidth="10" defaultRowHeight="15" x14ac:dyDescent="0.2"/>
  <cols>
    <col min="17" max="17" width="13.1640625" bestFit="1" customWidth="1"/>
    <col min="24" max="24" width="13.5" bestFit="1" customWidth="1"/>
  </cols>
  <sheetData>
    <row r="1" spans="1:25" x14ac:dyDescent="0.2"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76"/>
    </row>
    <row r="2" spans="1:25" x14ac:dyDescent="0.2">
      <c r="C2" s="376" t="s">
        <v>561</v>
      </c>
      <c r="D2" s="376"/>
      <c r="E2" s="376"/>
      <c r="F2" s="376"/>
      <c r="G2" s="376"/>
      <c r="H2" s="376"/>
      <c r="I2" s="376"/>
      <c r="J2" s="376"/>
      <c r="K2" s="376"/>
      <c r="L2" s="376"/>
      <c r="M2" s="376"/>
      <c r="N2" s="376"/>
      <c r="O2" s="376"/>
      <c r="P2" s="376"/>
      <c r="Q2" s="376"/>
      <c r="R2" s="376"/>
      <c r="S2" s="376"/>
      <c r="T2" s="376"/>
      <c r="U2" s="376"/>
      <c r="V2" s="376"/>
      <c r="W2" s="376"/>
      <c r="X2" s="376"/>
    </row>
    <row r="3" spans="1:25" x14ac:dyDescent="0.2">
      <c r="C3" s="376" t="s">
        <v>562</v>
      </c>
      <c r="D3" s="376"/>
      <c r="E3" s="376"/>
      <c r="F3" s="376"/>
      <c r="G3" s="376"/>
      <c r="H3" s="376"/>
      <c r="I3" s="376"/>
      <c r="J3" s="376"/>
      <c r="K3" s="376"/>
      <c r="L3" s="376"/>
      <c r="M3" s="376"/>
      <c r="N3" s="376"/>
      <c r="O3" s="376"/>
      <c r="P3" s="376"/>
      <c r="Q3" s="376"/>
      <c r="R3" s="376"/>
      <c r="S3" s="376"/>
      <c r="T3" s="376"/>
      <c r="U3" s="376"/>
      <c r="V3" s="376"/>
      <c r="W3" s="376"/>
      <c r="X3" s="376"/>
    </row>
    <row r="4" spans="1:25" x14ac:dyDescent="0.2">
      <c r="C4" s="376" t="s">
        <v>563</v>
      </c>
      <c r="D4" s="376"/>
      <c r="E4" s="376"/>
      <c r="F4" s="376"/>
      <c r="G4" s="376"/>
      <c r="H4" s="376"/>
      <c r="I4" s="376"/>
      <c r="J4" s="376"/>
      <c r="K4" s="376"/>
      <c r="L4" s="376"/>
      <c r="M4" s="376"/>
      <c r="N4" s="376"/>
      <c r="O4" s="376"/>
      <c r="P4" s="376"/>
      <c r="Q4" s="376"/>
      <c r="R4" s="376"/>
      <c r="S4" s="376"/>
      <c r="T4" s="376"/>
      <c r="U4" s="376"/>
      <c r="V4" s="376"/>
      <c r="W4" s="376"/>
      <c r="X4" s="376"/>
    </row>
    <row r="5" spans="1:25" x14ac:dyDescent="0.2">
      <c r="C5" s="376" t="s">
        <v>564</v>
      </c>
      <c r="D5" s="376"/>
      <c r="E5" s="376"/>
      <c r="F5" s="376"/>
      <c r="G5" s="376"/>
      <c r="H5" s="376"/>
      <c r="I5" s="376"/>
      <c r="J5" s="376"/>
      <c r="K5" s="376"/>
      <c r="L5" s="376"/>
      <c r="M5" s="376"/>
      <c r="N5" s="376"/>
      <c r="O5" s="376"/>
      <c r="P5" s="376"/>
      <c r="Q5" s="376"/>
      <c r="R5" s="376"/>
      <c r="S5" s="376"/>
      <c r="T5" s="376"/>
      <c r="U5" s="376"/>
      <c r="V5" s="376"/>
      <c r="W5" s="376"/>
      <c r="X5" s="376"/>
    </row>
    <row r="6" spans="1:25" ht="16" thickBot="1" x14ac:dyDescent="0.25">
      <c r="C6" s="118"/>
      <c r="D6" s="118"/>
      <c r="E6" s="118"/>
      <c r="F6" s="118"/>
      <c r="G6" s="118"/>
      <c r="H6" s="118"/>
      <c r="I6" s="118"/>
      <c r="J6" s="118"/>
      <c r="K6" s="118"/>
      <c r="L6" s="118"/>
      <c r="M6" s="118"/>
      <c r="N6" s="118"/>
      <c r="O6" s="118"/>
      <c r="P6" s="118"/>
      <c r="Q6" s="118"/>
      <c r="R6" s="118"/>
      <c r="S6" s="118"/>
      <c r="T6" s="118"/>
      <c r="U6" s="118"/>
      <c r="V6" s="118"/>
      <c r="W6" s="118"/>
      <c r="X6" s="118"/>
    </row>
    <row r="7" spans="1:25" ht="16" thickBot="1" x14ac:dyDescent="0.25">
      <c r="G7" s="119" t="s">
        <v>565</v>
      </c>
      <c r="H7" s="120" t="s">
        <v>566</v>
      </c>
      <c r="I7" s="377" t="s">
        <v>567</v>
      </c>
      <c r="J7" s="378"/>
      <c r="K7" s="379" t="s">
        <v>568</v>
      </c>
      <c r="L7" s="380"/>
      <c r="M7" s="381"/>
      <c r="N7" s="382" t="s">
        <v>569</v>
      </c>
      <c r="O7" s="383"/>
      <c r="P7" s="235" t="s">
        <v>570</v>
      </c>
      <c r="Q7" s="236" t="s">
        <v>661</v>
      </c>
      <c r="R7" s="237"/>
      <c r="S7" s="121"/>
      <c r="T7" s="121"/>
      <c r="U7" s="121"/>
      <c r="V7" s="122"/>
    </row>
    <row r="8" spans="1:25" ht="65" thickBot="1" x14ac:dyDescent="0.25">
      <c r="A8" s="133"/>
      <c r="B8" s="133"/>
      <c r="C8" s="123" t="s">
        <v>571</v>
      </c>
      <c r="D8" s="124" t="s">
        <v>572</v>
      </c>
      <c r="E8" s="124" t="s">
        <v>573</v>
      </c>
      <c r="F8" s="125" t="s">
        <v>574</v>
      </c>
      <c r="G8" s="126"/>
      <c r="H8" s="127"/>
      <c r="I8" s="128" t="s">
        <v>575</v>
      </c>
      <c r="J8" s="129" t="s">
        <v>576</v>
      </c>
      <c r="K8" s="128" t="s">
        <v>577</v>
      </c>
      <c r="L8" s="126" t="s">
        <v>578</v>
      </c>
      <c r="M8" s="129" t="s">
        <v>579</v>
      </c>
      <c r="N8" s="128" t="s">
        <v>580</v>
      </c>
      <c r="O8" s="130" t="s">
        <v>581</v>
      </c>
      <c r="P8" s="238" t="s">
        <v>582</v>
      </c>
      <c r="Q8" s="239" t="s">
        <v>662</v>
      </c>
      <c r="R8" s="238" t="s">
        <v>583</v>
      </c>
      <c r="S8" s="127" t="s">
        <v>584</v>
      </c>
      <c r="T8" s="127" t="s">
        <v>585</v>
      </c>
      <c r="U8" s="127" t="s">
        <v>586</v>
      </c>
      <c r="V8" s="126" t="s">
        <v>587</v>
      </c>
      <c r="W8" s="131" t="s">
        <v>588</v>
      </c>
      <c r="X8" s="132" t="s">
        <v>589</v>
      </c>
      <c r="Y8" s="133"/>
    </row>
    <row r="9" spans="1:25" x14ac:dyDescent="0.2">
      <c r="C9" s="134">
        <v>1</v>
      </c>
      <c r="D9" s="373" t="s">
        <v>100</v>
      </c>
      <c r="E9" s="135" t="s">
        <v>100</v>
      </c>
      <c r="F9" s="136" t="s">
        <v>590</v>
      </c>
      <c r="G9" s="137">
        <v>0</v>
      </c>
      <c r="H9" s="138">
        <v>0</v>
      </c>
      <c r="I9" s="139">
        <v>4327</v>
      </c>
      <c r="J9" s="140">
        <v>4327</v>
      </c>
      <c r="K9" s="139">
        <v>7792</v>
      </c>
      <c r="L9" s="137">
        <v>7792</v>
      </c>
      <c r="M9" s="140"/>
      <c r="N9" s="139">
        <v>7782</v>
      </c>
      <c r="O9" s="141">
        <v>7770</v>
      </c>
      <c r="P9" s="240">
        <v>8530</v>
      </c>
      <c r="Q9" s="241">
        <v>10208</v>
      </c>
      <c r="R9" s="240"/>
      <c r="S9" s="143"/>
      <c r="T9" s="143"/>
      <c r="U9" s="143"/>
      <c r="V9" s="144"/>
      <c r="W9" s="142">
        <f t="shared" ref="W9:W25" si="0">SUM(H9:V9)</f>
        <v>58528</v>
      </c>
      <c r="X9" s="145">
        <f>+W9*325</f>
        <v>19021600</v>
      </c>
    </row>
    <row r="10" spans="1:25" x14ac:dyDescent="0.2">
      <c r="C10" s="146">
        <v>2</v>
      </c>
      <c r="D10" s="373"/>
      <c r="E10" s="24" t="s">
        <v>114</v>
      </c>
      <c r="F10" s="19" t="s">
        <v>591</v>
      </c>
      <c r="G10" s="137">
        <v>0</v>
      </c>
      <c r="H10" s="138">
        <v>0</v>
      </c>
      <c r="I10" s="139">
        <v>577</v>
      </c>
      <c r="J10" s="140">
        <v>577</v>
      </c>
      <c r="K10" s="139">
        <v>595</v>
      </c>
      <c r="L10" s="137">
        <v>595</v>
      </c>
      <c r="M10" s="140"/>
      <c r="N10" s="139">
        <v>603</v>
      </c>
      <c r="O10" s="141">
        <v>599</v>
      </c>
      <c r="P10" s="242">
        <v>609</v>
      </c>
      <c r="Q10" s="243">
        <v>597</v>
      </c>
      <c r="R10" s="240"/>
      <c r="S10" s="143"/>
      <c r="T10" s="143"/>
      <c r="U10" s="143"/>
      <c r="V10" s="147"/>
      <c r="W10" s="142">
        <f t="shared" si="0"/>
        <v>4752</v>
      </c>
      <c r="X10" s="145">
        <f t="shared" ref="X10:X25" si="1">+W10*325</f>
        <v>1544400</v>
      </c>
    </row>
    <row r="11" spans="1:25" x14ac:dyDescent="0.2">
      <c r="C11" s="146">
        <v>3</v>
      </c>
      <c r="D11" s="373"/>
      <c r="E11" s="24" t="s">
        <v>108</v>
      </c>
      <c r="F11" s="19" t="s">
        <v>592</v>
      </c>
      <c r="G11" s="137">
        <v>0</v>
      </c>
      <c r="H11" s="138">
        <v>0</v>
      </c>
      <c r="I11" s="139">
        <v>758</v>
      </c>
      <c r="J11" s="140">
        <v>758</v>
      </c>
      <c r="K11" s="139">
        <v>769</v>
      </c>
      <c r="L11" s="137">
        <v>769</v>
      </c>
      <c r="M11" s="140"/>
      <c r="N11" s="139">
        <v>774</v>
      </c>
      <c r="O11" s="141">
        <v>767</v>
      </c>
      <c r="P11" s="242">
        <v>781</v>
      </c>
      <c r="Q11" s="243">
        <v>760</v>
      </c>
      <c r="R11" s="240"/>
      <c r="S11" s="143"/>
      <c r="T11" s="143"/>
      <c r="U11" s="143"/>
      <c r="V11" s="147"/>
      <c r="W11" s="142">
        <f t="shared" si="0"/>
        <v>6136</v>
      </c>
      <c r="X11" s="145">
        <f t="shared" si="1"/>
        <v>1994200</v>
      </c>
    </row>
    <row r="12" spans="1:25" x14ac:dyDescent="0.2">
      <c r="C12" s="146">
        <v>4</v>
      </c>
      <c r="D12" s="373"/>
      <c r="E12" s="24" t="s">
        <v>107</v>
      </c>
      <c r="F12" s="19" t="s">
        <v>593</v>
      </c>
      <c r="G12" s="137">
        <v>0</v>
      </c>
      <c r="H12" s="138">
        <v>0</v>
      </c>
      <c r="I12" s="139">
        <v>222</v>
      </c>
      <c r="J12" s="140">
        <v>222</v>
      </c>
      <c r="K12" s="139">
        <v>226</v>
      </c>
      <c r="L12" s="137">
        <v>226</v>
      </c>
      <c r="M12" s="140">
        <v>226</v>
      </c>
      <c r="N12" s="139">
        <v>0</v>
      </c>
      <c r="O12" s="141">
        <v>223</v>
      </c>
      <c r="P12" s="242">
        <v>228</v>
      </c>
      <c r="Q12" s="243">
        <v>226</v>
      </c>
      <c r="R12" s="240"/>
      <c r="S12" s="143"/>
      <c r="T12" s="143"/>
      <c r="U12" s="143"/>
      <c r="V12" s="147"/>
      <c r="W12" s="142">
        <f t="shared" si="0"/>
        <v>1799</v>
      </c>
      <c r="X12" s="145">
        <f t="shared" si="1"/>
        <v>584675</v>
      </c>
    </row>
    <row r="13" spans="1:25" x14ac:dyDescent="0.2">
      <c r="C13" s="146">
        <v>5</v>
      </c>
      <c r="D13" s="373"/>
      <c r="E13" s="24" t="s">
        <v>106</v>
      </c>
      <c r="F13" s="19" t="s">
        <v>594</v>
      </c>
      <c r="G13" s="137">
        <v>0</v>
      </c>
      <c r="H13" s="138">
        <v>0</v>
      </c>
      <c r="I13" s="139">
        <v>3028</v>
      </c>
      <c r="J13" s="140">
        <v>3028</v>
      </c>
      <c r="K13" s="139">
        <v>3067</v>
      </c>
      <c r="L13" s="137">
        <v>3067</v>
      </c>
      <c r="M13" s="140"/>
      <c r="N13" s="139">
        <v>3077</v>
      </c>
      <c r="O13" s="141">
        <v>3063</v>
      </c>
      <c r="P13" s="242">
        <v>3083</v>
      </c>
      <c r="Q13" s="243">
        <v>3050</v>
      </c>
      <c r="R13" s="240"/>
      <c r="S13" s="143"/>
      <c r="T13" s="143"/>
      <c r="U13" s="143"/>
      <c r="V13" s="147"/>
      <c r="W13" s="142">
        <f t="shared" si="0"/>
        <v>24463</v>
      </c>
      <c r="X13" s="145">
        <f t="shared" si="1"/>
        <v>7950475</v>
      </c>
    </row>
    <row r="14" spans="1:25" x14ac:dyDescent="0.2">
      <c r="C14" s="146">
        <v>6</v>
      </c>
      <c r="D14" s="373"/>
      <c r="E14" s="24" t="s">
        <v>102</v>
      </c>
      <c r="F14" s="19" t="s">
        <v>595</v>
      </c>
      <c r="G14" s="137">
        <v>0</v>
      </c>
      <c r="H14" s="138">
        <v>0</v>
      </c>
      <c r="I14" s="139">
        <v>2694</v>
      </c>
      <c r="J14" s="140">
        <v>2694</v>
      </c>
      <c r="K14" s="139">
        <v>2726</v>
      </c>
      <c r="L14" s="137">
        <v>2726</v>
      </c>
      <c r="M14" s="140"/>
      <c r="N14" s="139">
        <v>2741</v>
      </c>
      <c r="O14" s="141">
        <v>2731</v>
      </c>
      <c r="P14" s="242">
        <v>2743</v>
      </c>
      <c r="Q14" s="243">
        <v>2702</v>
      </c>
      <c r="R14" s="240"/>
      <c r="S14" s="143"/>
      <c r="T14" s="143"/>
      <c r="U14" s="143"/>
      <c r="V14" s="147"/>
      <c r="W14" s="142">
        <f t="shared" si="0"/>
        <v>21757</v>
      </c>
      <c r="X14" s="145">
        <f t="shared" si="1"/>
        <v>7071025</v>
      </c>
    </row>
    <row r="15" spans="1:25" x14ac:dyDescent="0.2">
      <c r="C15" s="146">
        <v>7</v>
      </c>
      <c r="D15" s="373"/>
      <c r="E15" s="24" t="s">
        <v>111</v>
      </c>
      <c r="F15" s="19" t="s">
        <v>596</v>
      </c>
      <c r="G15" s="137">
        <v>0</v>
      </c>
      <c r="H15" s="138">
        <v>0</v>
      </c>
      <c r="I15" s="139">
        <v>2893</v>
      </c>
      <c r="J15" s="140">
        <v>2893</v>
      </c>
      <c r="K15" s="139">
        <v>2924</v>
      </c>
      <c r="L15" s="137">
        <v>2924</v>
      </c>
      <c r="M15" s="140"/>
      <c r="N15" s="139">
        <v>2926</v>
      </c>
      <c r="O15" s="141">
        <v>2921</v>
      </c>
      <c r="P15" s="242">
        <v>2933</v>
      </c>
      <c r="Q15" s="243">
        <v>2867</v>
      </c>
      <c r="R15" s="240"/>
      <c r="S15" s="143"/>
      <c r="T15" s="143"/>
      <c r="U15" s="143"/>
      <c r="V15" s="147"/>
      <c r="W15" s="142">
        <f t="shared" si="0"/>
        <v>23281</v>
      </c>
      <c r="X15" s="145">
        <f t="shared" si="1"/>
        <v>7566325</v>
      </c>
    </row>
    <row r="16" spans="1:25" x14ac:dyDescent="0.2">
      <c r="C16" s="146">
        <v>8</v>
      </c>
      <c r="D16" s="373"/>
      <c r="E16" s="24" t="s">
        <v>105</v>
      </c>
      <c r="F16" s="19" t="s">
        <v>597</v>
      </c>
      <c r="G16" s="137">
        <v>0</v>
      </c>
      <c r="H16" s="138">
        <v>0</v>
      </c>
      <c r="I16" s="139">
        <v>3942</v>
      </c>
      <c r="J16" s="140">
        <v>3942</v>
      </c>
      <c r="K16" s="139">
        <v>3996</v>
      </c>
      <c r="L16" s="137">
        <v>3996</v>
      </c>
      <c r="M16" s="140"/>
      <c r="N16" s="139">
        <v>4004</v>
      </c>
      <c r="O16" s="141">
        <v>3993</v>
      </c>
      <c r="P16" s="242">
        <v>4005</v>
      </c>
      <c r="Q16" s="243">
        <v>3933</v>
      </c>
      <c r="R16" s="240"/>
      <c r="S16" s="143"/>
      <c r="T16" s="143"/>
      <c r="U16" s="143"/>
      <c r="V16" s="147"/>
      <c r="W16" s="142">
        <f t="shared" si="0"/>
        <v>31811</v>
      </c>
      <c r="X16" s="145">
        <f t="shared" si="1"/>
        <v>10338575</v>
      </c>
    </row>
    <row r="17" spans="3:24" x14ac:dyDescent="0.2">
      <c r="C17" s="146">
        <v>9</v>
      </c>
      <c r="D17" s="373"/>
      <c r="E17" s="24" t="s">
        <v>112</v>
      </c>
      <c r="F17" s="19" t="s">
        <v>598</v>
      </c>
      <c r="G17" s="137">
        <v>0</v>
      </c>
      <c r="H17" s="138">
        <v>0</v>
      </c>
      <c r="I17" s="139">
        <v>2567</v>
      </c>
      <c r="J17" s="140">
        <v>2567</v>
      </c>
      <c r="K17" s="139">
        <v>2583</v>
      </c>
      <c r="L17" s="137">
        <v>2583</v>
      </c>
      <c r="M17" s="140"/>
      <c r="N17" s="139">
        <v>2582</v>
      </c>
      <c r="O17" s="141">
        <v>2571</v>
      </c>
      <c r="P17" s="242">
        <v>2589</v>
      </c>
      <c r="Q17" s="243">
        <v>3532</v>
      </c>
      <c r="R17" s="240"/>
      <c r="S17" s="143"/>
      <c r="T17" s="143"/>
      <c r="U17" s="143"/>
      <c r="V17" s="147"/>
      <c r="W17" s="142">
        <f t="shared" si="0"/>
        <v>21574</v>
      </c>
      <c r="X17" s="145">
        <f t="shared" si="1"/>
        <v>7011550</v>
      </c>
    </row>
    <row r="18" spans="3:24" x14ac:dyDescent="0.2">
      <c r="C18" s="146">
        <v>10</v>
      </c>
      <c r="D18" s="373"/>
      <c r="E18" s="24" t="s">
        <v>109</v>
      </c>
      <c r="F18" s="19" t="s">
        <v>599</v>
      </c>
      <c r="G18" s="137">
        <v>0</v>
      </c>
      <c r="H18" s="138">
        <v>0</v>
      </c>
      <c r="I18" s="139">
        <v>4923</v>
      </c>
      <c r="J18" s="140">
        <v>4923</v>
      </c>
      <c r="K18" s="139">
        <v>4991</v>
      </c>
      <c r="L18" s="137">
        <v>4991</v>
      </c>
      <c r="M18" s="140"/>
      <c r="N18" s="139">
        <v>5032</v>
      </c>
      <c r="O18" s="141">
        <v>5020</v>
      </c>
      <c r="P18" s="242">
        <v>5048</v>
      </c>
      <c r="Q18" s="243">
        <v>5003</v>
      </c>
      <c r="R18" s="240"/>
      <c r="S18" s="143"/>
      <c r="T18" s="143"/>
      <c r="U18" s="143"/>
      <c r="V18" s="147"/>
      <c r="W18" s="142">
        <f t="shared" si="0"/>
        <v>39931</v>
      </c>
      <c r="X18" s="145">
        <f t="shared" si="1"/>
        <v>12977575</v>
      </c>
    </row>
    <row r="19" spans="3:24" x14ac:dyDescent="0.2">
      <c r="C19" s="146">
        <v>11</v>
      </c>
      <c r="D19" s="373"/>
      <c r="E19" s="24" t="s">
        <v>113</v>
      </c>
      <c r="F19" s="19" t="s">
        <v>600</v>
      </c>
      <c r="G19" s="137">
        <v>0</v>
      </c>
      <c r="H19" s="138">
        <v>0</v>
      </c>
      <c r="I19" s="139">
        <v>2386</v>
      </c>
      <c r="J19" s="140">
        <v>2386</v>
      </c>
      <c r="K19" s="139">
        <v>2398</v>
      </c>
      <c r="L19" s="137">
        <v>2398</v>
      </c>
      <c r="M19" s="140"/>
      <c r="N19" s="139">
        <v>2403</v>
      </c>
      <c r="O19" s="141">
        <v>2396</v>
      </c>
      <c r="P19" s="242">
        <v>2410</v>
      </c>
      <c r="Q19" s="243">
        <v>2391</v>
      </c>
      <c r="R19" s="240"/>
      <c r="S19" s="143"/>
      <c r="T19" s="143"/>
      <c r="U19" s="143"/>
      <c r="V19" s="147"/>
      <c r="W19" s="142">
        <f t="shared" si="0"/>
        <v>19168</v>
      </c>
      <c r="X19" s="145">
        <f t="shared" si="1"/>
        <v>6229600</v>
      </c>
    </row>
    <row r="20" spans="3:24" x14ac:dyDescent="0.2">
      <c r="C20" s="146">
        <v>12</v>
      </c>
      <c r="D20" s="373"/>
      <c r="E20" s="24" t="s">
        <v>103</v>
      </c>
      <c r="F20" s="19" t="s">
        <v>601</v>
      </c>
      <c r="G20" s="137">
        <v>0</v>
      </c>
      <c r="H20" s="138">
        <v>0</v>
      </c>
      <c r="I20" s="139">
        <v>767</v>
      </c>
      <c r="J20" s="140">
        <v>767</v>
      </c>
      <c r="K20" s="139">
        <v>773</v>
      </c>
      <c r="L20" s="137">
        <v>773</v>
      </c>
      <c r="M20" s="140"/>
      <c r="N20" s="139">
        <v>773</v>
      </c>
      <c r="O20" s="141">
        <v>770</v>
      </c>
      <c r="P20" s="242">
        <v>780</v>
      </c>
      <c r="Q20" s="243">
        <v>762</v>
      </c>
      <c r="R20" s="240"/>
      <c r="S20" s="143"/>
      <c r="T20" s="143"/>
      <c r="U20" s="143"/>
      <c r="V20" s="147"/>
      <c r="W20" s="142">
        <f t="shared" si="0"/>
        <v>6165</v>
      </c>
      <c r="X20" s="145">
        <f t="shared" si="1"/>
        <v>2003625</v>
      </c>
    </row>
    <row r="21" spans="3:24" x14ac:dyDescent="0.2">
      <c r="C21" s="146">
        <v>13</v>
      </c>
      <c r="D21" s="373"/>
      <c r="E21" s="24" t="s">
        <v>104</v>
      </c>
      <c r="F21" s="19" t="s">
        <v>602</v>
      </c>
      <c r="G21" s="137">
        <v>0</v>
      </c>
      <c r="H21" s="138">
        <v>0</v>
      </c>
      <c r="I21" s="139">
        <v>774</v>
      </c>
      <c r="J21" s="140">
        <v>774</v>
      </c>
      <c r="K21" s="139">
        <v>797</v>
      </c>
      <c r="L21" s="137">
        <v>797</v>
      </c>
      <c r="M21" s="140">
        <v>797</v>
      </c>
      <c r="N21" s="139">
        <v>0</v>
      </c>
      <c r="O21" s="141">
        <v>785</v>
      </c>
      <c r="P21" s="242">
        <v>803</v>
      </c>
      <c r="Q21" s="243">
        <v>798</v>
      </c>
      <c r="R21" s="240"/>
      <c r="S21" s="143"/>
      <c r="T21" s="143"/>
      <c r="U21" s="143"/>
      <c r="V21" s="147"/>
      <c r="W21" s="142">
        <f t="shared" si="0"/>
        <v>6325</v>
      </c>
      <c r="X21" s="145">
        <f t="shared" si="1"/>
        <v>2055625</v>
      </c>
    </row>
    <row r="22" spans="3:24" x14ac:dyDescent="0.2">
      <c r="C22" s="146">
        <v>14</v>
      </c>
      <c r="D22" s="373"/>
      <c r="E22" s="24" t="s">
        <v>101</v>
      </c>
      <c r="F22" s="19" t="s">
        <v>603</v>
      </c>
      <c r="G22" s="137">
        <v>0</v>
      </c>
      <c r="H22" s="138">
        <v>0</v>
      </c>
      <c r="I22" s="139">
        <v>1982</v>
      </c>
      <c r="J22" s="140">
        <v>1982</v>
      </c>
      <c r="K22" s="139">
        <v>2010</v>
      </c>
      <c r="L22" s="137">
        <v>2010</v>
      </c>
      <c r="M22" s="140"/>
      <c r="N22" s="139">
        <v>2005</v>
      </c>
      <c r="O22" s="141">
        <v>2003</v>
      </c>
      <c r="P22" s="242">
        <v>2013</v>
      </c>
      <c r="Q22" s="243">
        <v>2003</v>
      </c>
      <c r="R22" s="240"/>
      <c r="S22" s="143"/>
      <c r="T22" s="143"/>
      <c r="U22" s="143"/>
      <c r="V22" s="147"/>
      <c r="W22" s="142">
        <f t="shared" si="0"/>
        <v>16008</v>
      </c>
      <c r="X22" s="145">
        <f t="shared" si="1"/>
        <v>5202600</v>
      </c>
    </row>
    <row r="23" spans="3:24" x14ac:dyDescent="0.2">
      <c r="C23" s="146">
        <v>15</v>
      </c>
      <c r="D23" s="373"/>
      <c r="E23" s="24" t="s">
        <v>116</v>
      </c>
      <c r="F23" s="19" t="s">
        <v>604</v>
      </c>
      <c r="G23" s="137">
        <v>0</v>
      </c>
      <c r="H23" s="138">
        <v>0</v>
      </c>
      <c r="I23" s="139">
        <v>9420</v>
      </c>
      <c r="J23" s="140">
        <v>9420</v>
      </c>
      <c r="K23" s="139">
        <v>9605</v>
      </c>
      <c r="L23" s="137">
        <v>9605</v>
      </c>
      <c r="M23" s="140"/>
      <c r="N23" s="139">
        <v>9590</v>
      </c>
      <c r="O23" s="141">
        <v>9576</v>
      </c>
      <c r="P23" s="242">
        <v>9629</v>
      </c>
      <c r="Q23" s="243">
        <v>9495</v>
      </c>
      <c r="R23" s="240"/>
      <c r="S23" s="143"/>
      <c r="T23" s="143"/>
      <c r="U23" s="143"/>
      <c r="V23" s="147"/>
      <c r="W23" s="142">
        <f t="shared" si="0"/>
        <v>76340</v>
      </c>
      <c r="X23" s="145">
        <f t="shared" si="1"/>
        <v>24810500</v>
      </c>
    </row>
    <row r="24" spans="3:24" x14ac:dyDescent="0.2">
      <c r="C24" s="146">
        <v>16</v>
      </c>
      <c r="D24" s="373"/>
      <c r="E24" s="24" t="s">
        <v>115</v>
      </c>
      <c r="F24" s="19" t="s">
        <v>605</v>
      </c>
      <c r="G24" s="137">
        <v>0</v>
      </c>
      <c r="H24" s="138">
        <v>0</v>
      </c>
      <c r="I24" s="139">
        <v>4826</v>
      </c>
      <c r="J24" s="140">
        <v>4826</v>
      </c>
      <c r="K24" s="139">
        <v>4860</v>
      </c>
      <c r="L24" s="137">
        <v>4860</v>
      </c>
      <c r="M24" s="140"/>
      <c r="N24" s="139">
        <v>4853</v>
      </c>
      <c r="O24" s="141">
        <v>4848</v>
      </c>
      <c r="P24" s="242">
        <v>4855</v>
      </c>
      <c r="Q24" s="243">
        <v>4810</v>
      </c>
      <c r="R24" s="240"/>
      <c r="S24" s="143"/>
      <c r="T24" s="143"/>
      <c r="U24" s="143"/>
      <c r="V24" s="147"/>
      <c r="W24" s="142">
        <f t="shared" si="0"/>
        <v>38738</v>
      </c>
      <c r="X24" s="145">
        <f t="shared" si="1"/>
        <v>12589850</v>
      </c>
    </row>
    <row r="25" spans="3:24" ht="16" thickBot="1" x14ac:dyDescent="0.25">
      <c r="C25" s="148">
        <v>17</v>
      </c>
      <c r="D25" s="373"/>
      <c r="E25" s="149" t="s">
        <v>110</v>
      </c>
      <c r="F25" s="150" t="s">
        <v>606</v>
      </c>
      <c r="G25" s="137">
        <v>0</v>
      </c>
      <c r="H25" s="138">
        <v>0</v>
      </c>
      <c r="I25" s="139">
        <v>1848</v>
      </c>
      <c r="J25" s="151">
        <v>1848</v>
      </c>
      <c r="K25" s="152">
        <v>1873</v>
      </c>
      <c r="L25" s="153">
        <v>1873</v>
      </c>
      <c r="M25" s="151">
        <v>1873</v>
      </c>
      <c r="N25" s="139">
        <v>0</v>
      </c>
      <c r="O25" s="141">
        <v>1829</v>
      </c>
      <c r="P25" s="244">
        <v>1891</v>
      </c>
      <c r="Q25" s="245">
        <v>1863</v>
      </c>
      <c r="R25" s="246"/>
      <c r="S25" s="154"/>
      <c r="T25" s="154"/>
      <c r="U25" s="154"/>
      <c r="V25" s="155"/>
      <c r="W25" s="142">
        <f t="shared" si="0"/>
        <v>14898</v>
      </c>
      <c r="X25" s="156">
        <f t="shared" si="1"/>
        <v>4841850</v>
      </c>
    </row>
    <row r="26" spans="3:24" ht="16" thickBot="1" x14ac:dyDescent="0.25">
      <c r="C26" s="374" t="s">
        <v>607</v>
      </c>
      <c r="D26" s="375"/>
      <c r="E26" s="375"/>
      <c r="F26" s="375"/>
      <c r="G26" s="157"/>
      <c r="H26" s="158">
        <f t="shared" ref="H26:X26" si="2">SUM(H9:H25)</f>
        <v>0</v>
      </c>
      <c r="I26" s="159">
        <f t="shared" si="2"/>
        <v>47934</v>
      </c>
      <c r="J26" s="160">
        <f>SUM(J9:J25)</f>
        <v>47934</v>
      </c>
      <c r="K26" s="159">
        <f t="shared" si="2"/>
        <v>51985</v>
      </c>
      <c r="L26" s="161">
        <f>SUM(L9:L25)</f>
        <v>51985</v>
      </c>
      <c r="M26" s="160">
        <f t="shared" si="2"/>
        <v>2896</v>
      </c>
      <c r="N26" s="159">
        <f t="shared" si="2"/>
        <v>49145</v>
      </c>
      <c r="O26" s="159">
        <f t="shared" si="2"/>
        <v>51865</v>
      </c>
      <c r="P26" s="247">
        <f t="shared" si="2"/>
        <v>52930</v>
      </c>
      <c r="Q26" s="248">
        <f t="shared" si="2"/>
        <v>55000</v>
      </c>
      <c r="R26" s="247">
        <f t="shared" si="2"/>
        <v>0</v>
      </c>
      <c r="S26" s="162">
        <f t="shared" si="2"/>
        <v>0</v>
      </c>
      <c r="T26" s="160">
        <f t="shared" si="2"/>
        <v>0</v>
      </c>
      <c r="U26" s="158">
        <f t="shared" si="2"/>
        <v>0</v>
      </c>
      <c r="V26" s="161">
        <f t="shared" si="2"/>
        <v>0</v>
      </c>
      <c r="W26" s="162">
        <f t="shared" si="2"/>
        <v>411674</v>
      </c>
      <c r="X26" s="163">
        <f t="shared" si="2"/>
        <v>133794050</v>
      </c>
    </row>
    <row r="27" spans="3:24" x14ac:dyDescent="0.2">
      <c r="C27" s="118"/>
      <c r="D27" s="118"/>
      <c r="E27" s="118"/>
      <c r="F27" s="118"/>
      <c r="G27" s="164">
        <f>+G26*2325</f>
        <v>0</v>
      </c>
      <c r="H27" s="164">
        <f t="shared" ref="H27" si="3">+H26*2325</f>
        <v>0</v>
      </c>
      <c r="I27" s="164">
        <f t="shared" ref="I27:W27" si="4">+I26*325</f>
        <v>15578550</v>
      </c>
      <c r="J27" s="164">
        <f t="shared" si="4"/>
        <v>15578550</v>
      </c>
      <c r="K27" s="164">
        <f t="shared" si="4"/>
        <v>16895125</v>
      </c>
      <c r="L27" s="164">
        <f t="shared" si="4"/>
        <v>16895125</v>
      </c>
      <c r="M27" s="164">
        <f t="shared" si="4"/>
        <v>941200</v>
      </c>
      <c r="N27" s="164">
        <f t="shared" si="4"/>
        <v>15972125</v>
      </c>
      <c r="O27" s="164">
        <f t="shared" si="4"/>
        <v>16856125</v>
      </c>
      <c r="P27" s="164">
        <f t="shared" si="4"/>
        <v>17202250</v>
      </c>
      <c r="Q27" s="164">
        <f>+Q26*325</f>
        <v>17875000</v>
      </c>
      <c r="R27" s="164">
        <f t="shared" si="4"/>
        <v>0</v>
      </c>
      <c r="S27" s="164">
        <f t="shared" si="4"/>
        <v>0</v>
      </c>
      <c r="T27" s="164">
        <f t="shared" si="4"/>
        <v>0</v>
      </c>
      <c r="U27" s="164">
        <f t="shared" si="4"/>
        <v>0</v>
      </c>
      <c r="V27" s="164">
        <f t="shared" si="4"/>
        <v>0</v>
      </c>
      <c r="W27" s="164">
        <f t="shared" si="4"/>
        <v>133794050</v>
      </c>
      <c r="X27" s="165"/>
    </row>
    <row r="28" spans="3:24" x14ac:dyDescent="0.2">
      <c r="C28" s="118"/>
      <c r="D28" s="118"/>
      <c r="E28" s="118"/>
      <c r="F28" s="118"/>
      <c r="G28" s="118"/>
      <c r="H28" s="166"/>
      <c r="I28" s="166"/>
      <c r="J28" s="166"/>
      <c r="K28" s="166"/>
      <c r="L28" s="166"/>
      <c r="M28" s="166"/>
      <c r="N28" s="166"/>
      <c r="O28" s="166"/>
      <c r="P28" s="166"/>
      <c r="Q28" s="166"/>
      <c r="R28" s="166"/>
      <c r="S28" s="166"/>
      <c r="T28" s="166"/>
      <c r="U28" s="166"/>
      <c r="V28" s="166"/>
      <c r="W28" s="166"/>
      <c r="X28" s="167"/>
    </row>
    <row r="29" spans="3:24" x14ac:dyDescent="0.2">
      <c r="C29" s="118"/>
      <c r="D29" s="118"/>
      <c r="E29" s="118"/>
      <c r="F29" s="118"/>
      <c r="G29" s="118"/>
      <c r="H29" s="166"/>
      <c r="I29" s="166"/>
      <c r="J29" s="166"/>
      <c r="K29" s="166"/>
      <c r="L29" s="166"/>
      <c r="M29" s="166"/>
      <c r="N29" s="166"/>
      <c r="O29" s="166"/>
      <c r="P29" s="166"/>
      <c r="Q29" s="166"/>
      <c r="R29" s="166"/>
      <c r="S29" s="166"/>
      <c r="T29" s="166"/>
      <c r="U29" s="166"/>
      <c r="V29" s="166"/>
      <c r="W29" s="166"/>
      <c r="X29" s="167"/>
    </row>
    <row r="30" spans="3:24" ht="48" x14ac:dyDescent="0.2">
      <c r="E30" s="133"/>
      <c r="F30" s="168"/>
      <c r="G30" s="168"/>
      <c r="H30" s="168"/>
      <c r="I30" s="168"/>
      <c r="J30" s="168"/>
      <c r="K30" s="168"/>
      <c r="L30" s="168"/>
      <c r="M30" s="168"/>
      <c r="N30" s="168"/>
      <c r="O30" s="168"/>
      <c r="P30" s="168"/>
      <c r="Q30" s="168"/>
      <c r="R30" s="168"/>
      <c r="S30" s="169"/>
      <c r="T30" s="169"/>
      <c r="U30" s="168"/>
      <c r="V30" s="168"/>
      <c r="W30" s="170" t="s">
        <v>608</v>
      </c>
      <c r="X30" s="171">
        <v>214000000</v>
      </c>
    </row>
    <row r="31" spans="3:24" ht="32" x14ac:dyDescent="0.2">
      <c r="E31" s="133"/>
      <c r="F31" s="168"/>
      <c r="G31" s="168"/>
      <c r="H31" s="168"/>
      <c r="I31" s="168"/>
      <c r="J31" s="168"/>
      <c r="K31" s="168"/>
      <c r="L31" s="168"/>
      <c r="M31" s="168"/>
      <c r="N31" s="168"/>
      <c r="O31" s="168"/>
      <c r="P31" s="172"/>
      <c r="Q31" s="173"/>
      <c r="R31" s="168"/>
      <c r="S31" s="169"/>
      <c r="T31" s="169"/>
      <c r="U31" s="168"/>
      <c r="V31" s="168"/>
      <c r="W31" s="174" t="s">
        <v>609</v>
      </c>
      <c r="X31" s="175">
        <f>+X30-X26</f>
        <v>80205950</v>
      </c>
    </row>
    <row r="32" spans="3:24" x14ac:dyDescent="0.2">
      <c r="E32" s="133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76"/>
    </row>
    <row r="33" spans="5:24" x14ac:dyDescent="0.2">
      <c r="E33" s="133"/>
      <c r="F33" s="168"/>
      <c r="G33" s="168"/>
      <c r="H33" s="168"/>
      <c r="I33" s="168"/>
      <c r="J33" s="168"/>
      <c r="K33" s="168"/>
      <c r="L33" s="168"/>
      <c r="M33" s="168"/>
      <c r="N33" s="168"/>
      <c r="O33" s="168"/>
      <c r="P33" s="168"/>
      <c r="Q33" s="168"/>
      <c r="R33" s="168"/>
      <c r="S33" s="168"/>
      <c r="T33" s="168"/>
      <c r="U33" s="168"/>
      <c r="V33" s="168"/>
      <c r="W33" s="168"/>
      <c r="X33" s="176"/>
    </row>
    <row r="34" spans="5:24" x14ac:dyDescent="0.2">
      <c r="E34" s="133"/>
      <c r="F34" s="168"/>
      <c r="G34" s="168"/>
      <c r="H34" s="168"/>
      <c r="I34" s="168"/>
      <c r="J34" s="168"/>
      <c r="K34" s="168"/>
      <c r="L34" s="168"/>
      <c r="M34" s="168"/>
      <c r="N34" s="168"/>
      <c r="O34" s="168"/>
      <c r="P34" s="168"/>
      <c r="Q34" s="168"/>
      <c r="R34" s="168"/>
      <c r="S34" s="177"/>
      <c r="T34" s="168"/>
      <c r="U34" s="173"/>
      <c r="V34" s="173"/>
      <c r="W34" s="168"/>
      <c r="X34" s="176"/>
    </row>
    <row r="35" spans="5:24" x14ac:dyDescent="0.2">
      <c r="E35" s="133"/>
      <c r="F35" s="168"/>
      <c r="G35" s="168"/>
      <c r="H35" s="168"/>
      <c r="I35" s="168"/>
      <c r="J35" s="168"/>
      <c r="K35" s="168"/>
      <c r="L35" s="168"/>
      <c r="M35" s="168"/>
      <c r="N35" s="168"/>
      <c r="O35" s="168"/>
      <c r="P35" s="168"/>
      <c r="Q35" s="168"/>
      <c r="R35" s="168"/>
      <c r="S35" s="177"/>
      <c r="T35" s="168"/>
      <c r="U35" s="173"/>
      <c r="V35" s="173"/>
      <c r="W35" s="168"/>
      <c r="X35" s="176"/>
    </row>
  </sheetData>
  <mergeCells count="9">
    <mergeCell ref="D9:D25"/>
    <mergeCell ref="C26:F26"/>
    <mergeCell ref="C2:X2"/>
    <mergeCell ref="C3:X3"/>
    <mergeCell ref="C4:X4"/>
    <mergeCell ref="C5:X5"/>
    <mergeCell ref="I7:J7"/>
    <mergeCell ref="K7:M7"/>
    <mergeCell ref="N7:O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A7982-3191-4541-9F18-B9E2D3367207}">
  <dimension ref="A1:AD364"/>
  <sheetViews>
    <sheetView topLeftCell="Q323" workbookViewId="0">
      <selection activeCell="AD359" sqref="AD359"/>
    </sheetView>
  </sheetViews>
  <sheetFormatPr baseColWidth="10" defaultRowHeight="15" x14ac:dyDescent="0.2"/>
  <cols>
    <col min="17" max="17" width="8" bestFit="1" customWidth="1"/>
    <col min="18" max="18" width="13.33203125" bestFit="1" customWidth="1"/>
    <col min="30" max="30" width="14.1640625" bestFit="1" customWidth="1"/>
  </cols>
  <sheetData>
    <row r="1" spans="1:30" ht="18" x14ac:dyDescent="0.2">
      <c r="A1" s="324" t="s">
        <v>369</v>
      </c>
      <c r="B1" s="324"/>
      <c r="C1" s="324"/>
      <c r="D1" s="324"/>
      <c r="E1" s="324"/>
      <c r="F1" s="324"/>
      <c r="G1" s="324"/>
      <c r="H1" s="324"/>
      <c r="I1" s="324"/>
      <c r="J1" s="324"/>
      <c r="K1" s="324"/>
      <c r="L1" s="324"/>
      <c r="M1" s="324"/>
      <c r="N1" s="324"/>
      <c r="O1" s="324"/>
      <c r="P1" s="324"/>
      <c r="Q1" s="324"/>
      <c r="R1" s="324"/>
      <c r="S1" s="324"/>
      <c r="T1" s="324"/>
      <c r="U1" s="324"/>
      <c r="V1" s="324"/>
      <c r="W1" s="324"/>
      <c r="X1" s="324"/>
      <c r="Y1" s="324"/>
      <c r="Z1" s="324"/>
      <c r="AA1" s="324"/>
      <c r="AB1" s="324"/>
      <c r="AC1" s="324"/>
      <c r="AD1" s="324"/>
    </row>
    <row r="2" spans="1:30" ht="19" thickBot="1" x14ac:dyDescent="0.25">
      <c r="A2" s="324" t="s">
        <v>370</v>
      </c>
      <c r="B2" s="324"/>
      <c r="C2" s="324"/>
      <c r="D2" s="324"/>
      <c r="E2" s="324"/>
      <c r="F2" s="324"/>
      <c r="G2" s="324"/>
      <c r="H2" s="324"/>
      <c r="I2" s="324"/>
      <c r="J2" s="324"/>
      <c r="K2" s="324"/>
      <c r="L2" s="324"/>
      <c r="M2" s="324"/>
      <c r="N2" s="324"/>
      <c r="O2" s="324"/>
      <c r="P2" s="324"/>
      <c r="Q2" s="324"/>
      <c r="R2" s="324"/>
      <c r="S2" s="324"/>
      <c r="T2" s="324"/>
      <c r="U2" s="324"/>
      <c r="V2" s="324"/>
      <c r="W2" s="324"/>
      <c r="X2" s="324"/>
      <c r="Y2" s="324"/>
      <c r="Z2" s="324"/>
      <c r="AA2" s="324"/>
      <c r="AB2" s="324"/>
      <c r="AC2" s="324"/>
      <c r="AD2" s="324"/>
    </row>
    <row r="3" spans="1:30" ht="16" x14ac:dyDescent="0.2">
      <c r="A3" s="325" t="s">
        <v>1</v>
      </c>
      <c r="B3" s="327" t="s">
        <v>2</v>
      </c>
      <c r="C3" s="327" t="s">
        <v>3</v>
      </c>
      <c r="D3" s="384" t="s">
        <v>4</v>
      </c>
      <c r="E3" s="325" t="s">
        <v>371</v>
      </c>
      <c r="F3" s="341"/>
      <c r="G3" s="327" t="s">
        <v>372</v>
      </c>
      <c r="H3" s="341"/>
      <c r="I3" s="327" t="s">
        <v>8</v>
      </c>
      <c r="J3" s="341"/>
      <c r="K3" s="327" t="s">
        <v>9</v>
      </c>
      <c r="L3" s="341"/>
      <c r="M3" s="327" t="s">
        <v>10</v>
      </c>
      <c r="N3" s="341"/>
      <c r="O3" s="327" t="s">
        <v>11</v>
      </c>
      <c r="P3" s="341"/>
      <c r="Q3" s="327" t="s">
        <v>12</v>
      </c>
      <c r="R3" s="341"/>
      <c r="S3" s="327" t="s">
        <v>13</v>
      </c>
      <c r="T3" s="341"/>
      <c r="U3" s="327" t="s">
        <v>14</v>
      </c>
      <c r="V3" s="341"/>
      <c r="W3" s="327" t="s">
        <v>15</v>
      </c>
      <c r="X3" s="341"/>
      <c r="Y3" s="327" t="s">
        <v>16</v>
      </c>
      <c r="Z3" s="341"/>
      <c r="AA3" s="327" t="s">
        <v>17</v>
      </c>
      <c r="AB3" s="341"/>
      <c r="AC3" s="391" t="s">
        <v>18</v>
      </c>
      <c r="AD3" s="349"/>
    </row>
    <row r="4" spans="1:30" ht="17" thickBot="1" x14ac:dyDescent="0.25">
      <c r="A4" s="326"/>
      <c r="B4" s="328"/>
      <c r="C4" s="328"/>
      <c r="D4" s="385"/>
      <c r="E4" s="63" t="s">
        <v>19</v>
      </c>
      <c r="F4" s="13" t="s">
        <v>20</v>
      </c>
      <c r="G4" s="64" t="s">
        <v>19</v>
      </c>
      <c r="H4" s="13" t="s">
        <v>20</v>
      </c>
      <c r="I4" s="65" t="s">
        <v>19</v>
      </c>
      <c r="J4" s="66" t="s">
        <v>20</v>
      </c>
      <c r="K4" s="64" t="s">
        <v>19</v>
      </c>
      <c r="L4" s="13" t="s">
        <v>20</v>
      </c>
      <c r="M4" s="3" t="s">
        <v>19</v>
      </c>
      <c r="N4" s="13" t="s">
        <v>20</v>
      </c>
      <c r="O4" s="3" t="s">
        <v>19</v>
      </c>
      <c r="P4" s="13" t="s">
        <v>20</v>
      </c>
      <c r="Q4" s="64" t="s">
        <v>19</v>
      </c>
      <c r="R4" s="13" t="s">
        <v>20</v>
      </c>
      <c r="S4" s="3" t="s">
        <v>19</v>
      </c>
      <c r="T4" s="13" t="s">
        <v>20</v>
      </c>
      <c r="U4" s="3" t="s">
        <v>19</v>
      </c>
      <c r="V4" s="13" t="s">
        <v>20</v>
      </c>
      <c r="W4" s="3" t="s">
        <v>19</v>
      </c>
      <c r="X4" s="13" t="s">
        <v>20</v>
      </c>
      <c r="Y4" s="3" t="s">
        <v>19</v>
      </c>
      <c r="Z4" s="13" t="s">
        <v>20</v>
      </c>
      <c r="AA4" s="3" t="s">
        <v>19</v>
      </c>
      <c r="AB4" s="13" t="s">
        <v>20</v>
      </c>
      <c r="AC4" s="64" t="s">
        <v>19</v>
      </c>
      <c r="AD4" s="13" t="s">
        <v>20</v>
      </c>
    </row>
    <row r="5" spans="1:30" ht="16" x14ac:dyDescent="0.2">
      <c r="A5" s="388">
        <v>1</v>
      </c>
      <c r="B5" s="230" t="s">
        <v>23</v>
      </c>
      <c r="C5" s="67" t="s">
        <v>24</v>
      </c>
      <c r="D5" s="68" t="s">
        <v>373</v>
      </c>
      <c r="E5" s="69">
        <v>2080</v>
      </c>
      <c r="F5" s="389">
        <v>0</v>
      </c>
      <c r="G5" s="69">
        <v>2600</v>
      </c>
      <c r="H5" s="389">
        <f>80000+74000</f>
        <v>154000</v>
      </c>
      <c r="I5" s="69">
        <v>2860</v>
      </c>
      <c r="J5" s="389">
        <v>185000</v>
      </c>
      <c r="K5" s="69">
        <v>2423</v>
      </c>
      <c r="L5" s="389">
        <v>241012.19999999995</v>
      </c>
      <c r="M5" s="70">
        <v>2600</v>
      </c>
      <c r="N5" s="392">
        <v>206677.21</v>
      </c>
      <c r="O5" s="67">
        <v>2730</v>
      </c>
      <c r="P5" s="392">
        <v>219102</v>
      </c>
      <c r="Q5" s="71">
        <v>2730</v>
      </c>
      <c r="R5" s="389">
        <v>223167.10000000009</v>
      </c>
      <c r="S5" s="67"/>
      <c r="T5" s="389"/>
      <c r="U5" s="67"/>
      <c r="V5" s="389"/>
      <c r="W5" s="67"/>
      <c r="X5" s="389"/>
      <c r="Y5" s="67"/>
      <c r="Z5" s="389"/>
      <c r="AA5" s="67"/>
      <c r="AB5" s="389"/>
      <c r="AC5" s="71">
        <f>AA5+Y5+W5+U5+S5+Q5+O5+K5+M5+I5+G5+E5</f>
        <v>18023</v>
      </c>
      <c r="AD5" s="386">
        <f>AB5+Z5+X5+V5+T5+R5+P5+L5+N5+J5+H5+F5</f>
        <v>1228958.51</v>
      </c>
    </row>
    <row r="6" spans="1:30" ht="17" thickBot="1" x14ac:dyDescent="0.25">
      <c r="A6" s="388"/>
      <c r="B6" s="231" t="s">
        <v>23</v>
      </c>
      <c r="C6" s="67" t="s">
        <v>24</v>
      </c>
      <c r="D6" s="68" t="s">
        <v>374</v>
      </c>
      <c r="E6" s="69">
        <v>3400</v>
      </c>
      <c r="F6" s="389"/>
      <c r="G6" s="69">
        <v>4000</v>
      </c>
      <c r="H6" s="389"/>
      <c r="I6" s="69">
        <v>4400</v>
      </c>
      <c r="J6" s="389"/>
      <c r="K6" s="69">
        <v>3800</v>
      </c>
      <c r="L6" s="389"/>
      <c r="M6" s="72">
        <v>4000</v>
      </c>
      <c r="N6" s="390"/>
      <c r="O6" s="67">
        <v>4000</v>
      </c>
      <c r="P6" s="390"/>
      <c r="Q6" s="71">
        <v>4200</v>
      </c>
      <c r="R6" s="389"/>
      <c r="S6" s="67"/>
      <c r="T6" s="389"/>
      <c r="U6" s="67"/>
      <c r="V6" s="389"/>
      <c r="W6" s="67"/>
      <c r="X6" s="389"/>
      <c r="Y6" s="67"/>
      <c r="Z6" s="389"/>
      <c r="AA6" s="67"/>
      <c r="AB6" s="389"/>
      <c r="AC6" s="71">
        <f t="shared" ref="AC6:AD95" si="0">AA6+Y6+W6+U6+S6+Q6+O6+K6+M6+I6+G6+E6</f>
        <v>27800</v>
      </c>
      <c r="AD6" s="387">
        <f>AB6+Z6+X6+V6+T6+R6+P6+L6+N6+J6+H6+F6</f>
        <v>0</v>
      </c>
    </row>
    <row r="7" spans="1:30" ht="16" x14ac:dyDescent="0.2">
      <c r="A7" s="388">
        <v>2</v>
      </c>
      <c r="B7" s="230" t="s">
        <v>23</v>
      </c>
      <c r="C7" s="67" t="s">
        <v>26</v>
      </c>
      <c r="D7" s="68" t="s">
        <v>373</v>
      </c>
      <c r="E7" s="69">
        <v>2400</v>
      </c>
      <c r="F7" s="389">
        <v>0</v>
      </c>
      <c r="G7" s="71">
        <v>3000</v>
      </c>
      <c r="H7" s="389">
        <f>88912.5+81600</f>
        <v>170512.5</v>
      </c>
      <c r="I7" s="69">
        <v>3300</v>
      </c>
      <c r="J7" s="389">
        <v>183600</v>
      </c>
      <c r="K7" s="70">
        <v>2850</v>
      </c>
      <c r="L7" s="387">
        <v>286367.25</v>
      </c>
      <c r="M7" s="70">
        <v>3000</v>
      </c>
      <c r="N7" s="387">
        <v>235359.75</v>
      </c>
      <c r="O7" s="67">
        <v>3150</v>
      </c>
      <c r="P7" s="387">
        <v>252280</v>
      </c>
      <c r="Q7" s="71">
        <v>3450</v>
      </c>
      <c r="R7" s="389">
        <v>260725.55000000005</v>
      </c>
      <c r="S7" s="67"/>
      <c r="T7" s="389"/>
      <c r="U7" s="67"/>
      <c r="V7" s="389"/>
      <c r="W7" s="67"/>
      <c r="X7" s="389"/>
      <c r="Y7" s="67"/>
      <c r="Z7" s="389"/>
      <c r="AA7" s="67"/>
      <c r="AB7" s="389"/>
      <c r="AC7" s="71">
        <f t="shared" si="0"/>
        <v>21150</v>
      </c>
      <c r="AD7" s="386">
        <f>AB7+Z7+X7+V7+T7+R7+P7+L7+N7+J7+H7+F7</f>
        <v>1388845.05</v>
      </c>
    </row>
    <row r="8" spans="1:30" ht="16" x14ac:dyDescent="0.2">
      <c r="A8" s="388"/>
      <c r="B8" s="231" t="s">
        <v>23</v>
      </c>
      <c r="C8" s="67" t="s">
        <v>26</v>
      </c>
      <c r="D8" s="68" t="s">
        <v>374</v>
      </c>
      <c r="E8" s="69">
        <v>3825</v>
      </c>
      <c r="F8" s="389"/>
      <c r="G8" s="71">
        <v>4500</v>
      </c>
      <c r="H8" s="389"/>
      <c r="I8" s="69">
        <v>4950</v>
      </c>
      <c r="J8" s="389"/>
      <c r="K8" s="70">
        <v>4245</v>
      </c>
      <c r="L8" s="390"/>
      <c r="M8" s="70">
        <v>4500</v>
      </c>
      <c r="N8" s="390"/>
      <c r="O8" s="67">
        <v>4709</v>
      </c>
      <c r="P8" s="390"/>
      <c r="Q8" s="71">
        <v>5175</v>
      </c>
      <c r="R8" s="389"/>
      <c r="S8" s="67"/>
      <c r="T8" s="389"/>
      <c r="U8" s="67"/>
      <c r="V8" s="389"/>
      <c r="W8" s="67"/>
      <c r="X8" s="389"/>
      <c r="Y8" s="67"/>
      <c r="Z8" s="389"/>
      <c r="AA8" s="67"/>
      <c r="AB8" s="389"/>
      <c r="AC8" s="71">
        <f t="shared" si="0"/>
        <v>31904</v>
      </c>
      <c r="AD8" s="387">
        <f>AB8+Z8+X8+V8+T8+R8+P8+L8+N8+J8+H8+F8</f>
        <v>0</v>
      </c>
    </row>
    <row r="9" spans="1:30" ht="16" x14ac:dyDescent="0.2">
      <c r="A9" s="388">
        <v>3</v>
      </c>
      <c r="B9" s="230" t="s">
        <v>23</v>
      </c>
      <c r="C9" s="67" t="s">
        <v>27</v>
      </c>
      <c r="D9" s="68" t="s">
        <v>373</v>
      </c>
      <c r="E9" s="69">
        <v>0</v>
      </c>
      <c r="F9" s="389">
        <v>0</v>
      </c>
      <c r="G9" s="71">
        <v>0</v>
      </c>
      <c r="H9" s="389">
        <v>0</v>
      </c>
      <c r="I9" s="69">
        <v>0</v>
      </c>
      <c r="J9" s="389">
        <v>0</v>
      </c>
      <c r="K9" s="70">
        <v>1780</v>
      </c>
      <c r="L9" s="387">
        <v>0</v>
      </c>
      <c r="M9" s="70">
        <v>2000</v>
      </c>
      <c r="N9" s="387">
        <v>153843.1</v>
      </c>
      <c r="O9" s="67">
        <v>2000</v>
      </c>
      <c r="P9" s="387">
        <v>165304.35</v>
      </c>
      <c r="Q9" s="71">
        <v>2300</v>
      </c>
      <c r="R9" s="389">
        <v>171057.5</v>
      </c>
      <c r="S9" s="67"/>
      <c r="T9" s="389"/>
      <c r="U9" s="67"/>
      <c r="V9" s="389"/>
      <c r="W9" s="67"/>
      <c r="X9" s="389"/>
      <c r="Y9" s="67"/>
      <c r="Z9" s="389"/>
      <c r="AA9" s="67"/>
      <c r="AB9" s="389"/>
      <c r="AC9" s="71">
        <f t="shared" si="0"/>
        <v>8080</v>
      </c>
      <c r="AD9" s="389">
        <f t="shared" si="0"/>
        <v>490204.94999999995</v>
      </c>
    </row>
    <row r="10" spans="1:30" ht="16" x14ac:dyDescent="0.2">
      <c r="A10" s="388"/>
      <c r="B10" s="231" t="s">
        <v>23</v>
      </c>
      <c r="C10" s="67" t="s">
        <v>27</v>
      </c>
      <c r="D10" s="68" t="s">
        <v>374</v>
      </c>
      <c r="E10" s="69">
        <v>0</v>
      </c>
      <c r="F10" s="389"/>
      <c r="G10" s="71">
        <v>0</v>
      </c>
      <c r="H10" s="389"/>
      <c r="I10" s="69">
        <v>0</v>
      </c>
      <c r="J10" s="389"/>
      <c r="K10" s="70">
        <v>2850</v>
      </c>
      <c r="L10" s="390"/>
      <c r="M10" s="70">
        <v>3000</v>
      </c>
      <c r="N10" s="390"/>
      <c r="O10" s="67">
        <v>3150</v>
      </c>
      <c r="P10" s="390"/>
      <c r="Q10" s="71">
        <v>3450</v>
      </c>
      <c r="R10" s="389"/>
      <c r="S10" s="67"/>
      <c r="T10" s="389"/>
      <c r="U10" s="67"/>
      <c r="V10" s="389"/>
      <c r="W10" s="67"/>
      <c r="X10" s="389"/>
      <c r="Y10" s="67"/>
      <c r="Z10" s="389"/>
      <c r="AA10" s="67"/>
      <c r="AB10" s="389"/>
      <c r="AC10" s="71">
        <f t="shared" si="0"/>
        <v>12450</v>
      </c>
      <c r="AD10" s="389">
        <f t="shared" si="0"/>
        <v>0</v>
      </c>
    </row>
    <row r="11" spans="1:30" ht="16" x14ac:dyDescent="0.2">
      <c r="A11" s="388">
        <v>4</v>
      </c>
      <c r="B11" s="230" t="s">
        <v>23</v>
      </c>
      <c r="C11" s="67" t="s">
        <v>28</v>
      </c>
      <c r="D11" s="68" t="s">
        <v>373</v>
      </c>
      <c r="E11" s="69">
        <v>2400</v>
      </c>
      <c r="F11" s="389">
        <v>0</v>
      </c>
      <c r="G11" s="71">
        <v>3000</v>
      </c>
      <c r="H11" s="389">
        <f>89100+82912</f>
        <v>172012</v>
      </c>
      <c r="I11" s="69">
        <v>3300</v>
      </c>
      <c r="J11" s="389">
        <v>155460</v>
      </c>
      <c r="K11" s="70">
        <v>2850</v>
      </c>
      <c r="L11" s="387">
        <v>237546</v>
      </c>
      <c r="M11" s="70">
        <v>3000</v>
      </c>
      <c r="N11" s="387">
        <v>0</v>
      </c>
      <c r="O11" s="67">
        <v>3150</v>
      </c>
      <c r="P11" s="387">
        <v>345150</v>
      </c>
      <c r="Q11" s="71">
        <v>3450</v>
      </c>
      <c r="R11" s="389">
        <v>185850</v>
      </c>
      <c r="S11" s="67"/>
      <c r="T11" s="389"/>
      <c r="U11" s="67"/>
      <c r="V11" s="389"/>
      <c r="W11" s="67"/>
      <c r="X11" s="389"/>
      <c r="Y11" s="67"/>
      <c r="Z11" s="389"/>
      <c r="AA11" s="67"/>
      <c r="AB11" s="389"/>
      <c r="AC11" s="71">
        <f t="shared" si="0"/>
        <v>21150</v>
      </c>
      <c r="AD11" s="389">
        <f t="shared" si="0"/>
        <v>1096018</v>
      </c>
    </row>
    <row r="12" spans="1:30" ht="16" x14ac:dyDescent="0.2">
      <c r="A12" s="388"/>
      <c r="B12" s="231" t="s">
        <v>23</v>
      </c>
      <c r="C12" s="67" t="s">
        <v>28</v>
      </c>
      <c r="D12" s="68" t="s">
        <v>374</v>
      </c>
      <c r="E12" s="69">
        <v>3400</v>
      </c>
      <c r="F12" s="389"/>
      <c r="G12" s="71">
        <v>4000</v>
      </c>
      <c r="H12" s="389"/>
      <c r="I12" s="69">
        <v>4400</v>
      </c>
      <c r="J12" s="389"/>
      <c r="K12" s="70">
        <v>3800</v>
      </c>
      <c r="L12" s="390"/>
      <c r="M12" s="70">
        <v>4000</v>
      </c>
      <c r="N12" s="390"/>
      <c r="O12" s="67">
        <v>4200</v>
      </c>
      <c r="P12" s="390"/>
      <c r="Q12" s="71">
        <v>4600</v>
      </c>
      <c r="R12" s="389"/>
      <c r="S12" s="67"/>
      <c r="T12" s="389"/>
      <c r="U12" s="67"/>
      <c r="V12" s="389"/>
      <c r="W12" s="67"/>
      <c r="X12" s="389"/>
      <c r="Y12" s="67"/>
      <c r="Z12" s="389"/>
      <c r="AA12" s="67"/>
      <c r="AB12" s="389"/>
      <c r="AC12" s="71">
        <f t="shared" si="0"/>
        <v>28400</v>
      </c>
      <c r="AD12" s="389">
        <f t="shared" si="0"/>
        <v>0</v>
      </c>
    </row>
    <row r="13" spans="1:30" ht="16" x14ac:dyDescent="0.2">
      <c r="A13" s="388">
        <v>5</v>
      </c>
      <c r="B13" s="230" t="s">
        <v>23</v>
      </c>
      <c r="C13" s="67" t="s">
        <v>29</v>
      </c>
      <c r="D13" s="68" t="s">
        <v>373</v>
      </c>
      <c r="E13" s="69">
        <v>2400</v>
      </c>
      <c r="F13" s="389">
        <v>0</v>
      </c>
      <c r="G13" s="71">
        <v>3000</v>
      </c>
      <c r="H13" s="389">
        <f>88550+83200</f>
        <v>171750</v>
      </c>
      <c r="I13" s="69">
        <v>3300</v>
      </c>
      <c r="J13" s="389">
        <v>156000</v>
      </c>
      <c r="K13" s="70">
        <v>2850</v>
      </c>
      <c r="L13" s="387">
        <v>286172</v>
      </c>
      <c r="M13" s="70">
        <v>3000</v>
      </c>
      <c r="N13" s="387">
        <v>200980</v>
      </c>
      <c r="O13" s="67">
        <v>3150</v>
      </c>
      <c r="P13" s="387">
        <v>211328</v>
      </c>
      <c r="Q13" s="71">
        <v>4300</v>
      </c>
      <c r="R13" s="389">
        <v>222600</v>
      </c>
      <c r="S13" s="67"/>
      <c r="T13" s="389"/>
      <c r="U13" s="67"/>
      <c r="V13" s="389"/>
      <c r="W13" s="67"/>
      <c r="X13" s="389"/>
      <c r="Y13" s="67"/>
      <c r="Z13" s="389"/>
      <c r="AA13" s="67"/>
      <c r="AB13" s="389"/>
      <c r="AC13" s="71">
        <f t="shared" si="0"/>
        <v>22000</v>
      </c>
      <c r="AD13" s="389">
        <f t="shared" si="0"/>
        <v>1248830</v>
      </c>
    </row>
    <row r="14" spans="1:30" ht="16" x14ac:dyDescent="0.2">
      <c r="A14" s="388"/>
      <c r="B14" s="231" t="s">
        <v>23</v>
      </c>
      <c r="C14" s="67" t="s">
        <v>29</v>
      </c>
      <c r="D14" s="68" t="s">
        <v>374</v>
      </c>
      <c r="E14" s="69">
        <v>4200</v>
      </c>
      <c r="F14" s="389"/>
      <c r="G14" s="71">
        <v>5000</v>
      </c>
      <c r="H14" s="389"/>
      <c r="I14" s="69">
        <v>5500</v>
      </c>
      <c r="J14" s="389"/>
      <c r="K14" s="70">
        <v>4735</v>
      </c>
      <c r="L14" s="390"/>
      <c r="M14" s="70">
        <v>4976</v>
      </c>
      <c r="N14" s="390"/>
      <c r="O14" s="67">
        <v>5250</v>
      </c>
      <c r="P14" s="390"/>
      <c r="Q14" s="71">
        <v>6158</v>
      </c>
      <c r="R14" s="389"/>
      <c r="S14" s="67"/>
      <c r="T14" s="389"/>
      <c r="U14" s="67"/>
      <c r="V14" s="389"/>
      <c r="W14" s="67"/>
      <c r="X14" s="389"/>
      <c r="Y14" s="67"/>
      <c r="Z14" s="389"/>
      <c r="AA14" s="67"/>
      <c r="AB14" s="389"/>
      <c r="AC14" s="71">
        <f t="shared" si="0"/>
        <v>35819</v>
      </c>
      <c r="AD14" s="389">
        <f t="shared" si="0"/>
        <v>0</v>
      </c>
    </row>
    <row r="15" spans="1:30" ht="16" x14ac:dyDescent="0.2">
      <c r="A15" s="388">
        <v>6</v>
      </c>
      <c r="B15" s="230" t="s">
        <v>23</v>
      </c>
      <c r="C15" s="67" t="s">
        <v>31</v>
      </c>
      <c r="D15" s="68" t="s">
        <v>373</v>
      </c>
      <c r="E15" s="69">
        <v>2400</v>
      </c>
      <c r="F15" s="389">
        <v>0</v>
      </c>
      <c r="G15" s="71">
        <v>3000</v>
      </c>
      <c r="H15" s="389">
        <f>89550+82800</f>
        <v>172350</v>
      </c>
      <c r="I15" s="69">
        <v>3300</v>
      </c>
      <c r="J15" s="389">
        <v>153954</v>
      </c>
      <c r="K15" s="70">
        <v>2850</v>
      </c>
      <c r="L15" s="387">
        <v>268758</v>
      </c>
      <c r="M15" s="70">
        <v>3000</v>
      </c>
      <c r="N15" s="387">
        <v>0</v>
      </c>
      <c r="O15" s="67">
        <v>3150</v>
      </c>
      <c r="P15" s="387">
        <v>395019</v>
      </c>
      <c r="Q15" s="71">
        <v>3450</v>
      </c>
      <c r="R15" s="389">
        <v>213228</v>
      </c>
      <c r="S15" s="67"/>
      <c r="T15" s="389"/>
      <c r="U15" s="67"/>
      <c r="V15" s="389"/>
      <c r="W15" s="67"/>
      <c r="X15" s="389"/>
      <c r="Y15" s="67"/>
      <c r="Z15" s="389"/>
      <c r="AA15" s="67"/>
      <c r="AB15" s="389"/>
      <c r="AC15" s="71">
        <f t="shared" si="0"/>
        <v>21150</v>
      </c>
      <c r="AD15" s="389">
        <f t="shared" si="0"/>
        <v>1203309</v>
      </c>
    </row>
    <row r="16" spans="1:30" ht="16" x14ac:dyDescent="0.2">
      <c r="A16" s="388"/>
      <c r="B16" s="231" t="s">
        <v>23</v>
      </c>
      <c r="C16" s="67" t="s">
        <v>31</v>
      </c>
      <c r="D16" s="68" t="s">
        <v>374</v>
      </c>
      <c r="E16" s="69">
        <v>4250</v>
      </c>
      <c r="F16" s="389"/>
      <c r="G16" s="71">
        <v>5000</v>
      </c>
      <c r="H16" s="389"/>
      <c r="I16" s="69">
        <v>5500</v>
      </c>
      <c r="J16" s="389"/>
      <c r="K16" s="70">
        <v>4692</v>
      </c>
      <c r="L16" s="390"/>
      <c r="M16" s="70">
        <v>4955</v>
      </c>
      <c r="N16" s="390"/>
      <c r="O16" s="67">
        <v>5214</v>
      </c>
      <c r="P16" s="390"/>
      <c r="Q16" s="71">
        <v>5750</v>
      </c>
      <c r="R16" s="389"/>
      <c r="S16" s="67"/>
      <c r="T16" s="389"/>
      <c r="U16" s="67"/>
      <c r="V16" s="389"/>
      <c r="W16" s="67"/>
      <c r="X16" s="389"/>
      <c r="Y16" s="67"/>
      <c r="Z16" s="389"/>
      <c r="AA16" s="67"/>
      <c r="AB16" s="389"/>
      <c r="AC16" s="71">
        <f t="shared" si="0"/>
        <v>35361</v>
      </c>
      <c r="AD16" s="389">
        <f t="shared" si="0"/>
        <v>0</v>
      </c>
    </row>
    <row r="17" spans="1:30" ht="16" x14ac:dyDescent="0.2">
      <c r="A17" s="388">
        <v>7</v>
      </c>
      <c r="B17" s="230" t="s">
        <v>23</v>
      </c>
      <c r="C17" s="67" t="s">
        <v>32</v>
      </c>
      <c r="D17" s="68" t="s">
        <v>373</v>
      </c>
      <c r="E17" s="69">
        <v>0</v>
      </c>
      <c r="F17" s="387">
        <v>0</v>
      </c>
      <c r="G17" s="70">
        <v>0</v>
      </c>
      <c r="H17" s="387">
        <v>0</v>
      </c>
      <c r="I17" s="70">
        <v>0</v>
      </c>
      <c r="J17" s="387">
        <v>0</v>
      </c>
      <c r="K17" s="70">
        <v>0</v>
      </c>
      <c r="L17" s="387">
        <v>0</v>
      </c>
      <c r="M17" s="70">
        <v>200</v>
      </c>
      <c r="N17" s="387">
        <v>0</v>
      </c>
      <c r="O17" s="67">
        <v>2300</v>
      </c>
      <c r="P17" s="387">
        <v>0</v>
      </c>
      <c r="Q17" s="71">
        <v>2300</v>
      </c>
      <c r="R17" s="389">
        <v>195941</v>
      </c>
      <c r="S17" s="67"/>
      <c r="T17" s="389"/>
      <c r="U17" s="67"/>
      <c r="V17" s="389"/>
      <c r="W17" s="67"/>
      <c r="X17" s="389"/>
      <c r="Y17" s="67"/>
      <c r="Z17" s="389"/>
      <c r="AA17" s="67"/>
      <c r="AB17" s="389"/>
      <c r="AC17" s="71">
        <f t="shared" si="0"/>
        <v>4800</v>
      </c>
      <c r="AD17" s="389">
        <f t="shared" si="0"/>
        <v>195941</v>
      </c>
    </row>
    <row r="18" spans="1:30" ht="16" x14ac:dyDescent="0.2">
      <c r="A18" s="388"/>
      <c r="B18" s="231" t="s">
        <v>23</v>
      </c>
      <c r="C18" s="67" t="s">
        <v>32</v>
      </c>
      <c r="D18" s="68" t="s">
        <v>374</v>
      </c>
      <c r="E18" s="69">
        <v>0</v>
      </c>
      <c r="F18" s="390"/>
      <c r="G18" s="70">
        <v>0</v>
      </c>
      <c r="H18" s="390"/>
      <c r="I18" s="70">
        <v>0</v>
      </c>
      <c r="J18" s="390"/>
      <c r="K18" s="70">
        <v>0</v>
      </c>
      <c r="L18" s="390"/>
      <c r="M18" s="70">
        <v>450</v>
      </c>
      <c r="N18" s="390"/>
      <c r="O18" s="67">
        <v>3600</v>
      </c>
      <c r="P18" s="390"/>
      <c r="Q18" s="71">
        <v>3300</v>
      </c>
      <c r="R18" s="389"/>
      <c r="S18" s="67"/>
      <c r="T18" s="389"/>
      <c r="U18" s="67"/>
      <c r="V18" s="389"/>
      <c r="W18" s="67"/>
      <c r="X18" s="389"/>
      <c r="Y18" s="67"/>
      <c r="Z18" s="389"/>
      <c r="AA18" s="67"/>
      <c r="AB18" s="389"/>
      <c r="AC18" s="71">
        <f t="shared" si="0"/>
        <v>7350</v>
      </c>
      <c r="AD18" s="389">
        <f t="shared" si="0"/>
        <v>0</v>
      </c>
    </row>
    <row r="19" spans="1:30" ht="16" x14ac:dyDescent="0.2">
      <c r="A19" s="388">
        <v>8</v>
      </c>
      <c r="B19" s="230" t="s">
        <v>23</v>
      </c>
      <c r="C19" s="67" t="s">
        <v>375</v>
      </c>
      <c r="D19" s="68" t="s">
        <v>373</v>
      </c>
      <c r="E19" s="69">
        <v>2400</v>
      </c>
      <c r="F19" s="389">
        <v>0</v>
      </c>
      <c r="G19" s="71">
        <v>3000</v>
      </c>
      <c r="H19" s="389">
        <f>89550+82800</f>
        <v>172350</v>
      </c>
      <c r="I19" s="69">
        <v>3300</v>
      </c>
      <c r="J19" s="389">
        <v>186300</v>
      </c>
      <c r="K19" s="70">
        <v>2820</v>
      </c>
      <c r="L19" s="387">
        <v>313366</v>
      </c>
      <c r="M19" s="70">
        <v>3000</v>
      </c>
      <c r="N19" s="387">
        <v>251818.9</v>
      </c>
      <c r="O19" s="67">
        <v>3075</v>
      </c>
      <c r="P19" s="387">
        <v>266059.99999999988</v>
      </c>
      <c r="Q19" s="71">
        <v>3400</v>
      </c>
      <c r="R19" s="389">
        <v>273400.5</v>
      </c>
      <c r="S19" s="67"/>
      <c r="T19" s="389"/>
      <c r="U19" s="67"/>
      <c r="V19" s="389"/>
      <c r="W19" s="67"/>
      <c r="X19" s="389"/>
      <c r="Y19" s="67"/>
      <c r="Z19" s="389"/>
      <c r="AA19" s="67"/>
      <c r="AB19" s="389"/>
      <c r="AC19" s="71">
        <f t="shared" si="0"/>
        <v>20995</v>
      </c>
      <c r="AD19" s="389">
        <f t="shared" si="0"/>
        <v>1463295.4</v>
      </c>
    </row>
    <row r="20" spans="1:30" ht="16" x14ac:dyDescent="0.2">
      <c r="A20" s="388"/>
      <c r="B20" s="231" t="s">
        <v>23</v>
      </c>
      <c r="C20" s="67" t="s">
        <v>375</v>
      </c>
      <c r="D20" s="68" t="s">
        <v>374</v>
      </c>
      <c r="E20" s="69">
        <v>4250</v>
      </c>
      <c r="F20" s="389"/>
      <c r="G20" s="71">
        <v>5000</v>
      </c>
      <c r="H20" s="389"/>
      <c r="I20" s="69">
        <v>5500</v>
      </c>
      <c r="J20" s="389"/>
      <c r="K20" s="70">
        <v>4750</v>
      </c>
      <c r="L20" s="390"/>
      <c r="M20" s="70">
        <v>5000</v>
      </c>
      <c r="N20" s="390"/>
      <c r="O20" s="67">
        <v>5145</v>
      </c>
      <c r="P20" s="390"/>
      <c r="Q20" s="71">
        <v>5575</v>
      </c>
      <c r="R20" s="389"/>
      <c r="S20" s="67"/>
      <c r="T20" s="389"/>
      <c r="U20" s="67"/>
      <c r="V20" s="389"/>
      <c r="W20" s="67"/>
      <c r="X20" s="389"/>
      <c r="Y20" s="67"/>
      <c r="Z20" s="389"/>
      <c r="AA20" s="67"/>
      <c r="AB20" s="389"/>
      <c r="AC20" s="71">
        <f t="shared" si="0"/>
        <v>35220</v>
      </c>
      <c r="AD20" s="389">
        <f t="shared" si="0"/>
        <v>0</v>
      </c>
    </row>
    <row r="21" spans="1:30" ht="16" x14ac:dyDescent="0.2">
      <c r="A21" s="388">
        <v>9</v>
      </c>
      <c r="B21" s="230" t="s">
        <v>23</v>
      </c>
      <c r="C21" s="67" t="s">
        <v>33</v>
      </c>
      <c r="D21" s="68" t="s">
        <v>373</v>
      </c>
      <c r="E21" s="69">
        <v>2392</v>
      </c>
      <c r="F21" s="389">
        <v>0</v>
      </c>
      <c r="G21" s="71">
        <v>2000</v>
      </c>
      <c r="H21" s="389">
        <f>89750+84150</f>
        <v>173900</v>
      </c>
      <c r="I21" s="69">
        <v>2200</v>
      </c>
      <c r="J21" s="389">
        <v>122774</v>
      </c>
      <c r="K21" s="70">
        <v>1863</v>
      </c>
      <c r="L21" s="387">
        <v>182479</v>
      </c>
      <c r="M21" s="70">
        <v>2000</v>
      </c>
      <c r="N21" s="387">
        <v>154509.31</v>
      </c>
      <c r="O21" s="67">
        <v>2100</v>
      </c>
      <c r="P21" s="387">
        <v>165890</v>
      </c>
      <c r="Q21" s="71">
        <v>2300</v>
      </c>
      <c r="R21" s="389">
        <v>174184.5</v>
      </c>
      <c r="S21" s="67"/>
      <c r="T21" s="389"/>
      <c r="U21" s="67"/>
      <c r="V21" s="389"/>
      <c r="W21" s="67"/>
      <c r="X21" s="389"/>
      <c r="Y21" s="67"/>
      <c r="Z21" s="389"/>
      <c r="AA21" s="67"/>
      <c r="AB21" s="389"/>
      <c r="AC21" s="71">
        <f t="shared" si="0"/>
        <v>14855</v>
      </c>
      <c r="AD21" s="389">
        <f t="shared" si="0"/>
        <v>973736.81</v>
      </c>
    </row>
    <row r="22" spans="1:30" ht="16" x14ac:dyDescent="0.2">
      <c r="A22" s="388"/>
      <c r="B22" s="231" t="s">
        <v>23</v>
      </c>
      <c r="C22" s="67" t="s">
        <v>33</v>
      </c>
      <c r="D22" s="68" t="s">
        <v>374</v>
      </c>
      <c r="E22" s="69">
        <v>3400</v>
      </c>
      <c r="F22" s="389"/>
      <c r="G22" s="71">
        <v>3132</v>
      </c>
      <c r="H22" s="389"/>
      <c r="I22" s="69">
        <v>3300</v>
      </c>
      <c r="J22" s="389"/>
      <c r="K22" s="70">
        <v>2794</v>
      </c>
      <c r="L22" s="390"/>
      <c r="M22" s="70">
        <v>3000</v>
      </c>
      <c r="N22" s="390"/>
      <c r="O22" s="67">
        <v>3150</v>
      </c>
      <c r="P22" s="390"/>
      <c r="Q22" s="71">
        <v>3450</v>
      </c>
      <c r="R22" s="389"/>
      <c r="S22" s="67"/>
      <c r="T22" s="389"/>
      <c r="U22" s="67"/>
      <c r="V22" s="389"/>
      <c r="W22" s="67"/>
      <c r="X22" s="389"/>
      <c r="Y22" s="67"/>
      <c r="Z22" s="389"/>
      <c r="AA22" s="67"/>
      <c r="AB22" s="389"/>
      <c r="AC22" s="71">
        <f t="shared" si="0"/>
        <v>22226</v>
      </c>
      <c r="AD22" s="389">
        <f t="shared" si="0"/>
        <v>0</v>
      </c>
    </row>
    <row r="23" spans="1:30" ht="16" x14ac:dyDescent="0.2">
      <c r="A23" s="388">
        <v>10</v>
      </c>
      <c r="B23" s="230" t="s">
        <v>23</v>
      </c>
      <c r="C23" s="67" t="s">
        <v>34</v>
      </c>
      <c r="D23" s="68" t="s">
        <v>373</v>
      </c>
      <c r="E23" s="69">
        <v>1600</v>
      </c>
      <c r="F23" s="389">
        <v>0</v>
      </c>
      <c r="G23" s="71">
        <v>2000</v>
      </c>
      <c r="H23" s="389">
        <v>89475</v>
      </c>
      <c r="I23" s="69">
        <v>2200</v>
      </c>
      <c r="J23" s="389">
        <v>118125</v>
      </c>
      <c r="K23" s="70">
        <v>1900</v>
      </c>
      <c r="L23" s="387">
        <v>171450</v>
      </c>
      <c r="M23" s="70">
        <v>2000</v>
      </c>
      <c r="N23" s="387">
        <v>120650</v>
      </c>
      <c r="O23" s="67">
        <v>2089</v>
      </c>
      <c r="P23" s="387">
        <v>127000</v>
      </c>
      <c r="Q23" s="71">
        <v>2300</v>
      </c>
      <c r="R23" s="389">
        <v>133097</v>
      </c>
      <c r="S23" s="67"/>
      <c r="T23" s="389"/>
      <c r="U23" s="67"/>
      <c r="V23" s="389"/>
      <c r="W23" s="67"/>
      <c r="X23" s="389"/>
      <c r="Y23" s="67"/>
      <c r="Z23" s="389"/>
      <c r="AA23" s="67"/>
      <c r="AB23" s="389"/>
      <c r="AC23" s="71">
        <f t="shared" si="0"/>
        <v>14089</v>
      </c>
      <c r="AD23" s="389">
        <f t="shared" si="0"/>
        <v>759797</v>
      </c>
    </row>
    <row r="24" spans="1:30" ht="16" x14ac:dyDescent="0.2">
      <c r="A24" s="388"/>
      <c r="B24" s="231" t="s">
        <v>23</v>
      </c>
      <c r="C24" s="67" t="s">
        <v>34</v>
      </c>
      <c r="D24" s="68" t="s">
        <v>374</v>
      </c>
      <c r="E24" s="69">
        <v>2550</v>
      </c>
      <c r="F24" s="389"/>
      <c r="G24" s="71">
        <v>3000</v>
      </c>
      <c r="H24" s="389"/>
      <c r="I24" s="69">
        <v>3300</v>
      </c>
      <c r="J24" s="389"/>
      <c r="K24" s="70">
        <v>2850</v>
      </c>
      <c r="L24" s="390"/>
      <c r="M24" s="70">
        <v>3000</v>
      </c>
      <c r="N24" s="390"/>
      <c r="O24" s="67">
        <v>3150</v>
      </c>
      <c r="P24" s="390"/>
      <c r="Q24" s="71">
        <v>3450</v>
      </c>
      <c r="R24" s="389"/>
      <c r="S24" s="67"/>
      <c r="T24" s="389"/>
      <c r="U24" s="67"/>
      <c r="V24" s="389"/>
      <c r="W24" s="67"/>
      <c r="X24" s="389"/>
      <c r="Y24" s="67"/>
      <c r="Z24" s="389"/>
      <c r="AA24" s="67"/>
      <c r="AB24" s="389"/>
      <c r="AC24" s="71">
        <f t="shared" si="0"/>
        <v>21300</v>
      </c>
      <c r="AD24" s="389">
        <f t="shared" si="0"/>
        <v>0</v>
      </c>
    </row>
    <row r="25" spans="1:30" ht="16" x14ac:dyDescent="0.2">
      <c r="A25" s="388">
        <v>11</v>
      </c>
      <c r="B25" s="230" t="s">
        <v>23</v>
      </c>
      <c r="C25" s="67" t="s">
        <v>36</v>
      </c>
      <c r="D25" s="68" t="s">
        <v>373</v>
      </c>
      <c r="E25" s="69">
        <v>2400</v>
      </c>
      <c r="F25" s="389">
        <v>0</v>
      </c>
      <c r="G25" s="71">
        <v>3000</v>
      </c>
      <c r="H25" s="389">
        <f>89850+83100</f>
        <v>172950</v>
      </c>
      <c r="I25" s="69">
        <v>3300</v>
      </c>
      <c r="J25" s="389">
        <v>186975</v>
      </c>
      <c r="K25" s="70">
        <v>2810</v>
      </c>
      <c r="L25" s="387">
        <v>308750.5</v>
      </c>
      <c r="M25" s="70">
        <v>2902</v>
      </c>
      <c r="N25" s="387">
        <v>247062.15</v>
      </c>
      <c r="O25" s="67">
        <v>3042</v>
      </c>
      <c r="P25" s="387">
        <v>260687.39</v>
      </c>
      <c r="Q25" s="71">
        <v>3450</v>
      </c>
      <c r="R25" s="389">
        <v>257796.24</v>
      </c>
      <c r="S25" s="67"/>
      <c r="T25" s="389"/>
      <c r="U25" s="67"/>
      <c r="V25" s="389"/>
      <c r="W25" s="67"/>
      <c r="X25" s="389"/>
      <c r="Y25" s="67"/>
      <c r="Z25" s="389"/>
      <c r="AA25" s="67"/>
      <c r="AB25" s="389"/>
      <c r="AC25" s="71">
        <f t="shared" si="0"/>
        <v>20904</v>
      </c>
      <c r="AD25" s="389">
        <f t="shared" si="0"/>
        <v>1434221.28</v>
      </c>
    </row>
    <row r="26" spans="1:30" ht="16" x14ac:dyDescent="0.2">
      <c r="A26" s="388"/>
      <c r="B26" s="231" t="s">
        <v>23</v>
      </c>
      <c r="C26" s="67" t="s">
        <v>36</v>
      </c>
      <c r="D26" s="68" t="s">
        <v>374</v>
      </c>
      <c r="E26" s="69">
        <v>4192</v>
      </c>
      <c r="F26" s="389"/>
      <c r="G26" s="71">
        <v>5000</v>
      </c>
      <c r="H26" s="389"/>
      <c r="I26" s="69">
        <v>5500</v>
      </c>
      <c r="J26" s="389"/>
      <c r="K26" s="70">
        <v>4621</v>
      </c>
      <c r="L26" s="390"/>
      <c r="M26" s="70">
        <v>5000</v>
      </c>
      <c r="N26" s="390"/>
      <c r="O26" s="67">
        <v>4722</v>
      </c>
      <c r="P26" s="390"/>
      <c r="Q26" s="71">
        <v>5750</v>
      </c>
      <c r="R26" s="389"/>
      <c r="S26" s="67"/>
      <c r="T26" s="389"/>
      <c r="U26" s="67"/>
      <c r="V26" s="389"/>
      <c r="W26" s="67"/>
      <c r="X26" s="389"/>
      <c r="Y26" s="67"/>
      <c r="Z26" s="389"/>
      <c r="AA26" s="67"/>
      <c r="AB26" s="389"/>
      <c r="AC26" s="71">
        <f t="shared" si="0"/>
        <v>34785</v>
      </c>
      <c r="AD26" s="389">
        <f t="shared" si="0"/>
        <v>0</v>
      </c>
    </row>
    <row r="27" spans="1:30" ht="16" x14ac:dyDescent="0.2">
      <c r="A27" s="388">
        <v>12</v>
      </c>
      <c r="B27" s="230" t="s">
        <v>23</v>
      </c>
      <c r="C27" s="67" t="s">
        <v>376</v>
      </c>
      <c r="D27" s="68" t="s">
        <v>373</v>
      </c>
      <c r="E27" s="69">
        <v>2400</v>
      </c>
      <c r="F27" s="389">
        <v>0</v>
      </c>
      <c r="G27" s="71">
        <v>3000</v>
      </c>
      <c r="H27" s="389">
        <f>89250+83700</f>
        <v>172950</v>
      </c>
      <c r="I27" s="69">
        <v>3300</v>
      </c>
      <c r="J27" s="389">
        <v>120900</v>
      </c>
      <c r="K27" s="70">
        <v>2850</v>
      </c>
      <c r="L27" s="387">
        <v>232200</v>
      </c>
      <c r="M27" s="70">
        <v>3000</v>
      </c>
      <c r="N27" s="387">
        <v>0</v>
      </c>
      <c r="O27" s="67">
        <v>3150</v>
      </c>
      <c r="P27" s="387">
        <v>344340</v>
      </c>
      <c r="Q27" s="71">
        <v>3425</v>
      </c>
      <c r="R27" s="389">
        <v>185850</v>
      </c>
      <c r="S27" s="67"/>
      <c r="T27" s="389"/>
      <c r="U27" s="67"/>
      <c r="V27" s="389"/>
      <c r="W27" s="67"/>
      <c r="X27" s="389"/>
      <c r="Y27" s="67"/>
      <c r="Z27" s="389"/>
      <c r="AA27" s="67"/>
      <c r="AB27" s="389"/>
      <c r="AC27" s="71">
        <f t="shared" si="0"/>
        <v>21125</v>
      </c>
      <c r="AD27" s="389">
        <f t="shared" si="0"/>
        <v>1056240</v>
      </c>
    </row>
    <row r="28" spans="1:30" ht="16" x14ac:dyDescent="0.2">
      <c r="A28" s="388"/>
      <c r="B28" s="231" t="s">
        <v>23</v>
      </c>
      <c r="C28" s="67" t="s">
        <v>376</v>
      </c>
      <c r="D28" s="68" t="s">
        <v>374</v>
      </c>
      <c r="E28" s="69">
        <v>3400</v>
      </c>
      <c r="F28" s="389"/>
      <c r="G28" s="71">
        <v>3900</v>
      </c>
      <c r="H28" s="389"/>
      <c r="I28" s="69">
        <v>4400</v>
      </c>
      <c r="J28" s="389"/>
      <c r="K28" s="70">
        <v>3800</v>
      </c>
      <c r="L28" s="390"/>
      <c r="M28" s="70">
        <v>3970</v>
      </c>
      <c r="N28" s="390"/>
      <c r="O28" s="67">
        <v>4200</v>
      </c>
      <c r="P28" s="390"/>
      <c r="Q28" s="71">
        <v>4600</v>
      </c>
      <c r="R28" s="389"/>
      <c r="S28" s="67"/>
      <c r="T28" s="389"/>
      <c r="U28" s="67"/>
      <c r="V28" s="389"/>
      <c r="W28" s="67"/>
      <c r="X28" s="389"/>
      <c r="Y28" s="67"/>
      <c r="Z28" s="389"/>
      <c r="AA28" s="67"/>
      <c r="AB28" s="389"/>
      <c r="AC28" s="71">
        <f t="shared" si="0"/>
        <v>28270</v>
      </c>
      <c r="AD28" s="389">
        <f t="shared" si="0"/>
        <v>0</v>
      </c>
    </row>
    <row r="29" spans="1:30" ht="16" x14ac:dyDescent="0.2">
      <c r="A29" s="388">
        <v>13</v>
      </c>
      <c r="B29" s="230" t="s">
        <v>23</v>
      </c>
      <c r="C29" s="67" t="s">
        <v>377</v>
      </c>
      <c r="D29" s="68" t="s">
        <v>373</v>
      </c>
      <c r="E29" s="69">
        <v>1064</v>
      </c>
      <c r="F29" s="389">
        <v>0</v>
      </c>
      <c r="G29" s="71">
        <v>2000</v>
      </c>
      <c r="H29" s="389">
        <v>88950</v>
      </c>
      <c r="I29" s="69">
        <v>2200</v>
      </c>
      <c r="J29" s="389">
        <v>150075</v>
      </c>
      <c r="K29" s="70">
        <v>1850</v>
      </c>
      <c r="L29" s="387">
        <v>182479</v>
      </c>
      <c r="M29" s="70">
        <v>2000</v>
      </c>
      <c r="N29" s="387">
        <v>156032</v>
      </c>
      <c r="O29" s="67">
        <v>2100</v>
      </c>
      <c r="P29" s="387">
        <v>158862.19999999995</v>
      </c>
      <c r="Q29" s="71">
        <v>1725</v>
      </c>
      <c r="R29" s="389">
        <v>174184.5</v>
      </c>
      <c r="S29" s="67"/>
      <c r="T29" s="389"/>
      <c r="U29" s="67"/>
      <c r="V29" s="389"/>
      <c r="W29" s="67"/>
      <c r="X29" s="389"/>
      <c r="Y29" s="67"/>
      <c r="Z29" s="389"/>
      <c r="AA29" s="67"/>
      <c r="AB29" s="389"/>
      <c r="AC29" s="71">
        <f t="shared" si="0"/>
        <v>12939</v>
      </c>
      <c r="AD29" s="389">
        <f t="shared" si="0"/>
        <v>910582.7</v>
      </c>
    </row>
    <row r="30" spans="1:30" ht="16" x14ac:dyDescent="0.2">
      <c r="A30" s="388"/>
      <c r="B30" s="231" t="s">
        <v>23</v>
      </c>
      <c r="C30" s="67" t="s">
        <v>377</v>
      </c>
      <c r="D30" s="68" t="s">
        <v>374</v>
      </c>
      <c r="E30" s="69">
        <v>2017</v>
      </c>
      <c r="F30" s="389"/>
      <c r="G30" s="71">
        <v>3000</v>
      </c>
      <c r="H30" s="389"/>
      <c r="I30" s="69">
        <v>3300</v>
      </c>
      <c r="J30" s="389"/>
      <c r="K30" s="70">
        <v>2850</v>
      </c>
      <c r="L30" s="390"/>
      <c r="M30" s="70">
        <v>2796</v>
      </c>
      <c r="N30" s="390"/>
      <c r="O30" s="67">
        <v>3150</v>
      </c>
      <c r="P30" s="390"/>
      <c r="Q30" s="71">
        <v>2875</v>
      </c>
      <c r="R30" s="389"/>
      <c r="S30" s="67"/>
      <c r="T30" s="389"/>
      <c r="U30" s="67"/>
      <c r="V30" s="389"/>
      <c r="W30" s="67"/>
      <c r="X30" s="389"/>
      <c r="Y30" s="67"/>
      <c r="Z30" s="389"/>
      <c r="AA30" s="67"/>
      <c r="AB30" s="389"/>
      <c r="AC30" s="71">
        <f t="shared" si="0"/>
        <v>19988</v>
      </c>
      <c r="AD30" s="389">
        <f t="shared" si="0"/>
        <v>0</v>
      </c>
    </row>
    <row r="31" spans="1:30" ht="16" x14ac:dyDescent="0.2">
      <c r="A31" s="393">
        <v>14</v>
      </c>
      <c r="B31" s="232" t="s">
        <v>23</v>
      </c>
      <c r="C31" s="73" t="s">
        <v>638</v>
      </c>
      <c r="D31" s="74" t="s">
        <v>373</v>
      </c>
      <c r="E31" s="75">
        <v>0</v>
      </c>
      <c r="F31" s="394">
        <v>0</v>
      </c>
      <c r="G31" s="233">
        <v>0</v>
      </c>
      <c r="H31" s="394">
        <v>0</v>
      </c>
      <c r="I31" s="233">
        <v>0</v>
      </c>
      <c r="J31" s="394">
        <v>0</v>
      </c>
      <c r="K31" s="233">
        <v>0</v>
      </c>
      <c r="L31" s="394">
        <v>0</v>
      </c>
      <c r="M31" s="233">
        <v>0</v>
      </c>
      <c r="N31" s="394">
        <v>0</v>
      </c>
      <c r="O31" s="73">
        <v>0</v>
      </c>
      <c r="P31" s="394">
        <v>0</v>
      </c>
      <c r="Q31" s="76">
        <v>3000</v>
      </c>
      <c r="R31" s="396">
        <v>0</v>
      </c>
      <c r="S31" s="73"/>
      <c r="T31" s="396"/>
      <c r="U31" s="73"/>
      <c r="V31" s="396"/>
      <c r="W31" s="73"/>
      <c r="X31" s="396"/>
      <c r="Y31" s="73"/>
      <c r="Z31" s="396"/>
      <c r="AA31" s="73"/>
      <c r="AB31" s="396"/>
      <c r="AC31" s="76">
        <f t="shared" si="0"/>
        <v>3000</v>
      </c>
      <c r="AD31" s="396">
        <f t="shared" si="0"/>
        <v>0</v>
      </c>
    </row>
    <row r="32" spans="1:30" ht="16" x14ac:dyDescent="0.2">
      <c r="A32" s="393"/>
      <c r="B32" s="234" t="s">
        <v>23</v>
      </c>
      <c r="C32" s="73" t="s">
        <v>638</v>
      </c>
      <c r="D32" s="74" t="s">
        <v>374</v>
      </c>
      <c r="E32" s="75">
        <v>0</v>
      </c>
      <c r="F32" s="395"/>
      <c r="G32" s="233">
        <v>0</v>
      </c>
      <c r="H32" s="395"/>
      <c r="I32" s="233">
        <v>0</v>
      </c>
      <c r="J32" s="395"/>
      <c r="K32" s="233">
        <v>0</v>
      </c>
      <c r="L32" s="395"/>
      <c r="M32" s="233">
        <v>0</v>
      </c>
      <c r="N32" s="395"/>
      <c r="O32" s="73">
        <v>0</v>
      </c>
      <c r="P32" s="395"/>
      <c r="Q32" s="76">
        <v>4000</v>
      </c>
      <c r="R32" s="396"/>
      <c r="S32" s="73"/>
      <c r="T32" s="396"/>
      <c r="U32" s="73"/>
      <c r="V32" s="396"/>
      <c r="W32" s="73"/>
      <c r="X32" s="396"/>
      <c r="Y32" s="73"/>
      <c r="Z32" s="396"/>
      <c r="AA32" s="73"/>
      <c r="AB32" s="396"/>
      <c r="AC32" s="76">
        <f t="shared" si="0"/>
        <v>4000</v>
      </c>
      <c r="AD32" s="396">
        <f t="shared" si="0"/>
        <v>0</v>
      </c>
    </row>
    <row r="33" spans="1:30" ht="16" x14ac:dyDescent="0.2">
      <c r="A33" s="393">
        <v>15</v>
      </c>
      <c r="B33" s="232" t="s">
        <v>42</v>
      </c>
      <c r="C33" s="73" t="s">
        <v>43</v>
      </c>
      <c r="D33" s="74" t="s">
        <v>373</v>
      </c>
      <c r="E33" s="75">
        <v>0</v>
      </c>
      <c r="F33" s="394">
        <v>0</v>
      </c>
      <c r="G33" s="233">
        <v>0</v>
      </c>
      <c r="H33" s="394">
        <v>0</v>
      </c>
      <c r="I33" s="233">
        <v>0</v>
      </c>
      <c r="J33" s="394">
        <v>0</v>
      </c>
      <c r="K33" s="233">
        <v>0</v>
      </c>
      <c r="L33" s="394">
        <v>0</v>
      </c>
      <c r="M33" s="233">
        <v>0</v>
      </c>
      <c r="N33" s="394">
        <v>0</v>
      </c>
      <c r="O33" s="73">
        <v>0</v>
      </c>
      <c r="P33" s="394">
        <v>0</v>
      </c>
      <c r="Q33" s="76">
        <v>300</v>
      </c>
      <c r="R33" s="396">
        <v>0</v>
      </c>
      <c r="S33" s="73"/>
      <c r="T33" s="396"/>
      <c r="U33" s="73"/>
      <c r="V33" s="396"/>
      <c r="W33" s="73"/>
      <c r="X33" s="396"/>
      <c r="Y33" s="73"/>
      <c r="Z33" s="396"/>
      <c r="AA33" s="73"/>
      <c r="AB33" s="396"/>
      <c r="AC33" s="76">
        <f t="shared" si="0"/>
        <v>300</v>
      </c>
      <c r="AD33" s="396">
        <f t="shared" si="0"/>
        <v>0</v>
      </c>
    </row>
    <row r="34" spans="1:30" ht="16" x14ac:dyDescent="0.2">
      <c r="A34" s="393"/>
      <c r="B34" s="234" t="s">
        <v>42</v>
      </c>
      <c r="C34" s="73" t="s">
        <v>43</v>
      </c>
      <c r="D34" s="74" t="s">
        <v>374</v>
      </c>
      <c r="E34" s="75">
        <v>0</v>
      </c>
      <c r="F34" s="395"/>
      <c r="G34" s="233">
        <v>0</v>
      </c>
      <c r="H34" s="395"/>
      <c r="I34" s="233">
        <v>0</v>
      </c>
      <c r="J34" s="395"/>
      <c r="K34" s="233">
        <v>0</v>
      </c>
      <c r="L34" s="395"/>
      <c r="M34" s="233">
        <v>0</v>
      </c>
      <c r="N34" s="395"/>
      <c r="O34" s="73">
        <v>0</v>
      </c>
      <c r="P34" s="395"/>
      <c r="Q34" s="76">
        <v>300</v>
      </c>
      <c r="R34" s="396"/>
      <c r="S34" s="73"/>
      <c r="T34" s="396"/>
      <c r="U34" s="73"/>
      <c r="V34" s="396"/>
      <c r="W34" s="73"/>
      <c r="X34" s="396"/>
      <c r="Y34" s="73"/>
      <c r="Z34" s="396"/>
      <c r="AA34" s="73"/>
      <c r="AB34" s="396"/>
      <c r="AC34" s="76">
        <f t="shared" si="0"/>
        <v>300</v>
      </c>
      <c r="AD34" s="396">
        <f t="shared" si="0"/>
        <v>0</v>
      </c>
    </row>
    <row r="35" spans="1:30" ht="16" x14ac:dyDescent="0.2">
      <c r="A35" s="393">
        <v>16</v>
      </c>
      <c r="B35" s="232" t="s">
        <v>42</v>
      </c>
      <c r="C35" s="73" t="s">
        <v>639</v>
      </c>
      <c r="D35" s="74" t="s">
        <v>373</v>
      </c>
      <c r="E35" s="75">
        <v>0</v>
      </c>
      <c r="F35" s="394">
        <v>0</v>
      </c>
      <c r="G35" s="233">
        <v>0</v>
      </c>
      <c r="H35" s="394">
        <v>0</v>
      </c>
      <c r="I35" s="233">
        <v>0</v>
      </c>
      <c r="J35" s="394">
        <v>0</v>
      </c>
      <c r="K35" s="233">
        <v>0</v>
      </c>
      <c r="L35" s="394">
        <v>0</v>
      </c>
      <c r="M35" s="233">
        <v>0</v>
      </c>
      <c r="N35" s="394">
        <v>0</v>
      </c>
      <c r="O35" s="73">
        <v>0</v>
      </c>
      <c r="P35" s="394">
        <v>0</v>
      </c>
      <c r="Q35" s="76">
        <v>450</v>
      </c>
      <c r="R35" s="396">
        <v>0</v>
      </c>
      <c r="S35" s="73"/>
      <c r="T35" s="396"/>
      <c r="U35" s="73"/>
      <c r="V35" s="396"/>
      <c r="W35" s="73"/>
      <c r="X35" s="396"/>
      <c r="Y35" s="73"/>
      <c r="Z35" s="396"/>
      <c r="AA35" s="73"/>
      <c r="AB35" s="396"/>
      <c r="AC35" s="76">
        <f t="shared" si="0"/>
        <v>450</v>
      </c>
      <c r="AD35" s="396">
        <f t="shared" si="0"/>
        <v>0</v>
      </c>
    </row>
    <row r="36" spans="1:30" ht="16" x14ac:dyDescent="0.2">
      <c r="A36" s="393"/>
      <c r="B36" s="234" t="s">
        <v>42</v>
      </c>
      <c r="C36" s="73" t="s">
        <v>639</v>
      </c>
      <c r="D36" s="74" t="s">
        <v>374</v>
      </c>
      <c r="E36" s="75">
        <v>0</v>
      </c>
      <c r="F36" s="395"/>
      <c r="G36" s="233">
        <v>0</v>
      </c>
      <c r="H36" s="395"/>
      <c r="I36" s="233">
        <v>0</v>
      </c>
      <c r="J36" s="395"/>
      <c r="K36" s="233">
        <v>0</v>
      </c>
      <c r="L36" s="395"/>
      <c r="M36" s="233">
        <v>0</v>
      </c>
      <c r="N36" s="395"/>
      <c r="O36" s="73">
        <v>0</v>
      </c>
      <c r="P36" s="395"/>
      <c r="Q36" s="76">
        <v>400</v>
      </c>
      <c r="R36" s="396"/>
      <c r="S36" s="73"/>
      <c r="T36" s="396"/>
      <c r="U36" s="73"/>
      <c r="V36" s="396"/>
      <c r="W36" s="73"/>
      <c r="X36" s="396"/>
      <c r="Y36" s="73"/>
      <c r="Z36" s="396"/>
      <c r="AA36" s="73"/>
      <c r="AB36" s="396"/>
      <c r="AC36" s="76">
        <f t="shared" si="0"/>
        <v>400</v>
      </c>
      <c r="AD36" s="396">
        <f t="shared" si="0"/>
        <v>0</v>
      </c>
    </row>
    <row r="37" spans="1:30" ht="16" x14ac:dyDescent="0.2">
      <c r="A37" s="393">
        <v>17</v>
      </c>
      <c r="B37" s="232" t="s">
        <v>42</v>
      </c>
      <c r="C37" s="73" t="s">
        <v>640</v>
      </c>
      <c r="D37" s="74" t="s">
        <v>373</v>
      </c>
      <c r="E37" s="75">
        <v>0</v>
      </c>
      <c r="F37" s="394">
        <v>0</v>
      </c>
      <c r="G37" s="233">
        <v>0</v>
      </c>
      <c r="H37" s="394">
        <v>0</v>
      </c>
      <c r="I37" s="233">
        <v>0</v>
      </c>
      <c r="J37" s="394">
        <v>0</v>
      </c>
      <c r="K37" s="233">
        <v>0</v>
      </c>
      <c r="L37" s="394">
        <v>0</v>
      </c>
      <c r="M37" s="233">
        <v>0</v>
      </c>
      <c r="N37" s="394">
        <v>0</v>
      </c>
      <c r="O37" s="73">
        <v>0</v>
      </c>
      <c r="P37" s="394">
        <v>0</v>
      </c>
      <c r="Q37" s="76">
        <v>450</v>
      </c>
      <c r="R37" s="396">
        <v>0</v>
      </c>
      <c r="S37" s="73"/>
      <c r="T37" s="396"/>
      <c r="U37" s="73"/>
      <c r="V37" s="396"/>
      <c r="W37" s="73"/>
      <c r="X37" s="396"/>
      <c r="Y37" s="73"/>
      <c r="Z37" s="396"/>
      <c r="AA37" s="73"/>
      <c r="AB37" s="396"/>
      <c r="AC37" s="76">
        <f t="shared" si="0"/>
        <v>450</v>
      </c>
      <c r="AD37" s="396">
        <f t="shared" si="0"/>
        <v>0</v>
      </c>
    </row>
    <row r="38" spans="1:30" ht="16" x14ac:dyDescent="0.2">
      <c r="A38" s="393"/>
      <c r="B38" s="234" t="s">
        <v>42</v>
      </c>
      <c r="C38" s="73" t="s">
        <v>640</v>
      </c>
      <c r="D38" s="74" t="s">
        <v>374</v>
      </c>
      <c r="E38" s="75">
        <v>0</v>
      </c>
      <c r="F38" s="395"/>
      <c r="G38" s="233">
        <v>0</v>
      </c>
      <c r="H38" s="395"/>
      <c r="I38" s="233">
        <v>0</v>
      </c>
      <c r="J38" s="395"/>
      <c r="K38" s="233">
        <v>0</v>
      </c>
      <c r="L38" s="395"/>
      <c r="M38" s="233">
        <v>0</v>
      </c>
      <c r="N38" s="395"/>
      <c r="O38" s="73">
        <v>0</v>
      </c>
      <c r="P38" s="395"/>
      <c r="Q38" s="76">
        <v>450</v>
      </c>
      <c r="R38" s="396"/>
      <c r="S38" s="73"/>
      <c r="T38" s="396"/>
      <c r="U38" s="73"/>
      <c r="V38" s="396"/>
      <c r="W38" s="73"/>
      <c r="X38" s="396"/>
      <c r="Y38" s="73"/>
      <c r="Z38" s="396"/>
      <c r="AA38" s="73"/>
      <c r="AB38" s="396"/>
      <c r="AC38" s="76">
        <f t="shared" si="0"/>
        <v>450</v>
      </c>
      <c r="AD38" s="396">
        <f t="shared" si="0"/>
        <v>0</v>
      </c>
    </row>
    <row r="39" spans="1:30" ht="16" x14ac:dyDescent="0.2">
      <c r="A39" s="388">
        <v>18</v>
      </c>
      <c r="B39" s="230" t="s">
        <v>42</v>
      </c>
      <c r="C39" s="67" t="s">
        <v>378</v>
      </c>
      <c r="D39" s="68" t="s">
        <v>373</v>
      </c>
      <c r="E39" s="69">
        <v>0</v>
      </c>
      <c r="F39" s="389">
        <v>0</v>
      </c>
      <c r="G39" s="71">
        <v>0</v>
      </c>
      <c r="H39" s="389">
        <v>0</v>
      </c>
      <c r="I39" s="69">
        <v>1200</v>
      </c>
      <c r="J39" s="389">
        <v>0</v>
      </c>
      <c r="K39" s="70">
        <v>2350</v>
      </c>
      <c r="L39" s="387">
        <v>63500</v>
      </c>
      <c r="M39" s="70">
        <v>3000</v>
      </c>
      <c r="N39" s="387">
        <v>0</v>
      </c>
      <c r="O39" s="67">
        <v>3150</v>
      </c>
      <c r="P39" s="387">
        <v>366955.4</v>
      </c>
      <c r="Q39" s="71">
        <v>3300</v>
      </c>
      <c r="R39" s="389">
        <v>190927.19999999995</v>
      </c>
      <c r="S39" s="67"/>
      <c r="T39" s="389"/>
      <c r="U39" s="67"/>
      <c r="V39" s="389"/>
      <c r="W39" s="67"/>
      <c r="X39" s="389"/>
      <c r="Y39" s="67"/>
      <c r="Z39" s="389"/>
      <c r="AA39" s="67"/>
      <c r="AB39" s="389"/>
      <c r="AC39" s="71">
        <f t="shared" si="0"/>
        <v>13000</v>
      </c>
      <c r="AD39" s="389">
        <f t="shared" si="0"/>
        <v>621382.6</v>
      </c>
    </row>
    <row r="40" spans="1:30" ht="16" x14ac:dyDescent="0.2">
      <c r="A40" s="388"/>
      <c r="B40" s="231" t="s">
        <v>42</v>
      </c>
      <c r="C40" s="67" t="s">
        <v>378</v>
      </c>
      <c r="D40" s="68" t="s">
        <v>374</v>
      </c>
      <c r="E40" s="69">
        <v>0</v>
      </c>
      <c r="F40" s="389"/>
      <c r="G40" s="71">
        <v>0</v>
      </c>
      <c r="H40" s="389"/>
      <c r="I40" s="69">
        <v>1800</v>
      </c>
      <c r="J40" s="389"/>
      <c r="K40" s="70">
        <v>3500</v>
      </c>
      <c r="L40" s="390"/>
      <c r="M40" s="70">
        <v>4858</v>
      </c>
      <c r="N40" s="390"/>
      <c r="O40" s="67">
        <v>5191</v>
      </c>
      <c r="P40" s="390"/>
      <c r="Q40" s="71">
        <v>5500</v>
      </c>
      <c r="R40" s="389"/>
      <c r="S40" s="67"/>
      <c r="T40" s="389"/>
      <c r="U40" s="67"/>
      <c r="V40" s="389"/>
      <c r="W40" s="67"/>
      <c r="X40" s="389"/>
      <c r="Y40" s="67"/>
      <c r="Z40" s="389"/>
      <c r="AA40" s="67"/>
      <c r="AB40" s="389"/>
      <c r="AC40" s="71">
        <f t="shared" si="0"/>
        <v>20849</v>
      </c>
      <c r="AD40" s="389">
        <f t="shared" si="0"/>
        <v>0</v>
      </c>
    </row>
    <row r="41" spans="1:30" ht="16" x14ac:dyDescent="0.2">
      <c r="A41" s="388">
        <v>19</v>
      </c>
      <c r="B41" s="230" t="s">
        <v>42</v>
      </c>
      <c r="C41" s="67" t="s">
        <v>379</v>
      </c>
      <c r="D41" s="68" t="s">
        <v>373</v>
      </c>
      <c r="E41" s="69">
        <v>0</v>
      </c>
      <c r="F41" s="389">
        <v>0</v>
      </c>
      <c r="G41" s="71">
        <v>0</v>
      </c>
      <c r="H41" s="389">
        <v>0</v>
      </c>
      <c r="I41" s="69">
        <v>0</v>
      </c>
      <c r="J41" s="389">
        <v>0</v>
      </c>
      <c r="K41" s="70">
        <v>1885</v>
      </c>
      <c r="L41" s="387">
        <v>96407</v>
      </c>
      <c r="M41" s="70">
        <v>1900</v>
      </c>
      <c r="N41" s="387">
        <v>160399.20000000001</v>
      </c>
      <c r="O41" s="67">
        <v>2100</v>
      </c>
      <c r="P41" s="387">
        <v>155409.79999999999</v>
      </c>
      <c r="Q41" s="71">
        <v>2300</v>
      </c>
      <c r="R41" s="389">
        <v>212607</v>
      </c>
      <c r="S41" s="67"/>
      <c r="T41" s="389"/>
      <c r="U41" s="67"/>
      <c r="V41" s="389"/>
      <c r="W41" s="67"/>
      <c r="X41" s="389"/>
      <c r="Y41" s="67"/>
      <c r="Z41" s="389"/>
      <c r="AA41" s="67"/>
      <c r="AB41" s="389"/>
      <c r="AC41" s="71">
        <f t="shared" si="0"/>
        <v>8185</v>
      </c>
      <c r="AD41" s="389">
        <f t="shared" si="0"/>
        <v>624823</v>
      </c>
    </row>
    <row r="42" spans="1:30" ht="16" x14ac:dyDescent="0.2">
      <c r="A42" s="388"/>
      <c r="B42" s="231" t="s">
        <v>42</v>
      </c>
      <c r="C42" s="67" t="s">
        <v>379</v>
      </c>
      <c r="D42" s="68" t="s">
        <v>374</v>
      </c>
      <c r="E42" s="69">
        <v>0</v>
      </c>
      <c r="F42" s="389"/>
      <c r="G42" s="71">
        <v>0</v>
      </c>
      <c r="H42" s="389"/>
      <c r="I42" s="69">
        <v>0</v>
      </c>
      <c r="J42" s="389"/>
      <c r="K42" s="70">
        <v>2945</v>
      </c>
      <c r="L42" s="390"/>
      <c r="M42" s="70">
        <v>3316</v>
      </c>
      <c r="N42" s="390"/>
      <c r="O42" s="67">
        <v>3636</v>
      </c>
      <c r="P42" s="390"/>
      <c r="Q42" s="71">
        <v>3838</v>
      </c>
      <c r="R42" s="389"/>
      <c r="S42" s="67"/>
      <c r="T42" s="389"/>
      <c r="U42" s="67"/>
      <c r="V42" s="389"/>
      <c r="W42" s="67"/>
      <c r="X42" s="389"/>
      <c r="Y42" s="67"/>
      <c r="Z42" s="389"/>
      <c r="AA42" s="67"/>
      <c r="AB42" s="389"/>
      <c r="AC42" s="71">
        <f t="shared" si="0"/>
        <v>13735</v>
      </c>
      <c r="AD42" s="389">
        <f t="shared" si="0"/>
        <v>0</v>
      </c>
    </row>
    <row r="43" spans="1:30" ht="16" x14ac:dyDescent="0.2">
      <c r="A43" s="393">
        <v>20</v>
      </c>
      <c r="B43" s="232" t="s">
        <v>42</v>
      </c>
      <c r="C43" s="73" t="s">
        <v>641</v>
      </c>
      <c r="D43" s="74" t="s">
        <v>373</v>
      </c>
      <c r="E43" s="75">
        <v>0</v>
      </c>
      <c r="F43" s="394">
        <v>0</v>
      </c>
      <c r="G43" s="233">
        <v>0</v>
      </c>
      <c r="H43" s="394">
        <v>0</v>
      </c>
      <c r="I43" s="233">
        <v>0</v>
      </c>
      <c r="J43" s="394">
        <v>0</v>
      </c>
      <c r="K43" s="233">
        <v>0</v>
      </c>
      <c r="L43" s="394">
        <v>0</v>
      </c>
      <c r="M43" s="233">
        <v>0</v>
      </c>
      <c r="N43" s="394">
        <v>0</v>
      </c>
      <c r="O43" s="73">
        <v>0</v>
      </c>
      <c r="P43" s="394">
        <v>0</v>
      </c>
      <c r="Q43" s="76">
        <v>1825</v>
      </c>
      <c r="R43" s="396">
        <v>0</v>
      </c>
      <c r="S43" s="73"/>
      <c r="T43" s="396"/>
      <c r="U43" s="73"/>
      <c r="V43" s="396"/>
      <c r="W43" s="73"/>
      <c r="X43" s="396"/>
      <c r="Y43" s="73"/>
      <c r="Z43" s="396"/>
      <c r="AA43" s="73"/>
      <c r="AB43" s="396"/>
      <c r="AC43" s="76">
        <f t="shared" si="0"/>
        <v>1825</v>
      </c>
      <c r="AD43" s="396">
        <f t="shared" si="0"/>
        <v>0</v>
      </c>
    </row>
    <row r="44" spans="1:30" ht="16" x14ac:dyDescent="0.2">
      <c r="A44" s="393"/>
      <c r="B44" s="234" t="s">
        <v>42</v>
      </c>
      <c r="C44" s="73" t="s">
        <v>641</v>
      </c>
      <c r="D44" s="74" t="s">
        <v>374</v>
      </c>
      <c r="E44" s="75">
        <v>0</v>
      </c>
      <c r="F44" s="395"/>
      <c r="G44" s="233">
        <v>0</v>
      </c>
      <c r="H44" s="395"/>
      <c r="I44" s="233">
        <v>0</v>
      </c>
      <c r="J44" s="395"/>
      <c r="K44" s="233">
        <v>0</v>
      </c>
      <c r="L44" s="395"/>
      <c r="M44" s="233">
        <v>0</v>
      </c>
      <c r="N44" s="395"/>
      <c r="O44" s="73">
        <v>0</v>
      </c>
      <c r="P44" s="395"/>
      <c r="Q44" s="76">
        <v>2225</v>
      </c>
      <c r="R44" s="396"/>
      <c r="S44" s="73"/>
      <c r="T44" s="396"/>
      <c r="U44" s="73"/>
      <c r="V44" s="396"/>
      <c r="W44" s="73"/>
      <c r="X44" s="396"/>
      <c r="Y44" s="73"/>
      <c r="Z44" s="396"/>
      <c r="AA44" s="73"/>
      <c r="AB44" s="396"/>
      <c r="AC44" s="76">
        <f t="shared" si="0"/>
        <v>2225</v>
      </c>
      <c r="AD44" s="396">
        <f t="shared" si="0"/>
        <v>0</v>
      </c>
    </row>
    <row r="45" spans="1:30" ht="16" x14ac:dyDescent="0.2">
      <c r="A45" s="393">
        <v>21</v>
      </c>
      <c r="B45" s="232" t="s">
        <v>42</v>
      </c>
      <c r="C45" s="73" t="s">
        <v>642</v>
      </c>
      <c r="D45" s="74" t="s">
        <v>373</v>
      </c>
      <c r="E45" s="75">
        <v>0</v>
      </c>
      <c r="F45" s="394">
        <v>0</v>
      </c>
      <c r="G45" s="233">
        <v>0</v>
      </c>
      <c r="H45" s="394">
        <v>0</v>
      </c>
      <c r="I45" s="233">
        <v>0</v>
      </c>
      <c r="J45" s="394">
        <v>0</v>
      </c>
      <c r="K45" s="233">
        <v>0</v>
      </c>
      <c r="L45" s="394">
        <v>0</v>
      </c>
      <c r="M45" s="233">
        <v>0</v>
      </c>
      <c r="N45" s="394">
        <v>0</v>
      </c>
      <c r="O45" s="73">
        <v>0</v>
      </c>
      <c r="P45" s="394">
        <v>0</v>
      </c>
      <c r="Q45" s="76">
        <v>1850</v>
      </c>
      <c r="R45" s="396">
        <v>0</v>
      </c>
      <c r="S45" s="73"/>
      <c r="T45" s="396"/>
      <c r="U45" s="73"/>
      <c r="V45" s="396"/>
      <c r="W45" s="73"/>
      <c r="X45" s="396"/>
      <c r="Y45" s="73"/>
      <c r="Z45" s="396"/>
      <c r="AA45" s="73"/>
      <c r="AB45" s="396"/>
      <c r="AC45" s="76">
        <f t="shared" si="0"/>
        <v>1850</v>
      </c>
      <c r="AD45" s="396">
        <f t="shared" si="0"/>
        <v>0</v>
      </c>
    </row>
    <row r="46" spans="1:30" ht="16" x14ac:dyDescent="0.2">
      <c r="A46" s="393"/>
      <c r="B46" s="234" t="s">
        <v>42</v>
      </c>
      <c r="C46" s="73" t="s">
        <v>642</v>
      </c>
      <c r="D46" s="74" t="s">
        <v>374</v>
      </c>
      <c r="E46" s="75">
        <v>0</v>
      </c>
      <c r="F46" s="395"/>
      <c r="G46" s="233">
        <v>0</v>
      </c>
      <c r="H46" s="395"/>
      <c r="I46" s="233">
        <v>0</v>
      </c>
      <c r="J46" s="395"/>
      <c r="K46" s="233">
        <v>0</v>
      </c>
      <c r="L46" s="395"/>
      <c r="M46" s="233">
        <v>0</v>
      </c>
      <c r="N46" s="395"/>
      <c r="O46" s="73">
        <v>0</v>
      </c>
      <c r="P46" s="395"/>
      <c r="Q46" s="76">
        <v>2700</v>
      </c>
      <c r="R46" s="396"/>
      <c r="S46" s="73"/>
      <c r="T46" s="396"/>
      <c r="U46" s="73"/>
      <c r="V46" s="396"/>
      <c r="W46" s="73"/>
      <c r="X46" s="396"/>
      <c r="Y46" s="73"/>
      <c r="Z46" s="396"/>
      <c r="AA46" s="73"/>
      <c r="AB46" s="396"/>
      <c r="AC46" s="76">
        <f t="shared" si="0"/>
        <v>2700</v>
      </c>
      <c r="AD46" s="396">
        <f t="shared" si="0"/>
        <v>0</v>
      </c>
    </row>
    <row r="47" spans="1:30" ht="16" x14ac:dyDescent="0.2">
      <c r="A47" s="388">
        <v>22</v>
      </c>
      <c r="B47" s="230" t="s">
        <v>42</v>
      </c>
      <c r="C47" s="67" t="s">
        <v>380</v>
      </c>
      <c r="D47" s="68" t="s">
        <v>373</v>
      </c>
      <c r="E47" s="69">
        <v>1200</v>
      </c>
      <c r="F47" s="389">
        <v>0</v>
      </c>
      <c r="G47" s="71">
        <v>1500</v>
      </c>
      <c r="H47" s="389">
        <v>89250</v>
      </c>
      <c r="I47" s="69">
        <v>1650</v>
      </c>
      <c r="J47" s="389">
        <v>95570.5</v>
      </c>
      <c r="K47" s="70">
        <v>1900</v>
      </c>
      <c r="L47" s="387">
        <v>155925</v>
      </c>
      <c r="M47" s="70">
        <v>1979</v>
      </c>
      <c r="N47" s="387">
        <v>0</v>
      </c>
      <c r="O47" s="67">
        <v>2100</v>
      </c>
      <c r="P47" s="387">
        <v>133475</v>
      </c>
      <c r="Q47" s="71">
        <v>2290</v>
      </c>
      <c r="R47" s="389">
        <v>285004</v>
      </c>
      <c r="S47" s="67"/>
      <c r="T47" s="389"/>
      <c r="U47" s="67"/>
      <c r="V47" s="389"/>
      <c r="W47" s="67"/>
      <c r="X47" s="389"/>
      <c r="Y47" s="67"/>
      <c r="Z47" s="389"/>
      <c r="AA47" s="67"/>
      <c r="AB47" s="389"/>
      <c r="AC47" s="71">
        <f t="shared" si="0"/>
        <v>12619</v>
      </c>
      <c r="AD47" s="389">
        <f t="shared" si="0"/>
        <v>759224.5</v>
      </c>
    </row>
    <row r="48" spans="1:30" ht="16" x14ac:dyDescent="0.2">
      <c r="A48" s="388"/>
      <c r="B48" s="231" t="s">
        <v>42</v>
      </c>
      <c r="C48" s="67" t="s">
        <v>380</v>
      </c>
      <c r="D48" s="68" t="s">
        <v>374</v>
      </c>
      <c r="E48" s="69">
        <v>2537</v>
      </c>
      <c r="F48" s="389"/>
      <c r="G48" s="71">
        <v>3000</v>
      </c>
      <c r="H48" s="389"/>
      <c r="I48" s="69">
        <v>3300</v>
      </c>
      <c r="J48" s="389"/>
      <c r="K48" s="70">
        <v>3325</v>
      </c>
      <c r="L48" s="390"/>
      <c r="M48" s="70">
        <v>3406</v>
      </c>
      <c r="N48" s="390"/>
      <c r="O48" s="67">
        <v>3675</v>
      </c>
      <c r="P48" s="390"/>
      <c r="Q48" s="71">
        <v>4309</v>
      </c>
      <c r="R48" s="389"/>
      <c r="S48" s="67"/>
      <c r="T48" s="389"/>
      <c r="U48" s="67"/>
      <c r="V48" s="389"/>
      <c r="W48" s="67"/>
      <c r="X48" s="389"/>
      <c r="Y48" s="67"/>
      <c r="Z48" s="389"/>
      <c r="AA48" s="67"/>
      <c r="AB48" s="389"/>
      <c r="AC48" s="71">
        <f t="shared" si="0"/>
        <v>23552</v>
      </c>
      <c r="AD48" s="389">
        <f t="shared" si="0"/>
        <v>0</v>
      </c>
    </row>
    <row r="49" spans="1:30" ht="16" x14ac:dyDescent="0.2">
      <c r="A49" s="388">
        <v>23</v>
      </c>
      <c r="B49" s="230" t="s">
        <v>42</v>
      </c>
      <c r="C49" s="67" t="s">
        <v>50</v>
      </c>
      <c r="D49" s="68" t="s">
        <v>373</v>
      </c>
      <c r="E49" s="69">
        <v>2400</v>
      </c>
      <c r="F49" s="389">
        <v>0</v>
      </c>
      <c r="G49" s="71">
        <v>3000</v>
      </c>
      <c r="H49" s="389">
        <f>89850+83100</f>
        <v>172950</v>
      </c>
      <c r="I49" s="69">
        <v>3300</v>
      </c>
      <c r="J49" s="389">
        <v>207750</v>
      </c>
      <c r="K49" s="70">
        <v>2700</v>
      </c>
      <c r="L49" s="387">
        <v>292666</v>
      </c>
      <c r="M49" s="70">
        <v>2965</v>
      </c>
      <c r="N49" s="387">
        <v>239454</v>
      </c>
      <c r="O49" s="67">
        <v>3150</v>
      </c>
      <c r="P49" s="387">
        <v>264655.5</v>
      </c>
      <c r="Q49" s="71">
        <v>3450</v>
      </c>
      <c r="R49" s="389">
        <v>279363</v>
      </c>
      <c r="S49" s="67"/>
      <c r="T49" s="389"/>
      <c r="U49" s="67"/>
      <c r="V49" s="389"/>
      <c r="W49" s="67"/>
      <c r="X49" s="389"/>
      <c r="Y49" s="67"/>
      <c r="Z49" s="389"/>
      <c r="AA49" s="67"/>
      <c r="AB49" s="389"/>
      <c r="AC49" s="71">
        <f t="shared" si="0"/>
        <v>20965</v>
      </c>
      <c r="AD49" s="389">
        <f t="shared" si="0"/>
        <v>1456838.5</v>
      </c>
    </row>
    <row r="50" spans="1:30" ht="16" x14ac:dyDescent="0.2">
      <c r="A50" s="388"/>
      <c r="B50" s="231" t="s">
        <v>42</v>
      </c>
      <c r="C50" s="67" t="s">
        <v>50</v>
      </c>
      <c r="D50" s="68" t="s">
        <v>374</v>
      </c>
      <c r="E50" s="69">
        <v>4250</v>
      </c>
      <c r="F50" s="389"/>
      <c r="G50" s="71">
        <v>5000</v>
      </c>
      <c r="H50" s="389"/>
      <c r="I50" s="69">
        <v>5500</v>
      </c>
      <c r="J50" s="389"/>
      <c r="K50" s="70">
        <v>4500</v>
      </c>
      <c r="L50" s="390"/>
      <c r="M50" s="70">
        <v>4991</v>
      </c>
      <c r="N50" s="390"/>
      <c r="O50" s="67">
        <v>5250</v>
      </c>
      <c r="P50" s="390"/>
      <c r="Q50" s="71">
        <v>5455</v>
      </c>
      <c r="R50" s="389"/>
      <c r="S50" s="67"/>
      <c r="T50" s="389"/>
      <c r="U50" s="67"/>
      <c r="V50" s="389"/>
      <c r="W50" s="67"/>
      <c r="X50" s="389"/>
      <c r="Y50" s="67"/>
      <c r="Z50" s="389"/>
      <c r="AA50" s="67"/>
      <c r="AB50" s="389"/>
      <c r="AC50" s="71">
        <f t="shared" si="0"/>
        <v>34946</v>
      </c>
      <c r="AD50" s="389">
        <f t="shared" si="0"/>
        <v>0</v>
      </c>
    </row>
    <row r="51" spans="1:30" ht="16" x14ac:dyDescent="0.2">
      <c r="A51" s="388">
        <v>24</v>
      </c>
      <c r="B51" s="230" t="s">
        <v>51</v>
      </c>
      <c r="C51" s="67" t="s">
        <v>643</v>
      </c>
      <c r="D51" s="68" t="s">
        <v>373</v>
      </c>
      <c r="E51" s="69">
        <v>2700</v>
      </c>
      <c r="F51" s="389">
        <v>0</v>
      </c>
      <c r="G51" s="71">
        <v>3000</v>
      </c>
      <c r="H51" s="389">
        <f>8621.5+74082+68972</f>
        <v>151675.5</v>
      </c>
      <c r="I51" s="69">
        <v>3300</v>
      </c>
      <c r="J51" s="389">
        <v>137944</v>
      </c>
      <c r="K51" s="70">
        <v>1500</v>
      </c>
      <c r="L51" s="387">
        <v>253800</v>
      </c>
      <c r="M51" s="70">
        <v>0</v>
      </c>
      <c r="N51" s="387">
        <v>0</v>
      </c>
      <c r="O51" s="67">
        <v>0</v>
      </c>
      <c r="P51" s="387">
        <v>69361.5</v>
      </c>
      <c r="Q51" s="71">
        <v>0</v>
      </c>
      <c r="R51" s="389">
        <v>0</v>
      </c>
      <c r="S51" s="67"/>
      <c r="T51" s="389"/>
      <c r="U51" s="67"/>
      <c r="V51" s="389"/>
      <c r="W51" s="67"/>
      <c r="X51" s="389"/>
      <c r="Y51" s="67"/>
      <c r="Z51" s="389"/>
      <c r="AA51" s="67"/>
      <c r="AB51" s="389"/>
      <c r="AC51" s="71">
        <f t="shared" si="0"/>
        <v>10500</v>
      </c>
      <c r="AD51" s="389">
        <f t="shared" si="0"/>
        <v>612781</v>
      </c>
    </row>
    <row r="52" spans="1:30" ht="16" x14ac:dyDescent="0.2">
      <c r="A52" s="388"/>
      <c r="B52" s="231" t="s">
        <v>51</v>
      </c>
      <c r="C52" s="67" t="s">
        <v>643</v>
      </c>
      <c r="D52" s="68" t="s">
        <v>374</v>
      </c>
      <c r="E52" s="69">
        <v>3800</v>
      </c>
      <c r="F52" s="389"/>
      <c r="G52" s="71">
        <v>4000</v>
      </c>
      <c r="H52" s="389"/>
      <c r="I52" s="69">
        <v>4400</v>
      </c>
      <c r="J52" s="389"/>
      <c r="K52" s="70">
        <v>2000</v>
      </c>
      <c r="L52" s="390"/>
      <c r="M52" s="70">
        <v>0</v>
      </c>
      <c r="N52" s="390"/>
      <c r="O52" s="67">
        <v>0</v>
      </c>
      <c r="P52" s="390"/>
      <c r="Q52" s="71">
        <v>0</v>
      </c>
      <c r="R52" s="389"/>
      <c r="S52" s="67"/>
      <c r="T52" s="389"/>
      <c r="U52" s="67"/>
      <c r="V52" s="389"/>
      <c r="W52" s="67"/>
      <c r="X52" s="389"/>
      <c r="Y52" s="67"/>
      <c r="Z52" s="389"/>
      <c r="AA52" s="67"/>
      <c r="AB52" s="389"/>
      <c r="AC52" s="71">
        <f t="shared" si="0"/>
        <v>14200</v>
      </c>
      <c r="AD52" s="389">
        <f t="shared" si="0"/>
        <v>0</v>
      </c>
    </row>
    <row r="53" spans="1:30" ht="16" x14ac:dyDescent="0.2">
      <c r="A53" s="388">
        <v>25</v>
      </c>
      <c r="B53" s="230" t="s">
        <v>51</v>
      </c>
      <c r="C53" s="67" t="s">
        <v>381</v>
      </c>
      <c r="D53" s="68" t="s">
        <v>373</v>
      </c>
      <c r="E53" s="69">
        <v>0</v>
      </c>
      <c r="F53" s="389">
        <v>0</v>
      </c>
      <c r="G53" s="71">
        <v>0</v>
      </c>
      <c r="H53" s="389">
        <v>0</v>
      </c>
      <c r="I53" s="69">
        <v>0</v>
      </c>
      <c r="J53" s="389">
        <v>0</v>
      </c>
      <c r="K53" s="70">
        <v>1350</v>
      </c>
      <c r="L53" s="387">
        <v>0</v>
      </c>
      <c r="M53" s="70">
        <v>3000</v>
      </c>
      <c r="N53" s="387">
        <v>194291.5</v>
      </c>
      <c r="O53" s="67">
        <v>3000</v>
      </c>
      <c r="P53" s="387">
        <v>153508.5</v>
      </c>
      <c r="Q53" s="71">
        <v>3450</v>
      </c>
      <c r="R53" s="389">
        <v>222870</v>
      </c>
      <c r="S53" s="67"/>
      <c r="T53" s="389"/>
      <c r="U53" s="67"/>
      <c r="V53" s="389"/>
      <c r="W53" s="67"/>
      <c r="X53" s="389"/>
      <c r="Y53" s="67"/>
      <c r="Z53" s="389"/>
      <c r="AA53" s="67"/>
      <c r="AB53" s="389"/>
      <c r="AC53" s="71">
        <f t="shared" si="0"/>
        <v>10800</v>
      </c>
      <c r="AD53" s="389">
        <f t="shared" si="0"/>
        <v>570670</v>
      </c>
    </row>
    <row r="54" spans="1:30" ht="16" x14ac:dyDescent="0.2">
      <c r="A54" s="388"/>
      <c r="B54" s="231" t="s">
        <v>51</v>
      </c>
      <c r="C54" s="67" t="s">
        <v>382</v>
      </c>
      <c r="D54" s="68" t="s">
        <v>374</v>
      </c>
      <c r="E54" s="69">
        <v>0</v>
      </c>
      <c r="F54" s="389"/>
      <c r="G54" s="71">
        <v>0</v>
      </c>
      <c r="H54" s="389"/>
      <c r="I54" s="69">
        <v>0</v>
      </c>
      <c r="J54" s="389"/>
      <c r="K54" s="70">
        <v>1800</v>
      </c>
      <c r="L54" s="390"/>
      <c r="M54" s="70">
        <v>4000</v>
      </c>
      <c r="N54" s="390"/>
      <c r="O54" s="67">
        <v>4000</v>
      </c>
      <c r="P54" s="390"/>
      <c r="Q54" s="71">
        <v>4600</v>
      </c>
      <c r="R54" s="389"/>
      <c r="S54" s="67"/>
      <c r="T54" s="389"/>
      <c r="U54" s="67"/>
      <c r="V54" s="389"/>
      <c r="W54" s="67"/>
      <c r="X54" s="389"/>
      <c r="Y54" s="67"/>
      <c r="Z54" s="389"/>
      <c r="AA54" s="67"/>
      <c r="AB54" s="389"/>
      <c r="AC54" s="71">
        <f t="shared" si="0"/>
        <v>14400</v>
      </c>
      <c r="AD54" s="389">
        <f t="shared" si="0"/>
        <v>0</v>
      </c>
    </row>
    <row r="55" spans="1:30" ht="16" x14ac:dyDescent="0.2">
      <c r="A55" s="388">
        <v>26</v>
      </c>
      <c r="B55" s="230" t="s">
        <v>51</v>
      </c>
      <c r="C55" s="67" t="s">
        <v>57</v>
      </c>
      <c r="D55" s="68" t="s">
        <v>373</v>
      </c>
      <c r="E55" s="69">
        <v>1800</v>
      </c>
      <c r="F55" s="389">
        <v>0</v>
      </c>
      <c r="G55" s="71">
        <v>2000</v>
      </c>
      <c r="H55" s="389">
        <f>6812.25+79406</f>
        <v>86218.25</v>
      </c>
      <c r="I55" s="69">
        <v>2200</v>
      </c>
      <c r="J55" s="389">
        <v>74934.75</v>
      </c>
      <c r="K55" s="70">
        <v>1900</v>
      </c>
      <c r="L55" s="387">
        <v>268260</v>
      </c>
      <c r="M55" s="70">
        <v>1700</v>
      </c>
      <c r="N55" s="387">
        <v>140837.5</v>
      </c>
      <c r="O55" s="67">
        <v>2100</v>
      </c>
      <c r="P55" s="387">
        <v>126012.5</v>
      </c>
      <c r="Q55" s="71">
        <v>2300</v>
      </c>
      <c r="R55" s="389">
        <v>155662.5</v>
      </c>
      <c r="S55" s="67"/>
      <c r="T55" s="389"/>
      <c r="U55" s="67"/>
      <c r="V55" s="389"/>
      <c r="W55" s="67"/>
      <c r="X55" s="389"/>
      <c r="Y55" s="67"/>
      <c r="Z55" s="389"/>
      <c r="AA55" s="67"/>
      <c r="AB55" s="389"/>
      <c r="AC55" s="71">
        <f t="shared" si="0"/>
        <v>14000</v>
      </c>
      <c r="AD55" s="389">
        <f t="shared" si="0"/>
        <v>851925.5</v>
      </c>
    </row>
    <row r="56" spans="1:30" ht="16" x14ac:dyDescent="0.2">
      <c r="A56" s="388"/>
      <c r="B56" s="231" t="s">
        <v>51</v>
      </c>
      <c r="C56" s="67" t="s">
        <v>57</v>
      </c>
      <c r="D56" s="68" t="s">
        <v>374</v>
      </c>
      <c r="E56" s="69">
        <v>3325</v>
      </c>
      <c r="F56" s="389"/>
      <c r="G56" s="71">
        <v>3500</v>
      </c>
      <c r="H56" s="389"/>
      <c r="I56" s="69">
        <v>3850</v>
      </c>
      <c r="J56" s="389"/>
      <c r="K56" s="70">
        <v>3325</v>
      </c>
      <c r="L56" s="390"/>
      <c r="M56" s="70">
        <v>2975</v>
      </c>
      <c r="N56" s="390"/>
      <c r="O56" s="67">
        <v>3675</v>
      </c>
      <c r="P56" s="390"/>
      <c r="Q56" s="71">
        <v>4025</v>
      </c>
      <c r="R56" s="389"/>
      <c r="S56" s="67"/>
      <c r="T56" s="389"/>
      <c r="U56" s="67"/>
      <c r="V56" s="389"/>
      <c r="W56" s="67"/>
      <c r="X56" s="389"/>
      <c r="Y56" s="67"/>
      <c r="Z56" s="389"/>
      <c r="AA56" s="67"/>
      <c r="AB56" s="389"/>
      <c r="AC56" s="71">
        <f t="shared" si="0"/>
        <v>24675</v>
      </c>
      <c r="AD56" s="389">
        <f t="shared" si="0"/>
        <v>0</v>
      </c>
    </row>
    <row r="57" spans="1:30" ht="16" x14ac:dyDescent="0.2">
      <c r="A57" s="388">
        <v>27</v>
      </c>
      <c r="B57" s="230" t="s">
        <v>51</v>
      </c>
      <c r="C57" s="67" t="s">
        <v>383</v>
      </c>
      <c r="D57" s="68" t="s">
        <v>373</v>
      </c>
      <c r="E57" s="69">
        <v>1800</v>
      </c>
      <c r="F57" s="389">
        <v>0</v>
      </c>
      <c r="G57" s="71">
        <v>2000</v>
      </c>
      <c r="H57" s="389">
        <f>84944+78556.5</f>
        <v>163500.5</v>
      </c>
      <c r="I57" s="69">
        <v>2200</v>
      </c>
      <c r="J57" s="389">
        <v>130927.5</v>
      </c>
      <c r="K57" s="70">
        <v>1900</v>
      </c>
      <c r="L57" s="387">
        <v>218700</v>
      </c>
      <c r="M57" s="70">
        <v>2000</v>
      </c>
      <c r="N57" s="387">
        <v>153900</v>
      </c>
      <c r="O57" s="67">
        <v>2100</v>
      </c>
      <c r="P57" s="387">
        <v>162000</v>
      </c>
      <c r="Q57" s="71">
        <v>2300</v>
      </c>
      <c r="R57" s="389">
        <v>170100</v>
      </c>
      <c r="S57" s="67"/>
      <c r="T57" s="389"/>
      <c r="U57" s="67"/>
      <c r="V57" s="389"/>
      <c r="W57" s="67"/>
      <c r="X57" s="389"/>
      <c r="Y57" s="67"/>
      <c r="Z57" s="389"/>
      <c r="AA57" s="67"/>
      <c r="AB57" s="389"/>
      <c r="AC57" s="71">
        <f t="shared" si="0"/>
        <v>14300</v>
      </c>
      <c r="AD57" s="389">
        <f t="shared" si="0"/>
        <v>999128</v>
      </c>
    </row>
    <row r="58" spans="1:30" ht="16" x14ac:dyDescent="0.2">
      <c r="A58" s="388"/>
      <c r="B58" s="231" t="s">
        <v>51</v>
      </c>
      <c r="C58" s="67" t="s">
        <v>383</v>
      </c>
      <c r="D58" s="68" t="s">
        <v>374</v>
      </c>
      <c r="E58" s="69">
        <v>4750</v>
      </c>
      <c r="F58" s="389"/>
      <c r="G58" s="71">
        <v>4850</v>
      </c>
      <c r="H58" s="389"/>
      <c r="I58" s="69">
        <v>4400</v>
      </c>
      <c r="J58" s="389"/>
      <c r="K58" s="70">
        <v>3800</v>
      </c>
      <c r="L58" s="390"/>
      <c r="M58" s="70">
        <v>4000</v>
      </c>
      <c r="N58" s="390"/>
      <c r="O58" s="67">
        <v>4200</v>
      </c>
      <c r="P58" s="390"/>
      <c r="Q58" s="71">
        <v>4600</v>
      </c>
      <c r="R58" s="389"/>
      <c r="S58" s="67"/>
      <c r="T58" s="389"/>
      <c r="U58" s="67"/>
      <c r="V58" s="389"/>
      <c r="W58" s="67"/>
      <c r="X58" s="389"/>
      <c r="Y58" s="67"/>
      <c r="Z58" s="389"/>
      <c r="AA58" s="67"/>
      <c r="AB58" s="389"/>
      <c r="AC58" s="71">
        <f t="shared" si="0"/>
        <v>30600</v>
      </c>
      <c r="AD58" s="389">
        <f t="shared" si="0"/>
        <v>0</v>
      </c>
    </row>
    <row r="59" spans="1:30" ht="16" x14ac:dyDescent="0.2">
      <c r="A59" s="388">
        <v>28</v>
      </c>
      <c r="B59" s="230" t="s">
        <v>51</v>
      </c>
      <c r="C59" s="67" t="s">
        <v>384</v>
      </c>
      <c r="D59" s="68" t="s">
        <v>373</v>
      </c>
      <c r="E59" s="69">
        <v>2160</v>
      </c>
      <c r="F59" s="389">
        <v>0</v>
      </c>
      <c r="G59" s="71">
        <v>3000</v>
      </c>
      <c r="H59" s="389">
        <f>89157.8+82770.3</f>
        <v>171928.1</v>
      </c>
      <c r="I59" s="69">
        <v>3300</v>
      </c>
      <c r="J59" s="389">
        <v>91966.999999999971</v>
      </c>
      <c r="K59" s="70">
        <v>2850</v>
      </c>
      <c r="L59" s="387">
        <v>253799.99999999997</v>
      </c>
      <c r="M59" s="70">
        <v>3000</v>
      </c>
      <c r="N59" s="387">
        <v>178600</v>
      </c>
      <c r="O59" s="67">
        <v>3000</v>
      </c>
      <c r="P59" s="387">
        <v>188000</v>
      </c>
      <c r="Q59" s="71">
        <v>3450</v>
      </c>
      <c r="R59" s="389">
        <v>188000.00000000012</v>
      </c>
      <c r="S59" s="67"/>
      <c r="T59" s="389"/>
      <c r="U59" s="67"/>
      <c r="V59" s="389"/>
      <c r="W59" s="67"/>
      <c r="X59" s="389"/>
      <c r="Y59" s="67"/>
      <c r="Z59" s="389"/>
      <c r="AA59" s="67"/>
      <c r="AB59" s="389"/>
      <c r="AC59" s="71">
        <f t="shared" si="0"/>
        <v>20760</v>
      </c>
      <c r="AD59" s="389">
        <f t="shared" si="0"/>
        <v>1072295.1000000001</v>
      </c>
    </row>
    <row r="60" spans="1:30" ht="16" x14ac:dyDescent="0.2">
      <c r="A60" s="388"/>
      <c r="B60" s="231" t="s">
        <v>51</v>
      </c>
      <c r="C60" s="67" t="s">
        <v>384</v>
      </c>
      <c r="D60" s="68" t="s">
        <v>374</v>
      </c>
      <c r="E60" s="69">
        <v>4750</v>
      </c>
      <c r="F60" s="389"/>
      <c r="G60" s="71">
        <v>4750</v>
      </c>
      <c r="H60" s="389"/>
      <c r="I60" s="69">
        <v>4400</v>
      </c>
      <c r="J60" s="389"/>
      <c r="K60" s="70">
        <v>3800</v>
      </c>
      <c r="L60" s="390"/>
      <c r="M60" s="70">
        <v>4000</v>
      </c>
      <c r="N60" s="390"/>
      <c r="O60" s="67">
        <v>4000</v>
      </c>
      <c r="P60" s="390"/>
      <c r="Q60" s="71">
        <v>4600</v>
      </c>
      <c r="R60" s="389"/>
      <c r="S60" s="67"/>
      <c r="T60" s="389"/>
      <c r="U60" s="67"/>
      <c r="V60" s="389"/>
      <c r="W60" s="67"/>
      <c r="X60" s="389"/>
      <c r="Y60" s="67"/>
      <c r="Z60" s="389"/>
      <c r="AA60" s="67"/>
      <c r="AB60" s="389"/>
      <c r="AC60" s="71">
        <f t="shared" si="0"/>
        <v>30300</v>
      </c>
      <c r="AD60" s="389">
        <f t="shared" si="0"/>
        <v>0</v>
      </c>
    </row>
    <row r="61" spans="1:30" ht="16" x14ac:dyDescent="0.2">
      <c r="A61" s="388">
        <v>29</v>
      </c>
      <c r="B61" s="230" t="s">
        <v>51</v>
      </c>
      <c r="C61" s="67" t="s">
        <v>54</v>
      </c>
      <c r="D61" s="68" t="s">
        <v>373</v>
      </c>
      <c r="E61" s="69">
        <v>0</v>
      </c>
      <c r="F61" s="389">
        <v>0</v>
      </c>
      <c r="G61" s="71">
        <v>0</v>
      </c>
      <c r="H61" s="389">
        <v>0</v>
      </c>
      <c r="I61" s="69">
        <v>0</v>
      </c>
      <c r="J61" s="389">
        <v>0</v>
      </c>
      <c r="K61" s="70">
        <v>600</v>
      </c>
      <c r="L61" s="387">
        <v>0</v>
      </c>
      <c r="M61" s="70">
        <v>3000</v>
      </c>
      <c r="N61" s="387">
        <v>44574</v>
      </c>
      <c r="O61" s="67">
        <v>3150</v>
      </c>
      <c r="P61" s="387">
        <v>222870</v>
      </c>
      <c r="Q61" s="71">
        <v>3450</v>
      </c>
      <c r="R61" s="389">
        <v>234013.5</v>
      </c>
      <c r="S61" s="67"/>
      <c r="T61" s="389"/>
      <c r="U61" s="67"/>
      <c r="V61" s="389"/>
      <c r="W61" s="67"/>
      <c r="X61" s="389"/>
      <c r="Y61" s="67"/>
      <c r="Z61" s="389"/>
      <c r="AA61" s="67"/>
      <c r="AB61" s="389"/>
      <c r="AC61" s="71">
        <f t="shared" si="0"/>
        <v>10200</v>
      </c>
      <c r="AD61" s="389">
        <f t="shared" si="0"/>
        <v>501457.5</v>
      </c>
    </row>
    <row r="62" spans="1:30" ht="16" x14ac:dyDescent="0.2">
      <c r="A62" s="388"/>
      <c r="B62" s="231" t="s">
        <v>51</v>
      </c>
      <c r="C62" s="67" t="s">
        <v>54</v>
      </c>
      <c r="D62" s="68" t="s">
        <v>374</v>
      </c>
      <c r="E62" s="69">
        <v>0</v>
      </c>
      <c r="F62" s="389"/>
      <c r="G62" s="71">
        <v>0</v>
      </c>
      <c r="H62" s="389"/>
      <c r="I62" s="69">
        <v>0</v>
      </c>
      <c r="J62" s="389"/>
      <c r="K62" s="70">
        <v>800</v>
      </c>
      <c r="L62" s="390"/>
      <c r="M62" s="70">
        <v>4000</v>
      </c>
      <c r="N62" s="390"/>
      <c r="O62" s="67">
        <v>4200</v>
      </c>
      <c r="P62" s="390"/>
      <c r="Q62" s="71">
        <v>4600</v>
      </c>
      <c r="R62" s="389"/>
      <c r="S62" s="67"/>
      <c r="T62" s="389"/>
      <c r="U62" s="67"/>
      <c r="V62" s="389"/>
      <c r="W62" s="67"/>
      <c r="X62" s="389"/>
      <c r="Y62" s="67"/>
      <c r="Z62" s="389"/>
      <c r="AA62" s="67"/>
      <c r="AB62" s="389"/>
      <c r="AC62" s="71">
        <f t="shared" si="0"/>
        <v>13600</v>
      </c>
      <c r="AD62" s="389">
        <f t="shared" si="0"/>
        <v>0</v>
      </c>
    </row>
    <row r="63" spans="1:30" ht="16" x14ac:dyDescent="0.2">
      <c r="A63" s="388">
        <v>30</v>
      </c>
      <c r="B63" s="230" t="s">
        <v>67</v>
      </c>
      <c r="C63" s="67" t="s">
        <v>68</v>
      </c>
      <c r="D63" s="68" t="s">
        <v>373</v>
      </c>
      <c r="E63" s="69">
        <v>1800</v>
      </c>
      <c r="F63" s="389">
        <v>0</v>
      </c>
      <c r="G63" s="71">
        <v>2000</v>
      </c>
      <c r="H63" s="389">
        <v>0</v>
      </c>
      <c r="I63" s="69">
        <v>2200</v>
      </c>
      <c r="J63" s="389">
        <v>275613.25</v>
      </c>
      <c r="K63" s="70">
        <v>1894</v>
      </c>
      <c r="L63" s="387">
        <v>171436</v>
      </c>
      <c r="M63" s="70">
        <v>2000</v>
      </c>
      <c r="N63" s="387">
        <v>0</v>
      </c>
      <c r="O63" s="67">
        <v>2100</v>
      </c>
      <c r="P63" s="387">
        <v>261150</v>
      </c>
      <c r="Q63" s="71">
        <v>2300</v>
      </c>
      <c r="R63" s="389">
        <v>140336</v>
      </c>
      <c r="S63" s="67"/>
      <c r="T63" s="389"/>
      <c r="U63" s="67"/>
      <c r="V63" s="389"/>
      <c r="W63" s="67"/>
      <c r="X63" s="389"/>
      <c r="Y63" s="67"/>
      <c r="Z63" s="389"/>
      <c r="AA63" s="67"/>
      <c r="AB63" s="389"/>
      <c r="AC63" s="71">
        <f t="shared" si="0"/>
        <v>14294</v>
      </c>
      <c r="AD63" s="389">
        <f t="shared" si="0"/>
        <v>848535.25</v>
      </c>
    </row>
    <row r="64" spans="1:30" ht="16" x14ac:dyDescent="0.2">
      <c r="A64" s="388"/>
      <c r="B64" s="231" t="s">
        <v>67</v>
      </c>
      <c r="C64" s="67" t="s">
        <v>68</v>
      </c>
      <c r="D64" s="68" t="s">
        <v>374</v>
      </c>
      <c r="E64" s="69">
        <v>2797</v>
      </c>
      <c r="F64" s="389"/>
      <c r="G64" s="71">
        <v>2778</v>
      </c>
      <c r="H64" s="389"/>
      <c r="I64" s="69">
        <v>3300</v>
      </c>
      <c r="J64" s="389"/>
      <c r="K64" s="70">
        <v>2850</v>
      </c>
      <c r="L64" s="390"/>
      <c r="M64" s="70">
        <v>3000</v>
      </c>
      <c r="N64" s="390"/>
      <c r="O64" s="67">
        <v>3137</v>
      </c>
      <c r="P64" s="390"/>
      <c r="Q64" s="71">
        <v>3450</v>
      </c>
      <c r="R64" s="389"/>
      <c r="S64" s="67"/>
      <c r="T64" s="389"/>
      <c r="U64" s="67"/>
      <c r="V64" s="389"/>
      <c r="W64" s="67"/>
      <c r="X64" s="389"/>
      <c r="Y64" s="67"/>
      <c r="Z64" s="389"/>
      <c r="AA64" s="67"/>
      <c r="AB64" s="389"/>
      <c r="AC64" s="71">
        <f t="shared" si="0"/>
        <v>21312</v>
      </c>
      <c r="AD64" s="389">
        <f t="shared" si="0"/>
        <v>0</v>
      </c>
    </row>
    <row r="65" spans="1:30" ht="16" x14ac:dyDescent="0.2">
      <c r="A65" s="393">
        <v>31</v>
      </c>
      <c r="B65" s="232" t="s">
        <v>67</v>
      </c>
      <c r="C65" s="73" t="s">
        <v>67</v>
      </c>
      <c r="D65" s="74" t="s">
        <v>373</v>
      </c>
      <c r="E65" s="75">
        <v>0</v>
      </c>
      <c r="F65" s="394">
        <v>0</v>
      </c>
      <c r="G65" s="233">
        <v>0</v>
      </c>
      <c r="H65" s="394">
        <v>0</v>
      </c>
      <c r="I65" s="233">
        <v>0</v>
      </c>
      <c r="J65" s="394">
        <v>0</v>
      </c>
      <c r="K65" s="233">
        <v>0</v>
      </c>
      <c r="L65" s="394">
        <v>0</v>
      </c>
      <c r="M65" s="233">
        <v>0</v>
      </c>
      <c r="N65" s="394">
        <v>0</v>
      </c>
      <c r="O65" s="73">
        <v>0</v>
      </c>
      <c r="P65" s="394">
        <v>0</v>
      </c>
      <c r="Q65" s="76">
        <v>2547</v>
      </c>
      <c r="R65" s="396">
        <v>0</v>
      </c>
      <c r="S65" s="73"/>
      <c r="T65" s="396"/>
      <c r="U65" s="73"/>
      <c r="V65" s="396"/>
      <c r="W65" s="73"/>
      <c r="X65" s="396"/>
      <c r="Y65" s="73"/>
      <c r="Z65" s="396"/>
      <c r="AA65" s="73"/>
      <c r="AB65" s="396"/>
      <c r="AC65" s="76">
        <f>AA65+Y65+W65+U65+S65+Q65+O65+K65+M65+I65+G65+E65</f>
        <v>2547</v>
      </c>
      <c r="AD65" s="396">
        <f>AB65+Z65+X65+V65+T65+R65+P65+L65+N65+J65+H65+F65</f>
        <v>0</v>
      </c>
    </row>
    <row r="66" spans="1:30" ht="16" x14ac:dyDescent="0.2">
      <c r="A66" s="393"/>
      <c r="B66" s="234" t="s">
        <v>67</v>
      </c>
      <c r="C66" s="73" t="s">
        <v>67</v>
      </c>
      <c r="D66" s="74" t="s">
        <v>374</v>
      </c>
      <c r="E66" s="75">
        <v>0</v>
      </c>
      <c r="F66" s="395"/>
      <c r="G66" s="233">
        <v>0</v>
      </c>
      <c r="H66" s="395"/>
      <c r="I66" s="233">
        <v>0</v>
      </c>
      <c r="J66" s="395"/>
      <c r="K66" s="233">
        <v>0</v>
      </c>
      <c r="L66" s="395"/>
      <c r="M66" s="233">
        <v>0</v>
      </c>
      <c r="N66" s="395"/>
      <c r="O66" s="73">
        <v>0</v>
      </c>
      <c r="P66" s="395"/>
      <c r="Q66" s="76">
        <v>3400</v>
      </c>
      <c r="R66" s="396"/>
      <c r="S66" s="73"/>
      <c r="T66" s="396"/>
      <c r="U66" s="73"/>
      <c r="V66" s="396"/>
      <c r="W66" s="73"/>
      <c r="X66" s="396"/>
      <c r="Y66" s="73"/>
      <c r="Z66" s="396"/>
      <c r="AA66" s="73"/>
      <c r="AB66" s="396"/>
      <c r="AC66" s="76">
        <f>AA66+Y66+W66+U66+S66+Q66+O66+K66+M66+I66+G66+E66</f>
        <v>3400</v>
      </c>
      <c r="AD66" s="396">
        <f>AB66+Z66+X66+V66+T66+R66+P66+L66+N66+J66+H66+F66</f>
        <v>0</v>
      </c>
    </row>
    <row r="67" spans="1:30" ht="16" x14ac:dyDescent="0.2">
      <c r="A67" s="388">
        <v>32</v>
      </c>
      <c r="B67" s="230" t="s">
        <v>67</v>
      </c>
      <c r="C67" s="67" t="s">
        <v>71</v>
      </c>
      <c r="D67" s="68" t="s">
        <v>373</v>
      </c>
      <c r="E67" s="69">
        <v>0</v>
      </c>
      <c r="F67" s="389">
        <v>0</v>
      </c>
      <c r="G67" s="69">
        <v>0</v>
      </c>
      <c r="H67" s="389">
        <v>0</v>
      </c>
      <c r="I67" s="69">
        <v>0</v>
      </c>
      <c r="J67" s="389">
        <v>0</v>
      </c>
      <c r="K67" s="69">
        <v>0</v>
      </c>
      <c r="L67" s="389">
        <v>0</v>
      </c>
      <c r="M67" s="69">
        <v>0</v>
      </c>
      <c r="N67" s="389">
        <v>0</v>
      </c>
      <c r="O67" s="67">
        <v>1400</v>
      </c>
      <c r="P67" s="387">
        <v>0</v>
      </c>
      <c r="Q67" s="71">
        <v>2300</v>
      </c>
      <c r="R67" s="389">
        <v>115812.95</v>
      </c>
      <c r="S67" s="67"/>
      <c r="T67" s="389"/>
      <c r="U67" s="67"/>
      <c r="V67" s="389"/>
      <c r="W67" s="67"/>
      <c r="X67" s="389"/>
      <c r="Y67" s="67"/>
      <c r="Z67" s="389"/>
      <c r="AA67" s="67"/>
      <c r="AB67" s="389"/>
      <c r="AC67" s="71">
        <f t="shared" ref="AC67:AD68" si="1">AA67+Y67+W67+U67+S67+Q67+O67+K67+M67+I67+G67+E67</f>
        <v>3700</v>
      </c>
      <c r="AD67" s="389">
        <f t="shared" si="1"/>
        <v>115812.95</v>
      </c>
    </row>
    <row r="68" spans="1:30" ht="16" x14ac:dyDescent="0.2">
      <c r="A68" s="388"/>
      <c r="B68" s="231" t="s">
        <v>67</v>
      </c>
      <c r="C68" s="67" t="s">
        <v>71</v>
      </c>
      <c r="D68" s="68" t="s">
        <v>374</v>
      </c>
      <c r="E68" s="69">
        <v>0</v>
      </c>
      <c r="F68" s="389"/>
      <c r="G68" s="69">
        <v>0</v>
      </c>
      <c r="H68" s="389"/>
      <c r="I68" s="69">
        <v>0</v>
      </c>
      <c r="J68" s="389"/>
      <c r="K68" s="69">
        <v>0</v>
      </c>
      <c r="L68" s="389"/>
      <c r="M68" s="69">
        <v>0</v>
      </c>
      <c r="N68" s="389"/>
      <c r="O68" s="67">
        <v>2091</v>
      </c>
      <c r="P68" s="390"/>
      <c r="Q68" s="71">
        <v>3407</v>
      </c>
      <c r="R68" s="389"/>
      <c r="S68" s="67"/>
      <c r="T68" s="389"/>
      <c r="U68" s="67"/>
      <c r="V68" s="389"/>
      <c r="W68" s="67"/>
      <c r="X68" s="389"/>
      <c r="Y68" s="67"/>
      <c r="Z68" s="389"/>
      <c r="AA68" s="67"/>
      <c r="AB68" s="389"/>
      <c r="AC68" s="71">
        <f t="shared" si="1"/>
        <v>5498</v>
      </c>
      <c r="AD68" s="389">
        <f t="shared" si="1"/>
        <v>0</v>
      </c>
    </row>
    <row r="69" spans="1:30" ht="16" x14ac:dyDescent="0.2">
      <c r="A69" s="388">
        <v>33</v>
      </c>
      <c r="B69" s="230" t="s">
        <v>67</v>
      </c>
      <c r="C69" s="67" t="s">
        <v>72</v>
      </c>
      <c r="D69" s="68" t="s">
        <v>373</v>
      </c>
      <c r="E69" s="69">
        <v>2700</v>
      </c>
      <c r="F69" s="389">
        <v>0</v>
      </c>
      <c r="G69" s="71">
        <v>2875</v>
      </c>
      <c r="H69" s="389">
        <v>0</v>
      </c>
      <c r="I69" s="69">
        <v>2750</v>
      </c>
      <c r="J69" s="389">
        <v>389046.5</v>
      </c>
      <c r="K69" s="70">
        <v>2375</v>
      </c>
      <c r="L69" s="387">
        <v>234315</v>
      </c>
      <c r="M69" s="70">
        <v>2499</v>
      </c>
      <c r="N69" s="387">
        <v>0</v>
      </c>
      <c r="O69" s="67">
        <v>2625</v>
      </c>
      <c r="P69" s="387">
        <v>340000</v>
      </c>
      <c r="Q69" s="71">
        <v>2875</v>
      </c>
      <c r="R69" s="389">
        <v>183085</v>
      </c>
      <c r="S69" s="67"/>
      <c r="T69" s="389"/>
      <c r="U69" s="67"/>
      <c r="V69" s="389"/>
      <c r="W69" s="67"/>
      <c r="X69" s="389"/>
      <c r="Y69" s="67"/>
      <c r="Z69" s="389"/>
      <c r="AA69" s="67"/>
      <c r="AB69" s="389"/>
      <c r="AC69" s="71">
        <f t="shared" si="0"/>
        <v>18699</v>
      </c>
      <c r="AD69" s="389">
        <f t="shared" si="0"/>
        <v>1146446.5</v>
      </c>
    </row>
    <row r="70" spans="1:30" ht="16" x14ac:dyDescent="0.2">
      <c r="A70" s="388"/>
      <c r="B70" s="231" t="s">
        <v>67</v>
      </c>
      <c r="C70" s="67" t="s">
        <v>72</v>
      </c>
      <c r="D70" s="68" t="s">
        <v>374</v>
      </c>
      <c r="E70" s="69">
        <v>3800</v>
      </c>
      <c r="F70" s="389"/>
      <c r="G70" s="71">
        <v>4000</v>
      </c>
      <c r="H70" s="389"/>
      <c r="I70" s="69">
        <v>4400</v>
      </c>
      <c r="J70" s="389"/>
      <c r="K70" s="70">
        <v>3800</v>
      </c>
      <c r="L70" s="390"/>
      <c r="M70" s="70">
        <v>4000</v>
      </c>
      <c r="N70" s="390"/>
      <c r="O70" s="67">
        <v>4195</v>
      </c>
      <c r="P70" s="390"/>
      <c r="Q70" s="71">
        <v>4600</v>
      </c>
      <c r="R70" s="389"/>
      <c r="S70" s="67"/>
      <c r="T70" s="389"/>
      <c r="U70" s="67"/>
      <c r="V70" s="389"/>
      <c r="W70" s="67"/>
      <c r="X70" s="389"/>
      <c r="Y70" s="67"/>
      <c r="Z70" s="389"/>
      <c r="AA70" s="67"/>
      <c r="AB70" s="389"/>
      <c r="AC70" s="71">
        <f t="shared" si="0"/>
        <v>28795</v>
      </c>
      <c r="AD70" s="389">
        <f t="shared" si="0"/>
        <v>0</v>
      </c>
    </row>
    <row r="71" spans="1:30" ht="16" x14ac:dyDescent="0.2">
      <c r="A71" s="388">
        <v>34</v>
      </c>
      <c r="B71" s="230" t="s">
        <v>67</v>
      </c>
      <c r="C71" s="67" t="s">
        <v>73</v>
      </c>
      <c r="D71" s="68" t="s">
        <v>373</v>
      </c>
      <c r="E71" s="69">
        <v>1350</v>
      </c>
      <c r="F71" s="389">
        <v>0</v>
      </c>
      <c r="G71" s="71">
        <v>1500</v>
      </c>
      <c r="H71" s="389">
        <v>0</v>
      </c>
      <c r="I71" s="69">
        <v>1650</v>
      </c>
      <c r="J71" s="389">
        <v>245679.91</v>
      </c>
      <c r="K71" s="70">
        <v>1386</v>
      </c>
      <c r="L71" s="387">
        <v>140743.99999999997</v>
      </c>
      <c r="M71" s="70">
        <v>1493</v>
      </c>
      <c r="N71" s="387">
        <v>0</v>
      </c>
      <c r="O71" s="67">
        <v>1565</v>
      </c>
      <c r="P71" s="387">
        <v>202091.00000000006</v>
      </c>
      <c r="Q71" s="71">
        <v>1725</v>
      </c>
      <c r="R71" s="389">
        <v>110861</v>
      </c>
      <c r="S71" s="67"/>
      <c r="T71" s="389"/>
      <c r="U71" s="67"/>
      <c r="V71" s="389"/>
      <c r="W71" s="67"/>
      <c r="X71" s="389"/>
      <c r="Y71" s="67"/>
      <c r="Z71" s="389"/>
      <c r="AA71" s="67"/>
      <c r="AB71" s="389"/>
      <c r="AC71" s="71">
        <f t="shared" si="0"/>
        <v>10669</v>
      </c>
      <c r="AD71" s="389">
        <f t="shared" si="0"/>
        <v>699375.91</v>
      </c>
    </row>
    <row r="72" spans="1:30" ht="16" x14ac:dyDescent="0.2">
      <c r="A72" s="388"/>
      <c r="B72" s="231" t="s">
        <v>67</v>
      </c>
      <c r="C72" s="67" t="s">
        <v>73</v>
      </c>
      <c r="D72" s="68" t="s">
        <v>374</v>
      </c>
      <c r="E72" s="69">
        <v>2830</v>
      </c>
      <c r="F72" s="389"/>
      <c r="G72" s="71">
        <v>2709</v>
      </c>
      <c r="H72" s="389"/>
      <c r="I72" s="69">
        <v>2750</v>
      </c>
      <c r="J72" s="389"/>
      <c r="K72" s="70">
        <v>2237</v>
      </c>
      <c r="L72" s="390"/>
      <c r="M72" s="70">
        <v>2410</v>
      </c>
      <c r="N72" s="390"/>
      <c r="O72" s="67">
        <v>2562</v>
      </c>
      <c r="P72" s="390"/>
      <c r="Q72" s="71">
        <v>2847</v>
      </c>
      <c r="R72" s="389"/>
      <c r="S72" s="67"/>
      <c r="T72" s="389"/>
      <c r="U72" s="67"/>
      <c r="V72" s="389"/>
      <c r="W72" s="67"/>
      <c r="X72" s="389"/>
      <c r="Y72" s="67"/>
      <c r="Z72" s="389"/>
      <c r="AA72" s="67"/>
      <c r="AB72" s="389"/>
      <c r="AC72" s="71">
        <f t="shared" si="0"/>
        <v>18345</v>
      </c>
      <c r="AD72" s="389">
        <f t="shared" si="0"/>
        <v>0</v>
      </c>
    </row>
    <row r="73" spans="1:30" ht="16" x14ac:dyDescent="0.2">
      <c r="A73" s="393">
        <v>35</v>
      </c>
      <c r="B73" s="232" t="s">
        <v>67</v>
      </c>
      <c r="C73" s="73" t="s">
        <v>76</v>
      </c>
      <c r="D73" s="74" t="s">
        <v>373</v>
      </c>
      <c r="E73" s="75">
        <v>0</v>
      </c>
      <c r="F73" s="394">
        <v>0</v>
      </c>
      <c r="G73" s="233">
        <v>0</v>
      </c>
      <c r="H73" s="394">
        <v>0</v>
      </c>
      <c r="I73" s="233">
        <v>0</v>
      </c>
      <c r="J73" s="394">
        <v>0</v>
      </c>
      <c r="K73" s="233">
        <v>0</v>
      </c>
      <c r="L73" s="394">
        <v>0</v>
      </c>
      <c r="M73" s="233">
        <v>0</v>
      </c>
      <c r="N73" s="394">
        <v>0</v>
      </c>
      <c r="O73" s="73">
        <v>0</v>
      </c>
      <c r="P73" s="394">
        <v>0</v>
      </c>
      <c r="Q73" s="76">
        <v>2195</v>
      </c>
      <c r="R73" s="396">
        <v>0</v>
      </c>
      <c r="S73" s="73"/>
      <c r="T73" s="396"/>
      <c r="U73" s="73"/>
      <c r="V73" s="396"/>
      <c r="W73" s="73"/>
      <c r="X73" s="396"/>
      <c r="Y73" s="73"/>
      <c r="Z73" s="396"/>
      <c r="AA73" s="73"/>
      <c r="AB73" s="396"/>
      <c r="AC73" s="76">
        <f>AA73+Y73+W73+U73+S73+Q73+O73+K73+M73+I73+G73+E73</f>
        <v>2195</v>
      </c>
      <c r="AD73" s="396">
        <f>AB73+Z73+X73+V73+T73+R73+P73+L73+N73+J73+H73+F73</f>
        <v>0</v>
      </c>
    </row>
    <row r="74" spans="1:30" ht="16" x14ac:dyDescent="0.2">
      <c r="A74" s="393"/>
      <c r="B74" s="234" t="s">
        <v>67</v>
      </c>
      <c r="C74" s="73" t="s">
        <v>76</v>
      </c>
      <c r="D74" s="74" t="s">
        <v>374</v>
      </c>
      <c r="E74" s="75">
        <v>0</v>
      </c>
      <c r="F74" s="395"/>
      <c r="G74" s="233">
        <v>0</v>
      </c>
      <c r="H74" s="395"/>
      <c r="I74" s="233">
        <v>0</v>
      </c>
      <c r="J74" s="395"/>
      <c r="K74" s="233">
        <v>0</v>
      </c>
      <c r="L74" s="395"/>
      <c r="M74" s="233">
        <v>0</v>
      </c>
      <c r="N74" s="395"/>
      <c r="O74" s="73">
        <v>0</v>
      </c>
      <c r="P74" s="395"/>
      <c r="Q74" s="76">
        <v>3060</v>
      </c>
      <c r="R74" s="396"/>
      <c r="S74" s="73"/>
      <c r="T74" s="396"/>
      <c r="U74" s="73"/>
      <c r="V74" s="396"/>
      <c r="W74" s="73"/>
      <c r="X74" s="396"/>
      <c r="Y74" s="73"/>
      <c r="Z74" s="396"/>
      <c r="AA74" s="73"/>
      <c r="AB74" s="396"/>
      <c r="AC74" s="76">
        <f>AA74+Y74+W74+U74+S74+Q74+O74+K74+M74+I74+G74+E74</f>
        <v>3060</v>
      </c>
      <c r="AD74" s="396">
        <f>AB74+Z74+X74+V74+T74+R74+P74+L74+N74+J74+H74+F74</f>
        <v>0</v>
      </c>
    </row>
    <row r="75" spans="1:30" ht="16" x14ac:dyDescent="0.2">
      <c r="A75" s="388">
        <v>36</v>
      </c>
      <c r="B75" s="230" t="s">
        <v>77</v>
      </c>
      <c r="C75" s="67" t="s">
        <v>78</v>
      </c>
      <c r="D75" s="68" t="s">
        <v>373</v>
      </c>
      <c r="E75" s="69">
        <v>1795</v>
      </c>
      <c r="F75" s="389">
        <v>0</v>
      </c>
      <c r="G75" s="71">
        <v>2000</v>
      </c>
      <c r="H75" s="389">
        <v>84770</v>
      </c>
      <c r="I75" s="69">
        <v>2200</v>
      </c>
      <c r="J75" s="389">
        <v>140490</v>
      </c>
      <c r="K75" s="70">
        <v>1900</v>
      </c>
      <c r="L75" s="387">
        <v>218700</v>
      </c>
      <c r="M75" s="70">
        <v>2000</v>
      </c>
      <c r="N75" s="387">
        <v>153900</v>
      </c>
      <c r="O75" s="67">
        <v>2100</v>
      </c>
      <c r="P75" s="387">
        <v>162000</v>
      </c>
      <c r="Q75" s="71">
        <v>2300</v>
      </c>
      <c r="R75" s="389">
        <v>170100</v>
      </c>
      <c r="S75" s="67"/>
      <c r="T75" s="389"/>
      <c r="U75" s="67"/>
      <c r="V75" s="389"/>
      <c r="W75" s="67"/>
      <c r="X75" s="389"/>
      <c r="Y75" s="67"/>
      <c r="Z75" s="389"/>
      <c r="AA75" s="67"/>
      <c r="AB75" s="389"/>
      <c r="AC75" s="71">
        <f t="shared" si="0"/>
        <v>14295</v>
      </c>
      <c r="AD75" s="389">
        <f t="shared" si="0"/>
        <v>929960</v>
      </c>
    </row>
    <row r="76" spans="1:30" ht="16" x14ac:dyDescent="0.2">
      <c r="A76" s="388"/>
      <c r="B76" s="231" t="s">
        <v>77</v>
      </c>
      <c r="C76" s="67" t="s">
        <v>78</v>
      </c>
      <c r="D76" s="68" t="s">
        <v>374</v>
      </c>
      <c r="E76" s="69">
        <v>3783</v>
      </c>
      <c r="F76" s="389"/>
      <c r="G76" s="71">
        <v>4000</v>
      </c>
      <c r="H76" s="389"/>
      <c r="I76" s="69">
        <v>4400</v>
      </c>
      <c r="J76" s="389"/>
      <c r="K76" s="70">
        <v>3800</v>
      </c>
      <c r="L76" s="390"/>
      <c r="M76" s="70">
        <v>4000</v>
      </c>
      <c r="N76" s="390"/>
      <c r="O76" s="67">
        <v>4200</v>
      </c>
      <c r="P76" s="390"/>
      <c r="Q76" s="71">
        <v>4600</v>
      </c>
      <c r="R76" s="389"/>
      <c r="S76" s="67"/>
      <c r="T76" s="389"/>
      <c r="U76" s="67"/>
      <c r="V76" s="389"/>
      <c r="W76" s="67"/>
      <c r="X76" s="389"/>
      <c r="Y76" s="67"/>
      <c r="Z76" s="389"/>
      <c r="AA76" s="67"/>
      <c r="AB76" s="389"/>
      <c r="AC76" s="71">
        <f t="shared" si="0"/>
        <v>28783</v>
      </c>
      <c r="AD76" s="389">
        <f t="shared" si="0"/>
        <v>0</v>
      </c>
    </row>
    <row r="77" spans="1:30" ht="16" x14ac:dyDescent="0.2">
      <c r="A77" s="388">
        <v>37</v>
      </c>
      <c r="B77" s="230" t="s">
        <v>77</v>
      </c>
      <c r="C77" s="67" t="s">
        <v>80</v>
      </c>
      <c r="D77" s="68" t="s">
        <v>373</v>
      </c>
      <c r="E77" s="69">
        <v>2700</v>
      </c>
      <c r="F77" s="389">
        <v>0</v>
      </c>
      <c r="G77" s="71">
        <v>3000</v>
      </c>
      <c r="H77" s="389">
        <f>82390+77900</f>
        <v>160290</v>
      </c>
      <c r="I77" s="69">
        <v>3300</v>
      </c>
      <c r="J77" s="389">
        <v>101270</v>
      </c>
      <c r="K77" s="70">
        <v>2850</v>
      </c>
      <c r="L77" s="387">
        <v>253800</v>
      </c>
      <c r="M77" s="70">
        <v>3000</v>
      </c>
      <c r="N77" s="387">
        <v>178600</v>
      </c>
      <c r="O77" s="67">
        <v>3150</v>
      </c>
      <c r="P77" s="387">
        <v>188000</v>
      </c>
      <c r="Q77" s="71">
        <v>3450</v>
      </c>
      <c r="R77" s="389">
        <v>197400</v>
      </c>
      <c r="S77" s="67"/>
      <c r="T77" s="389"/>
      <c r="U77" s="67"/>
      <c r="V77" s="389"/>
      <c r="W77" s="67"/>
      <c r="X77" s="389"/>
      <c r="Y77" s="67"/>
      <c r="Z77" s="389"/>
      <c r="AA77" s="67"/>
      <c r="AB77" s="389"/>
      <c r="AC77" s="71">
        <f t="shared" si="0"/>
        <v>21450</v>
      </c>
      <c r="AD77" s="389">
        <f t="shared" si="0"/>
        <v>1079360</v>
      </c>
    </row>
    <row r="78" spans="1:30" ht="16" x14ac:dyDescent="0.2">
      <c r="A78" s="388"/>
      <c r="B78" s="231" t="s">
        <v>77</v>
      </c>
      <c r="C78" s="67" t="s">
        <v>80</v>
      </c>
      <c r="D78" s="68" t="s">
        <v>374</v>
      </c>
      <c r="E78" s="69">
        <v>3800</v>
      </c>
      <c r="F78" s="389"/>
      <c r="G78" s="71">
        <v>4000</v>
      </c>
      <c r="H78" s="389"/>
      <c r="I78" s="69">
        <v>4400</v>
      </c>
      <c r="J78" s="389"/>
      <c r="K78" s="70">
        <v>3800</v>
      </c>
      <c r="L78" s="390"/>
      <c r="M78" s="70">
        <v>4000</v>
      </c>
      <c r="N78" s="390"/>
      <c r="O78" s="67">
        <v>4200</v>
      </c>
      <c r="P78" s="390"/>
      <c r="Q78" s="71">
        <v>4600</v>
      </c>
      <c r="R78" s="389"/>
      <c r="S78" s="67"/>
      <c r="T78" s="389"/>
      <c r="U78" s="67"/>
      <c r="V78" s="389"/>
      <c r="W78" s="67"/>
      <c r="X78" s="389"/>
      <c r="Y78" s="67"/>
      <c r="Z78" s="389"/>
      <c r="AA78" s="67"/>
      <c r="AB78" s="389"/>
      <c r="AC78" s="71">
        <f t="shared" si="0"/>
        <v>28800</v>
      </c>
      <c r="AD78" s="389">
        <f t="shared" si="0"/>
        <v>0</v>
      </c>
    </row>
    <row r="79" spans="1:30" ht="16" x14ac:dyDescent="0.2">
      <c r="A79" s="393">
        <v>38</v>
      </c>
      <c r="B79" s="232" t="s">
        <v>77</v>
      </c>
      <c r="C79" s="73" t="s">
        <v>644</v>
      </c>
      <c r="D79" s="74" t="s">
        <v>373</v>
      </c>
      <c r="E79" s="75">
        <v>0</v>
      </c>
      <c r="F79" s="394">
        <v>0</v>
      </c>
      <c r="G79" s="233">
        <v>0</v>
      </c>
      <c r="H79" s="394">
        <v>0</v>
      </c>
      <c r="I79" s="233">
        <v>0</v>
      </c>
      <c r="J79" s="394">
        <v>0</v>
      </c>
      <c r="K79" s="233">
        <v>0</v>
      </c>
      <c r="L79" s="394">
        <v>0</v>
      </c>
      <c r="M79" s="233">
        <v>0</v>
      </c>
      <c r="N79" s="394">
        <v>0</v>
      </c>
      <c r="O79" s="73">
        <v>0</v>
      </c>
      <c r="P79" s="394">
        <v>0</v>
      </c>
      <c r="Q79" s="76">
        <v>600</v>
      </c>
      <c r="R79" s="396">
        <v>0</v>
      </c>
      <c r="S79" s="73"/>
      <c r="T79" s="396"/>
      <c r="U79" s="73"/>
      <c r="V79" s="396"/>
      <c r="W79" s="73"/>
      <c r="X79" s="396"/>
      <c r="Y79" s="73"/>
      <c r="Z79" s="396"/>
      <c r="AA79" s="73"/>
      <c r="AB79" s="396"/>
      <c r="AC79" s="76">
        <f t="shared" si="0"/>
        <v>600</v>
      </c>
      <c r="AD79" s="396">
        <f t="shared" si="0"/>
        <v>0</v>
      </c>
    </row>
    <row r="80" spans="1:30" ht="16" x14ac:dyDescent="0.2">
      <c r="A80" s="393"/>
      <c r="B80" s="234" t="s">
        <v>77</v>
      </c>
      <c r="C80" s="73" t="s">
        <v>644</v>
      </c>
      <c r="D80" s="74" t="s">
        <v>374</v>
      </c>
      <c r="E80" s="75">
        <v>0</v>
      </c>
      <c r="F80" s="395"/>
      <c r="G80" s="233">
        <v>0</v>
      </c>
      <c r="H80" s="395"/>
      <c r="I80" s="233">
        <v>0</v>
      </c>
      <c r="J80" s="395"/>
      <c r="K80" s="233">
        <v>0</v>
      </c>
      <c r="L80" s="395"/>
      <c r="M80" s="233">
        <v>0</v>
      </c>
      <c r="N80" s="395"/>
      <c r="O80" s="73">
        <v>0</v>
      </c>
      <c r="P80" s="395"/>
      <c r="Q80" s="76">
        <v>900</v>
      </c>
      <c r="R80" s="396"/>
      <c r="S80" s="73"/>
      <c r="T80" s="396"/>
      <c r="U80" s="73"/>
      <c r="V80" s="396"/>
      <c r="W80" s="73"/>
      <c r="X80" s="396"/>
      <c r="Y80" s="73"/>
      <c r="Z80" s="396"/>
      <c r="AA80" s="73"/>
      <c r="AB80" s="396"/>
      <c r="AC80" s="76">
        <f t="shared" si="0"/>
        <v>900</v>
      </c>
      <c r="AD80" s="396">
        <f t="shared" si="0"/>
        <v>0</v>
      </c>
    </row>
    <row r="81" spans="1:30" ht="16" x14ac:dyDescent="0.2">
      <c r="A81" s="393">
        <v>39</v>
      </c>
      <c r="B81" s="232" t="s">
        <v>77</v>
      </c>
      <c r="C81" s="73" t="s">
        <v>645</v>
      </c>
      <c r="D81" s="74" t="s">
        <v>373</v>
      </c>
      <c r="E81" s="75">
        <v>0</v>
      </c>
      <c r="F81" s="394">
        <v>0</v>
      </c>
      <c r="G81" s="233">
        <v>0</v>
      </c>
      <c r="H81" s="394">
        <v>0</v>
      </c>
      <c r="I81" s="233">
        <v>0</v>
      </c>
      <c r="J81" s="394">
        <v>0</v>
      </c>
      <c r="K81" s="233">
        <v>0</v>
      </c>
      <c r="L81" s="394">
        <v>0</v>
      </c>
      <c r="M81" s="233">
        <v>0</v>
      </c>
      <c r="N81" s="394">
        <v>0</v>
      </c>
      <c r="O81" s="73">
        <v>0</v>
      </c>
      <c r="P81" s="394">
        <v>0</v>
      </c>
      <c r="Q81" s="76">
        <v>1700</v>
      </c>
      <c r="R81" s="396">
        <v>0</v>
      </c>
      <c r="S81" s="73"/>
      <c r="T81" s="396"/>
      <c r="U81" s="73"/>
      <c r="V81" s="396"/>
      <c r="W81" s="73"/>
      <c r="X81" s="396"/>
      <c r="Y81" s="73"/>
      <c r="Z81" s="396"/>
      <c r="AA81" s="73"/>
      <c r="AB81" s="396"/>
      <c r="AC81" s="76">
        <f t="shared" si="0"/>
        <v>1700</v>
      </c>
      <c r="AD81" s="396">
        <f t="shared" si="0"/>
        <v>0</v>
      </c>
    </row>
    <row r="82" spans="1:30" ht="16" x14ac:dyDescent="0.2">
      <c r="A82" s="393"/>
      <c r="B82" s="234" t="s">
        <v>77</v>
      </c>
      <c r="C82" s="73" t="s">
        <v>645</v>
      </c>
      <c r="D82" s="74" t="s">
        <v>374</v>
      </c>
      <c r="E82" s="75">
        <v>0</v>
      </c>
      <c r="F82" s="395"/>
      <c r="G82" s="233">
        <v>0</v>
      </c>
      <c r="H82" s="395"/>
      <c r="I82" s="233">
        <v>0</v>
      </c>
      <c r="J82" s="395"/>
      <c r="K82" s="233">
        <v>0</v>
      </c>
      <c r="L82" s="395"/>
      <c r="M82" s="233">
        <v>0</v>
      </c>
      <c r="N82" s="395"/>
      <c r="O82" s="73">
        <v>0</v>
      </c>
      <c r="P82" s="395"/>
      <c r="Q82" s="76">
        <v>2550</v>
      </c>
      <c r="R82" s="396"/>
      <c r="S82" s="73"/>
      <c r="T82" s="396"/>
      <c r="U82" s="73"/>
      <c r="V82" s="396"/>
      <c r="W82" s="73"/>
      <c r="X82" s="396"/>
      <c r="Y82" s="73"/>
      <c r="Z82" s="396"/>
      <c r="AA82" s="73"/>
      <c r="AB82" s="396"/>
      <c r="AC82" s="76">
        <f t="shared" si="0"/>
        <v>2550</v>
      </c>
      <c r="AD82" s="396">
        <f t="shared" si="0"/>
        <v>0</v>
      </c>
    </row>
    <row r="83" spans="1:30" ht="16" x14ac:dyDescent="0.2">
      <c r="A83" s="393">
        <v>40</v>
      </c>
      <c r="B83" s="232" t="s">
        <v>77</v>
      </c>
      <c r="C83" s="73" t="s">
        <v>646</v>
      </c>
      <c r="D83" s="74" t="s">
        <v>373</v>
      </c>
      <c r="E83" s="75">
        <v>0</v>
      </c>
      <c r="F83" s="394">
        <v>0</v>
      </c>
      <c r="G83" s="233">
        <v>0</v>
      </c>
      <c r="H83" s="394">
        <v>0</v>
      </c>
      <c r="I83" s="233">
        <v>0</v>
      </c>
      <c r="J83" s="394">
        <v>0</v>
      </c>
      <c r="K83" s="233">
        <v>0</v>
      </c>
      <c r="L83" s="394">
        <v>0</v>
      </c>
      <c r="M83" s="233">
        <v>0</v>
      </c>
      <c r="N83" s="394">
        <v>0</v>
      </c>
      <c r="O83" s="73">
        <v>0</v>
      </c>
      <c r="P83" s="394">
        <v>0</v>
      </c>
      <c r="Q83" s="76">
        <v>1700</v>
      </c>
      <c r="R83" s="396">
        <v>0</v>
      </c>
      <c r="S83" s="73"/>
      <c r="T83" s="396"/>
      <c r="U83" s="73"/>
      <c r="V83" s="396"/>
      <c r="W83" s="73"/>
      <c r="X83" s="396"/>
      <c r="Y83" s="73"/>
      <c r="Z83" s="396"/>
      <c r="AA83" s="73"/>
      <c r="AB83" s="396"/>
      <c r="AC83" s="76">
        <f t="shared" si="0"/>
        <v>1700</v>
      </c>
      <c r="AD83" s="396">
        <f t="shared" si="0"/>
        <v>0</v>
      </c>
    </row>
    <row r="84" spans="1:30" ht="16" x14ac:dyDescent="0.2">
      <c r="A84" s="393"/>
      <c r="B84" s="234" t="s">
        <v>77</v>
      </c>
      <c r="C84" s="73" t="s">
        <v>646</v>
      </c>
      <c r="D84" s="74" t="s">
        <v>374</v>
      </c>
      <c r="E84" s="75">
        <v>0</v>
      </c>
      <c r="F84" s="395"/>
      <c r="G84" s="233">
        <v>0</v>
      </c>
      <c r="H84" s="395"/>
      <c r="I84" s="233">
        <v>0</v>
      </c>
      <c r="J84" s="395"/>
      <c r="K84" s="233">
        <v>0</v>
      </c>
      <c r="L84" s="395"/>
      <c r="M84" s="233">
        <v>0</v>
      </c>
      <c r="N84" s="395"/>
      <c r="O84" s="73">
        <v>0</v>
      </c>
      <c r="P84" s="395"/>
      <c r="Q84" s="76">
        <v>2550</v>
      </c>
      <c r="R84" s="396"/>
      <c r="S84" s="73"/>
      <c r="T84" s="396"/>
      <c r="U84" s="73"/>
      <c r="V84" s="396"/>
      <c r="W84" s="73"/>
      <c r="X84" s="396"/>
      <c r="Y84" s="73"/>
      <c r="Z84" s="396"/>
      <c r="AA84" s="73"/>
      <c r="AB84" s="396"/>
      <c r="AC84" s="76">
        <f t="shared" si="0"/>
        <v>2550</v>
      </c>
      <c r="AD84" s="396">
        <f t="shared" si="0"/>
        <v>0</v>
      </c>
    </row>
    <row r="85" spans="1:30" ht="16" x14ac:dyDescent="0.2">
      <c r="A85" s="388">
        <v>41</v>
      </c>
      <c r="B85" s="230" t="s">
        <v>77</v>
      </c>
      <c r="C85" s="67" t="s">
        <v>82</v>
      </c>
      <c r="D85" s="68" t="s">
        <v>373</v>
      </c>
      <c r="E85" s="69">
        <v>1800</v>
      </c>
      <c r="F85" s="389">
        <v>0</v>
      </c>
      <c r="G85" s="71">
        <v>2000</v>
      </c>
      <c r="H85" s="389">
        <v>84770</v>
      </c>
      <c r="I85" s="69">
        <v>2200</v>
      </c>
      <c r="J85" s="389">
        <v>140490</v>
      </c>
      <c r="K85" s="70">
        <v>1900</v>
      </c>
      <c r="L85" s="387">
        <v>218700</v>
      </c>
      <c r="M85" s="70">
        <v>2000</v>
      </c>
      <c r="N85" s="387">
        <v>153900</v>
      </c>
      <c r="O85" s="67">
        <v>2100</v>
      </c>
      <c r="P85" s="387">
        <v>162000</v>
      </c>
      <c r="Q85" s="71">
        <v>2300</v>
      </c>
      <c r="R85" s="389">
        <v>170100</v>
      </c>
      <c r="S85" s="67"/>
      <c r="T85" s="389"/>
      <c r="U85" s="67"/>
      <c r="V85" s="389"/>
      <c r="W85" s="67"/>
      <c r="X85" s="389"/>
      <c r="Y85" s="67"/>
      <c r="Z85" s="389"/>
      <c r="AA85" s="67"/>
      <c r="AB85" s="389"/>
      <c r="AC85" s="71">
        <f t="shared" si="0"/>
        <v>14300</v>
      </c>
      <c r="AD85" s="389">
        <f t="shared" si="0"/>
        <v>929960</v>
      </c>
    </row>
    <row r="86" spans="1:30" ht="16" x14ac:dyDescent="0.2">
      <c r="A86" s="388"/>
      <c r="B86" s="231" t="s">
        <v>77</v>
      </c>
      <c r="C86" s="67" t="s">
        <v>82</v>
      </c>
      <c r="D86" s="68" t="s">
        <v>374</v>
      </c>
      <c r="E86" s="69">
        <v>3800</v>
      </c>
      <c r="F86" s="389"/>
      <c r="G86" s="71">
        <v>4000</v>
      </c>
      <c r="H86" s="389"/>
      <c r="I86" s="69">
        <v>4400</v>
      </c>
      <c r="J86" s="389"/>
      <c r="K86" s="70">
        <v>3800</v>
      </c>
      <c r="L86" s="390"/>
      <c r="M86" s="70">
        <v>4000</v>
      </c>
      <c r="N86" s="390"/>
      <c r="O86" s="67">
        <v>4200</v>
      </c>
      <c r="P86" s="390"/>
      <c r="Q86" s="71">
        <v>4600</v>
      </c>
      <c r="R86" s="389"/>
      <c r="S86" s="67"/>
      <c r="T86" s="389"/>
      <c r="U86" s="67"/>
      <c r="V86" s="389"/>
      <c r="W86" s="67"/>
      <c r="X86" s="389"/>
      <c r="Y86" s="67"/>
      <c r="Z86" s="389"/>
      <c r="AA86" s="67"/>
      <c r="AB86" s="389"/>
      <c r="AC86" s="71">
        <f t="shared" si="0"/>
        <v>28800</v>
      </c>
      <c r="AD86" s="389">
        <f t="shared" si="0"/>
        <v>0</v>
      </c>
    </row>
    <row r="87" spans="1:30" ht="16" x14ac:dyDescent="0.2">
      <c r="A87" s="388">
        <v>42</v>
      </c>
      <c r="B87" s="230" t="s">
        <v>77</v>
      </c>
      <c r="C87" s="67" t="s">
        <v>85</v>
      </c>
      <c r="D87" s="68" t="s">
        <v>373</v>
      </c>
      <c r="E87" s="69">
        <v>0</v>
      </c>
      <c r="F87" s="389">
        <v>0</v>
      </c>
      <c r="G87" s="69">
        <v>0</v>
      </c>
      <c r="H87" s="389">
        <v>0</v>
      </c>
      <c r="I87" s="69">
        <v>0</v>
      </c>
      <c r="J87" s="389">
        <v>0</v>
      </c>
      <c r="K87" s="69">
        <v>0</v>
      </c>
      <c r="L87" s="389">
        <v>0</v>
      </c>
      <c r="M87" s="69">
        <v>300</v>
      </c>
      <c r="N87" s="389">
        <v>0</v>
      </c>
      <c r="O87" s="67">
        <v>2400</v>
      </c>
      <c r="P87" s="387">
        <v>0</v>
      </c>
      <c r="Q87" s="71">
        <v>2300</v>
      </c>
      <c r="R87" s="389">
        <v>199068</v>
      </c>
      <c r="S87" s="67"/>
      <c r="T87" s="389"/>
      <c r="U87" s="67"/>
      <c r="V87" s="389"/>
      <c r="W87" s="67"/>
      <c r="X87" s="389"/>
      <c r="Y87" s="67"/>
      <c r="Z87" s="389"/>
      <c r="AA87" s="67"/>
      <c r="AB87" s="389"/>
      <c r="AC87" s="71">
        <f t="shared" si="0"/>
        <v>5000</v>
      </c>
      <c r="AD87" s="389">
        <f t="shared" si="0"/>
        <v>199068</v>
      </c>
    </row>
    <row r="88" spans="1:30" ht="16" x14ac:dyDescent="0.2">
      <c r="A88" s="388"/>
      <c r="B88" s="231" t="s">
        <v>77</v>
      </c>
      <c r="C88" s="67" t="s">
        <v>85</v>
      </c>
      <c r="D88" s="68" t="s">
        <v>374</v>
      </c>
      <c r="E88" s="69">
        <v>0</v>
      </c>
      <c r="F88" s="389"/>
      <c r="G88" s="69">
        <v>0</v>
      </c>
      <c r="H88" s="389"/>
      <c r="I88" s="69">
        <v>0</v>
      </c>
      <c r="J88" s="389"/>
      <c r="K88" s="69">
        <v>0</v>
      </c>
      <c r="L88" s="389"/>
      <c r="M88" s="69">
        <v>450</v>
      </c>
      <c r="N88" s="389"/>
      <c r="O88" s="67">
        <v>3600</v>
      </c>
      <c r="P88" s="390"/>
      <c r="Q88" s="71">
        <v>3450</v>
      </c>
      <c r="R88" s="389"/>
      <c r="S88" s="67"/>
      <c r="T88" s="389"/>
      <c r="U88" s="67"/>
      <c r="V88" s="389"/>
      <c r="W88" s="67"/>
      <c r="X88" s="389"/>
      <c r="Y88" s="67"/>
      <c r="Z88" s="389"/>
      <c r="AA88" s="67"/>
      <c r="AB88" s="389"/>
      <c r="AC88" s="71">
        <f t="shared" si="0"/>
        <v>7500</v>
      </c>
      <c r="AD88" s="389">
        <f t="shared" si="0"/>
        <v>0</v>
      </c>
    </row>
    <row r="89" spans="1:30" ht="16" x14ac:dyDescent="0.2">
      <c r="A89" s="388">
        <v>43</v>
      </c>
      <c r="B89" s="230" t="s">
        <v>86</v>
      </c>
      <c r="C89" s="67" t="s">
        <v>87</v>
      </c>
      <c r="D89" s="68" t="s">
        <v>373</v>
      </c>
      <c r="E89" s="69">
        <v>1700</v>
      </c>
      <c r="F89" s="389">
        <v>0</v>
      </c>
      <c r="G89" s="71">
        <v>2000</v>
      </c>
      <c r="H89" s="389">
        <v>0</v>
      </c>
      <c r="I89" s="69">
        <v>2200</v>
      </c>
      <c r="J89" s="389">
        <v>331389.33</v>
      </c>
      <c r="K89" s="70">
        <v>1900</v>
      </c>
      <c r="L89" s="387">
        <v>191836.5</v>
      </c>
      <c r="M89" s="70">
        <v>2000</v>
      </c>
      <c r="N89" s="387">
        <v>167394.75</v>
      </c>
      <c r="O89" s="67">
        <v>2100</v>
      </c>
      <c r="P89" s="387">
        <v>159630</v>
      </c>
      <c r="Q89" s="71">
        <v>2276</v>
      </c>
      <c r="R89" s="389">
        <v>167611.49999999988</v>
      </c>
      <c r="S89" s="67"/>
      <c r="T89" s="389"/>
      <c r="U89" s="67"/>
      <c r="V89" s="389"/>
      <c r="W89" s="67"/>
      <c r="X89" s="389"/>
      <c r="Y89" s="67"/>
      <c r="Z89" s="389"/>
      <c r="AA89" s="67"/>
      <c r="AB89" s="389"/>
      <c r="AC89" s="71">
        <f t="shared" si="0"/>
        <v>14176</v>
      </c>
      <c r="AD89" s="389">
        <f t="shared" si="0"/>
        <v>1017862.0799999998</v>
      </c>
    </row>
    <row r="90" spans="1:30" ht="16" x14ac:dyDescent="0.2">
      <c r="A90" s="388"/>
      <c r="B90" s="231" t="s">
        <v>86</v>
      </c>
      <c r="C90" s="67" t="s">
        <v>87</v>
      </c>
      <c r="D90" s="68" t="s">
        <v>374</v>
      </c>
      <c r="E90" s="69">
        <v>3150</v>
      </c>
      <c r="F90" s="389"/>
      <c r="G90" s="71">
        <v>3500</v>
      </c>
      <c r="H90" s="389"/>
      <c r="I90" s="69">
        <v>3850</v>
      </c>
      <c r="J90" s="389"/>
      <c r="K90" s="70">
        <v>3325</v>
      </c>
      <c r="L90" s="390"/>
      <c r="M90" s="70">
        <v>3000</v>
      </c>
      <c r="N90" s="390"/>
      <c r="O90" s="67">
        <v>3150</v>
      </c>
      <c r="P90" s="390"/>
      <c r="Q90" s="71">
        <v>3300</v>
      </c>
      <c r="R90" s="389"/>
      <c r="S90" s="67"/>
      <c r="T90" s="389"/>
      <c r="U90" s="67"/>
      <c r="V90" s="389"/>
      <c r="W90" s="67"/>
      <c r="X90" s="389"/>
      <c r="Y90" s="67"/>
      <c r="Z90" s="389"/>
      <c r="AA90" s="67"/>
      <c r="AB90" s="389"/>
      <c r="AC90" s="71">
        <f t="shared" si="0"/>
        <v>23275</v>
      </c>
      <c r="AD90" s="389">
        <f t="shared" si="0"/>
        <v>0</v>
      </c>
    </row>
    <row r="91" spans="1:30" ht="16" x14ac:dyDescent="0.2">
      <c r="A91" s="388">
        <v>44</v>
      </c>
      <c r="B91" s="230" t="s">
        <v>86</v>
      </c>
      <c r="C91" s="67" t="s">
        <v>88</v>
      </c>
      <c r="D91" s="68" t="s">
        <v>373</v>
      </c>
      <c r="E91" s="69">
        <v>0</v>
      </c>
      <c r="F91" s="389">
        <v>0</v>
      </c>
      <c r="G91" s="69">
        <v>0</v>
      </c>
      <c r="H91" s="389">
        <v>0</v>
      </c>
      <c r="I91" s="69">
        <v>0</v>
      </c>
      <c r="J91" s="389">
        <v>0</v>
      </c>
      <c r="K91" s="69">
        <v>0</v>
      </c>
      <c r="L91" s="389">
        <v>0</v>
      </c>
      <c r="M91" s="69">
        <v>0</v>
      </c>
      <c r="N91" s="389">
        <v>0</v>
      </c>
      <c r="O91" s="67">
        <v>891</v>
      </c>
      <c r="P91" s="387">
        <v>0</v>
      </c>
      <c r="Q91" s="71">
        <v>2300</v>
      </c>
      <c r="R91" s="389">
        <v>71297.490000000005</v>
      </c>
      <c r="S91" s="67"/>
      <c r="T91" s="389"/>
      <c r="U91" s="67"/>
      <c r="V91" s="389"/>
      <c r="W91" s="67"/>
      <c r="X91" s="389"/>
      <c r="Y91" s="67"/>
      <c r="Z91" s="389"/>
      <c r="AA91" s="67"/>
      <c r="AB91" s="389"/>
      <c r="AC91" s="71">
        <f t="shared" si="0"/>
        <v>3191</v>
      </c>
      <c r="AD91" s="389">
        <f t="shared" si="0"/>
        <v>71297.490000000005</v>
      </c>
    </row>
    <row r="92" spans="1:30" ht="16" x14ac:dyDescent="0.2">
      <c r="A92" s="388"/>
      <c r="B92" s="231" t="s">
        <v>86</v>
      </c>
      <c r="C92" s="67" t="s">
        <v>88</v>
      </c>
      <c r="D92" s="68" t="s">
        <v>374</v>
      </c>
      <c r="E92" s="69">
        <v>0</v>
      </c>
      <c r="F92" s="389"/>
      <c r="G92" s="69">
        <v>0</v>
      </c>
      <c r="H92" s="389"/>
      <c r="I92" s="69">
        <v>0</v>
      </c>
      <c r="J92" s="389"/>
      <c r="K92" s="69">
        <v>0</v>
      </c>
      <c r="L92" s="389"/>
      <c r="M92" s="69">
        <v>0</v>
      </c>
      <c r="N92" s="389"/>
      <c r="O92" s="67">
        <v>1342</v>
      </c>
      <c r="P92" s="390"/>
      <c r="Q92" s="71">
        <v>3300</v>
      </c>
      <c r="R92" s="389"/>
      <c r="S92" s="67"/>
      <c r="T92" s="389"/>
      <c r="U92" s="67"/>
      <c r="V92" s="389"/>
      <c r="W92" s="67"/>
      <c r="X92" s="389"/>
      <c r="Y92" s="67"/>
      <c r="Z92" s="389"/>
      <c r="AA92" s="67"/>
      <c r="AB92" s="389"/>
      <c r="AC92" s="71">
        <f t="shared" si="0"/>
        <v>4642</v>
      </c>
      <c r="AD92" s="389">
        <f t="shared" si="0"/>
        <v>0</v>
      </c>
    </row>
    <row r="93" spans="1:30" ht="16" x14ac:dyDescent="0.2">
      <c r="A93" s="388">
        <v>45</v>
      </c>
      <c r="B93" s="230" t="s">
        <v>86</v>
      </c>
      <c r="C93" s="67" t="s">
        <v>89</v>
      </c>
      <c r="D93" s="68" t="s">
        <v>373</v>
      </c>
      <c r="E93" s="69">
        <v>1700</v>
      </c>
      <c r="F93" s="389">
        <v>0</v>
      </c>
      <c r="G93" s="71">
        <v>2000</v>
      </c>
      <c r="H93" s="389">
        <v>0</v>
      </c>
      <c r="I93" s="69">
        <v>2200</v>
      </c>
      <c r="J93" s="389">
        <v>300288</v>
      </c>
      <c r="K93" s="70">
        <v>1896</v>
      </c>
      <c r="L93" s="387">
        <v>175593</v>
      </c>
      <c r="M93" s="70">
        <v>2000</v>
      </c>
      <c r="N93" s="387">
        <v>151528.14000000001</v>
      </c>
      <c r="O93" s="67">
        <v>2100</v>
      </c>
      <c r="P93" s="387">
        <v>159630</v>
      </c>
      <c r="Q93" s="71">
        <v>2300</v>
      </c>
      <c r="R93" s="389">
        <v>167611.5</v>
      </c>
      <c r="S93" s="67"/>
      <c r="T93" s="389"/>
      <c r="U93" s="67"/>
      <c r="V93" s="389"/>
      <c r="W93" s="67"/>
      <c r="X93" s="389"/>
      <c r="Y93" s="67"/>
      <c r="Z93" s="389"/>
      <c r="AA93" s="67"/>
      <c r="AB93" s="389"/>
      <c r="AC93" s="71">
        <f t="shared" si="0"/>
        <v>14196</v>
      </c>
      <c r="AD93" s="389">
        <f t="shared" si="0"/>
        <v>954650.64</v>
      </c>
    </row>
    <row r="94" spans="1:30" ht="16" x14ac:dyDescent="0.2">
      <c r="A94" s="388"/>
      <c r="B94" s="231" t="s">
        <v>86</v>
      </c>
      <c r="C94" s="67" t="s">
        <v>89</v>
      </c>
      <c r="D94" s="68" t="s">
        <v>374</v>
      </c>
      <c r="E94" s="69">
        <v>2626</v>
      </c>
      <c r="F94" s="389"/>
      <c r="G94" s="71">
        <v>3000</v>
      </c>
      <c r="H94" s="389"/>
      <c r="I94" s="69">
        <v>3300</v>
      </c>
      <c r="J94" s="389"/>
      <c r="K94" s="70">
        <v>2850</v>
      </c>
      <c r="L94" s="390"/>
      <c r="M94" s="70">
        <v>3000</v>
      </c>
      <c r="N94" s="390"/>
      <c r="O94" s="67">
        <v>3150</v>
      </c>
      <c r="P94" s="390"/>
      <c r="Q94" s="71">
        <v>3450</v>
      </c>
      <c r="R94" s="389"/>
      <c r="S94" s="67"/>
      <c r="T94" s="389"/>
      <c r="U94" s="67"/>
      <c r="V94" s="389"/>
      <c r="W94" s="67"/>
      <c r="X94" s="389"/>
      <c r="Y94" s="67"/>
      <c r="Z94" s="389"/>
      <c r="AA94" s="67"/>
      <c r="AB94" s="389"/>
      <c r="AC94" s="71">
        <f t="shared" si="0"/>
        <v>21376</v>
      </c>
      <c r="AD94" s="389">
        <f t="shared" si="0"/>
        <v>0</v>
      </c>
    </row>
    <row r="95" spans="1:30" ht="16" x14ac:dyDescent="0.2">
      <c r="A95" s="388">
        <v>46</v>
      </c>
      <c r="B95" s="230" t="s">
        <v>86</v>
      </c>
      <c r="C95" s="67" t="s">
        <v>90</v>
      </c>
      <c r="D95" s="68" t="s">
        <v>373</v>
      </c>
      <c r="E95" s="69">
        <v>3400</v>
      </c>
      <c r="F95" s="389">
        <v>0</v>
      </c>
      <c r="G95" s="71">
        <v>4000</v>
      </c>
      <c r="H95" s="389">
        <v>0</v>
      </c>
      <c r="I95" s="69">
        <v>4400</v>
      </c>
      <c r="J95" s="389">
        <v>599316.30000000005</v>
      </c>
      <c r="K95" s="70">
        <v>3800</v>
      </c>
      <c r="L95" s="387">
        <v>351186</v>
      </c>
      <c r="M95" s="70">
        <v>3000</v>
      </c>
      <c r="N95" s="387">
        <v>303297</v>
      </c>
      <c r="O95" s="67">
        <v>3150</v>
      </c>
      <c r="P95" s="387">
        <v>256020</v>
      </c>
      <c r="Q95" s="71">
        <v>3450</v>
      </c>
      <c r="R95" s="389">
        <v>268821</v>
      </c>
      <c r="S95" s="67"/>
      <c r="T95" s="389"/>
      <c r="U95" s="67"/>
      <c r="V95" s="389"/>
      <c r="W95" s="67"/>
      <c r="X95" s="389"/>
      <c r="Y95" s="67"/>
      <c r="Z95" s="389"/>
      <c r="AA95" s="67"/>
      <c r="AB95" s="389"/>
      <c r="AC95" s="71">
        <f t="shared" si="0"/>
        <v>25200</v>
      </c>
      <c r="AD95" s="389">
        <f t="shared" si="0"/>
        <v>1778640.3</v>
      </c>
    </row>
    <row r="96" spans="1:30" ht="16" x14ac:dyDescent="0.2">
      <c r="A96" s="388"/>
      <c r="B96" s="231" t="s">
        <v>86</v>
      </c>
      <c r="C96" s="67" t="s">
        <v>90</v>
      </c>
      <c r="D96" s="68" t="s">
        <v>374</v>
      </c>
      <c r="E96" s="69">
        <v>5362</v>
      </c>
      <c r="F96" s="389"/>
      <c r="G96" s="71">
        <v>6000</v>
      </c>
      <c r="H96" s="389"/>
      <c r="I96" s="69">
        <v>6600</v>
      </c>
      <c r="J96" s="389"/>
      <c r="K96" s="70">
        <v>5700</v>
      </c>
      <c r="L96" s="390"/>
      <c r="M96" s="70">
        <v>5000</v>
      </c>
      <c r="N96" s="390"/>
      <c r="O96" s="67">
        <v>5250</v>
      </c>
      <c r="P96" s="390"/>
      <c r="Q96" s="71">
        <v>5700</v>
      </c>
      <c r="R96" s="389"/>
      <c r="S96" s="67"/>
      <c r="T96" s="389"/>
      <c r="U96" s="67"/>
      <c r="V96" s="389"/>
      <c r="W96" s="67"/>
      <c r="X96" s="389"/>
      <c r="Y96" s="67"/>
      <c r="Z96" s="389"/>
      <c r="AA96" s="67"/>
      <c r="AB96" s="389"/>
      <c r="AC96" s="71">
        <f t="shared" ref="AC96:AD171" si="2">AA96+Y96+W96+U96+S96+Q96+O96+K96+M96+I96+G96+E96</f>
        <v>39612</v>
      </c>
      <c r="AD96" s="389">
        <f t="shared" si="2"/>
        <v>0</v>
      </c>
    </row>
    <row r="97" spans="1:30" ht="16" x14ac:dyDescent="0.2">
      <c r="A97" s="388">
        <v>47</v>
      </c>
      <c r="B97" s="230" t="s">
        <v>86</v>
      </c>
      <c r="C97" s="67" t="s">
        <v>91</v>
      </c>
      <c r="D97" s="68" t="s">
        <v>373</v>
      </c>
      <c r="E97" s="69">
        <v>3400</v>
      </c>
      <c r="F97" s="389">
        <v>0</v>
      </c>
      <c r="G97" s="71">
        <v>3727</v>
      </c>
      <c r="H97" s="389">
        <v>0</v>
      </c>
      <c r="I97" s="69">
        <v>3300</v>
      </c>
      <c r="J97" s="389">
        <v>529376.43000000005</v>
      </c>
      <c r="K97" s="70">
        <v>2850</v>
      </c>
      <c r="L97" s="387">
        <v>281622</v>
      </c>
      <c r="M97" s="70">
        <v>2850</v>
      </c>
      <c r="N97" s="387">
        <v>243219</v>
      </c>
      <c r="O97" s="67">
        <v>3150</v>
      </c>
      <c r="P97" s="387">
        <v>243219</v>
      </c>
      <c r="Q97" s="71">
        <v>3450</v>
      </c>
      <c r="R97" s="389">
        <v>268820.99999999977</v>
      </c>
      <c r="S97" s="67"/>
      <c r="T97" s="389"/>
      <c r="U97" s="67"/>
      <c r="V97" s="389"/>
      <c r="W97" s="67"/>
      <c r="X97" s="389"/>
      <c r="Y97" s="67"/>
      <c r="Z97" s="389"/>
      <c r="AA97" s="67"/>
      <c r="AB97" s="389"/>
      <c r="AC97" s="71">
        <f t="shared" si="2"/>
        <v>22727</v>
      </c>
      <c r="AD97" s="389">
        <f t="shared" si="2"/>
        <v>1566257.4299999997</v>
      </c>
    </row>
    <row r="98" spans="1:30" ht="16" x14ac:dyDescent="0.2">
      <c r="A98" s="388"/>
      <c r="B98" s="231" t="s">
        <v>86</v>
      </c>
      <c r="C98" s="67" t="s">
        <v>91</v>
      </c>
      <c r="D98" s="68" t="s">
        <v>374</v>
      </c>
      <c r="E98" s="69">
        <v>4500</v>
      </c>
      <c r="F98" s="389"/>
      <c r="G98" s="71">
        <v>5000</v>
      </c>
      <c r="H98" s="389"/>
      <c r="I98" s="69">
        <v>5500</v>
      </c>
      <c r="J98" s="389"/>
      <c r="K98" s="70">
        <v>4750</v>
      </c>
      <c r="L98" s="390"/>
      <c r="M98" s="70">
        <v>4750</v>
      </c>
      <c r="N98" s="390"/>
      <c r="O98" s="67">
        <v>5250</v>
      </c>
      <c r="P98" s="390"/>
      <c r="Q98" s="71">
        <v>5670</v>
      </c>
      <c r="R98" s="389"/>
      <c r="S98" s="67"/>
      <c r="T98" s="389"/>
      <c r="U98" s="67"/>
      <c r="V98" s="389"/>
      <c r="W98" s="67"/>
      <c r="X98" s="389"/>
      <c r="Y98" s="67"/>
      <c r="Z98" s="389"/>
      <c r="AA98" s="67"/>
      <c r="AB98" s="389"/>
      <c r="AC98" s="71">
        <f t="shared" si="2"/>
        <v>35420</v>
      </c>
      <c r="AD98" s="389">
        <f t="shared" si="2"/>
        <v>0</v>
      </c>
    </row>
    <row r="99" spans="1:30" ht="16" x14ac:dyDescent="0.2">
      <c r="A99" s="388">
        <v>48</v>
      </c>
      <c r="B99" s="230" t="s">
        <v>86</v>
      </c>
      <c r="C99" s="67" t="s">
        <v>92</v>
      </c>
      <c r="D99" s="68" t="s">
        <v>373</v>
      </c>
      <c r="E99" s="69">
        <v>2550</v>
      </c>
      <c r="F99" s="389">
        <v>0</v>
      </c>
      <c r="G99" s="71">
        <v>2750</v>
      </c>
      <c r="H99" s="389">
        <v>0</v>
      </c>
      <c r="I99" s="69">
        <v>2200</v>
      </c>
      <c r="J99" s="389">
        <v>457827</v>
      </c>
      <c r="K99" s="70">
        <v>1900</v>
      </c>
      <c r="L99" s="387">
        <v>212058</v>
      </c>
      <c r="M99" s="70">
        <v>2000</v>
      </c>
      <c r="N99" s="387">
        <v>183141</v>
      </c>
      <c r="O99" s="67">
        <v>2100</v>
      </c>
      <c r="P99" s="387">
        <v>191884.94999999995</v>
      </c>
      <c r="Q99" s="71">
        <v>2300</v>
      </c>
      <c r="R99" s="389">
        <v>202419</v>
      </c>
      <c r="S99" s="67"/>
      <c r="T99" s="389"/>
      <c r="U99" s="67"/>
      <c r="V99" s="389"/>
      <c r="W99" s="67"/>
      <c r="X99" s="389"/>
      <c r="Y99" s="67"/>
      <c r="Z99" s="389"/>
      <c r="AA99" s="67"/>
      <c r="AB99" s="389"/>
      <c r="AC99" s="71">
        <f t="shared" si="2"/>
        <v>15800</v>
      </c>
      <c r="AD99" s="389">
        <f t="shared" si="2"/>
        <v>1247329.95</v>
      </c>
    </row>
    <row r="100" spans="1:30" ht="16" x14ac:dyDescent="0.2">
      <c r="A100" s="388"/>
      <c r="B100" s="231" t="s">
        <v>86</v>
      </c>
      <c r="C100" s="67" t="s">
        <v>92</v>
      </c>
      <c r="D100" s="68" t="s">
        <v>374</v>
      </c>
      <c r="E100" s="69">
        <v>4500</v>
      </c>
      <c r="F100" s="389"/>
      <c r="G100" s="71">
        <v>4500</v>
      </c>
      <c r="H100" s="389"/>
      <c r="I100" s="69">
        <v>4400</v>
      </c>
      <c r="J100" s="389"/>
      <c r="K100" s="70">
        <v>3800</v>
      </c>
      <c r="L100" s="390"/>
      <c r="M100" s="70">
        <v>3973</v>
      </c>
      <c r="N100" s="390"/>
      <c r="O100" s="67">
        <v>4200</v>
      </c>
      <c r="P100" s="390"/>
      <c r="Q100" s="71">
        <v>4600</v>
      </c>
      <c r="R100" s="389"/>
      <c r="S100" s="67"/>
      <c r="T100" s="389"/>
      <c r="U100" s="67"/>
      <c r="V100" s="389"/>
      <c r="W100" s="67"/>
      <c r="X100" s="389"/>
      <c r="Y100" s="67"/>
      <c r="Z100" s="389"/>
      <c r="AA100" s="67"/>
      <c r="AB100" s="389"/>
      <c r="AC100" s="71">
        <f t="shared" si="2"/>
        <v>29973</v>
      </c>
      <c r="AD100" s="389">
        <f t="shared" si="2"/>
        <v>0</v>
      </c>
    </row>
    <row r="101" spans="1:30" ht="16" x14ac:dyDescent="0.2">
      <c r="A101" s="388">
        <v>49</v>
      </c>
      <c r="B101" s="230" t="s">
        <v>86</v>
      </c>
      <c r="C101" s="67" t="s">
        <v>93</v>
      </c>
      <c r="D101" s="68" t="s">
        <v>373</v>
      </c>
      <c r="E101" s="69">
        <v>2550</v>
      </c>
      <c r="F101" s="389">
        <v>0</v>
      </c>
      <c r="G101" s="71">
        <v>2750</v>
      </c>
      <c r="H101" s="389">
        <v>0</v>
      </c>
      <c r="I101" s="69">
        <v>2200</v>
      </c>
      <c r="J101" s="389">
        <v>403129.5</v>
      </c>
      <c r="K101" s="70">
        <v>0</v>
      </c>
      <c r="L101" s="387">
        <v>103759.5</v>
      </c>
      <c r="M101" s="70">
        <v>0</v>
      </c>
      <c r="N101" s="387">
        <v>0</v>
      </c>
      <c r="O101" s="67">
        <v>0</v>
      </c>
      <c r="P101" s="387">
        <v>0</v>
      </c>
      <c r="Q101" s="71">
        <v>0</v>
      </c>
      <c r="R101" s="389">
        <v>0</v>
      </c>
      <c r="S101" s="67"/>
      <c r="T101" s="389"/>
      <c r="U101" s="67"/>
      <c r="V101" s="389"/>
      <c r="W101" s="67"/>
      <c r="X101" s="389"/>
      <c r="Y101" s="67"/>
      <c r="Z101" s="389"/>
      <c r="AA101" s="67"/>
      <c r="AB101" s="389"/>
      <c r="AC101" s="71">
        <f t="shared" si="2"/>
        <v>7500</v>
      </c>
      <c r="AD101" s="389">
        <f t="shared" si="2"/>
        <v>506889</v>
      </c>
    </row>
    <row r="102" spans="1:30" ht="16" x14ac:dyDescent="0.2">
      <c r="A102" s="388"/>
      <c r="B102" s="231" t="s">
        <v>86</v>
      </c>
      <c r="C102" s="67" t="s">
        <v>93</v>
      </c>
      <c r="D102" s="68" t="s">
        <v>374</v>
      </c>
      <c r="E102" s="69">
        <v>3600</v>
      </c>
      <c r="F102" s="389"/>
      <c r="G102" s="71">
        <v>3750</v>
      </c>
      <c r="H102" s="389"/>
      <c r="I102" s="69">
        <v>3300</v>
      </c>
      <c r="J102" s="389"/>
      <c r="K102" s="70">
        <v>0</v>
      </c>
      <c r="L102" s="390"/>
      <c r="M102" s="70">
        <v>0</v>
      </c>
      <c r="N102" s="390"/>
      <c r="O102" s="67">
        <v>0</v>
      </c>
      <c r="P102" s="390"/>
      <c r="Q102" s="71">
        <v>0</v>
      </c>
      <c r="R102" s="389"/>
      <c r="S102" s="67"/>
      <c r="T102" s="389"/>
      <c r="U102" s="67"/>
      <c r="V102" s="389"/>
      <c r="W102" s="67"/>
      <c r="X102" s="389"/>
      <c r="Y102" s="67"/>
      <c r="Z102" s="389"/>
      <c r="AA102" s="67"/>
      <c r="AB102" s="389"/>
      <c r="AC102" s="71">
        <f t="shared" si="2"/>
        <v>10650</v>
      </c>
      <c r="AD102" s="389">
        <f t="shared" si="2"/>
        <v>0</v>
      </c>
    </row>
    <row r="103" spans="1:30" ht="16" x14ac:dyDescent="0.2">
      <c r="A103" s="388">
        <v>50</v>
      </c>
      <c r="B103" s="230" t="s">
        <v>86</v>
      </c>
      <c r="C103" s="67" t="s">
        <v>95</v>
      </c>
      <c r="D103" s="68" t="s">
        <v>373</v>
      </c>
      <c r="E103" s="69">
        <v>2125</v>
      </c>
      <c r="F103" s="389">
        <v>0</v>
      </c>
      <c r="G103" s="71">
        <v>2375</v>
      </c>
      <c r="H103" s="389">
        <v>0</v>
      </c>
      <c r="I103" s="69">
        <v>2200</v>
      </c>
      <c r="J103" s="389">
        <v>351708.75</v>
      </c>
      <c r="K103" s="70">
        <v>1900</v>
      </c>
      <c r="L103" s="387">
        <v>175593</v>
      </c>
      <c r="M103" s="70">
        <v>1900</v>
      </c>
      <c r="N103" s="387">
        <v>151648.5</v>
      </c>
      <c r="O103" s="67">
        <v>2100</v>
      </c>
      <c r="P103" s="387">
        <v>151648.5</v>
      </c>
      <c r="Q103" s="71">
        <v>2300</v>
      </c>
      <c r="R103" s="389">
        <v>167611.5</v>
      </c>
      <c r="S103" s="67"/>
      <c r="T103" s="389"/>
      <c r="U103" s="67"/>
      <c r="V103" s="389"/>
      <c r="W103" s="67"/>
      <c r="X103" s="389"/>
      <c r="Y103" s="67"/>
      <c r="Z103" s="389"/>
      <c r="AA103" s="67"/>
      <c r="AB103" s="389"/>
      <c r="AC103" s="71">
        <f t="shared" si="2"/>
        <v>14900</v>
      </c>
      <c r="AD103" s="389">
        <f t="shared" si="2"/>
        <v>998210.25</v>
      </c>
    </row>
    <row r="104" spans="1:30" ht="16" x14ac:dyDescent="0.2">
      <c r="A104" s="388"/>
      <c r="B104" s="231" t="s">
        <v>86</v>
      </c>
      <c r="C104" s="67" t="s">
        <v>95</v>
      </c>
      <c r="D104" s="68" t="s">
        <v>374</v>
      </c>
      <c r="E104" s="69">
        <v>3150</v>
      </c>
      <c r="F104" s="389"/>
      <c r="G104" s="71">
        <v>3375</v>
      </c>
      <c r="H104" s="389"/>
      <c r="I104" s="69">
        <v>3300</v>
      </c>
      <c r="J104" s="389"/>
      <c r="K104" s="70">
        <v>2850</v>
      </c>
      <c r="L104" s="390"/>
      <c r="M104" s="70">
        <v>2850</v>
      </c>
      <c r="N104" s="390"/>
      <c r="O104" s="67">
        <v>3150</v>
      </c>
      <c r="P104" s="390"/>
      <c r="Q104" s="71">
        <v>3400</v>
      </c>
      <c r="R104" s="389"/>
      <c r="S104" s="67"/>
      <c r="T104" s="389"/>
      <c r="U104" s="67"/>
      <c r="V104" s="389"/>
      <c r="W104" s="67"/>
      <c r="X104" s="389"/>
      <c r="Y104" s="67"/>
      <c r="Z104" s="389"/>
      <c r="AA104" s="67"/>
      <c r="AB104" s="389"/>
      <c r="AC104" s="71">
        <f t="shared" si="2"/>
        <v>22075</v>
      </c>
      <c r="AD104" s="389">
        <f t="shared" si="2"/>
        <v>0</v>
      </c>
    </row>
    <row r="105" spans="1:30" ht="16" x14ac:dyDescent="0.2">
      <c r="A105" s="388">
        <v>51</v>
      </c>
      <c r="B105" s="230" t="s">
        <v>86</v>
      </c>
      <c r="C105" s="67" t="s">
        <v>385</v>
      </c>
      <c r="D105" s="68" t="s">
        <v>373</v>
      </c>
      <c r="E105" s="69">
        <v>3400</v>
      </c>
      <c r="F105" s="389">
        <v>0</v>
      </c>
      <c r="G105" s="71">
        <v>3875</v>
      </c>
      <c r="H105" s="389">
        <v>0</v>
      </c>
      <c r="I105" s="69">
        <v>3850</v>
      </c>
      <c r="J105" s="389">
        <v>529686</v>
      </c>
      <c r="K105" s="70">
        <v>3325</v>
      </c>
      <c r="L105" s="387">
        <v>279939</v>
      </c>
      <c r="M105" s="70">
        <v>3500</v>
      </c>
      <c r="N105" s="387">
        <v>241765.5</v>
      </c>
      <c r="O105" s="67">
        <v>3675</v>
      </c>
      <c r="P105" s="387">
        <v>254490</v>
      </c>
      <c r="Q105" s="71">
        <v>4025</v>
      </c>
      <c r="R105" s="389">
        <v>267214.5</v>
      </c>
      <c r="S105" s="67"/>
      <c r="T105" s="389"/>
      <c r="U105" s="67"/>
      <c r="V105" s="389"/>
      <c r="W105" s="67"/>
      <c r="X105" s="389"/>
      <c r="Y105" s="67"/>
      <c r="Z105" s="389"/>
      <c r="AA105" s="67"/>
      <c r="AB105" s="389"/>
      <c r="AC105" s="71">
        <f t="shared" si="2"/>
        <v>25650</v>
      </c>
      <c r="AD105" s="389">
        <f t="shared" si="2"/>
        <v>1573095</v>
      </c>
    </row>
    <row r="106" spans="1:30" ht="16" x14ac:dyDescent="0.2">
      <c r="A106" s="388"/>
      <c r="B106" s="231" t="s">
        <v>86</v>
      </c>
      <c r="C106" s="67" t="s">
        <v>385</v>
      </c>
      <c r="D106" s="68" t="s">
        <v>374</v>
      </c>
      <c r="E106" s="69">
        <v>4500</v>
      </c>
      <c r="F106" s="389"/>
      <c r="G106" s="71">
        <v>4875</v>
      </c>
      <c r="H106" s="389"/>
      <c r="I106" s="69">
        <v>4950</v>
      </c>
      <c r="J106" s="389"/>
      <c r="K106" s="70">
        <v>4275</v>
      </c>
      <c r="L106" s="390"/>
      <c r="M106" s="70">
        <v>4500</v>
      </c>
      <c r="N106" s="390"/>
      <c r="O106" s="67">
        <v>4725</v>
      </c>
      <c r="P106" s="390"/>
      <c r="Q106" s="71">
        <v>5175</v>
      </c>
      <c r="R106" s="389"/>
      <c r="S106" s="67"/>
      <c r="T106" s="389"/>
      <c r="U106" s="67"/>
      <c r="V106" s="389"/>
      <c r="W106" s="67"/>
      <c r="X106" s="389"/>
      <c r="Y106" s="67"/>
      <c r="Z106" s="389"/>
      <c r="AA106" s="67"/>
      <c r="AB106" s="389"/>
      <c r="AC106" s="71">
        <f t="shared" si="2"/>
        <v>33000</v>
      </c>
      <c r="AD106" s="389">
        <f t="shared" si="2"/>
        <v>0</v>
      </c>
    </row>
    <row r="107" spans="1:30" ht="16" x14ac:dyDescent="0.2">
      <c r="A107" s="388">
        <v>52</v>
      </c>
      <c r="B107" s="230" t="s">
        <v>86</v>
      </c>
      <c r="C107" s="67" t="s">
        <v>386</v>
      </c>
      <c r="D107" s="68" t="s">
        <v>373</v>
      </c>
      <c r="E107" s="69">
        <v>3400</v>
      </c>
      <c r="F107" s="389">
        <v>0</v>
      </c>
      <c r="G107" s="71">
        <v>4000</v>
      </c>
      <c r="H107" s="389">
        <v>0</v>
      </c>
      <c r="I107" s="69">
        <v>4400</v>
      </c>
      <c r="J107" s="389">
        <v>599372.4</v>
      </c>
      <c r="K107" s="70">
        <v>3800</v>
      </c>
      <c r="L107" s="387">
        <v>351095.73</v>
      </c>
      <c r="M107" s="70">
        <v>2500</v>
      </c>
      <c r="N107" s="387">
        <v>302335.65000000002</v>
      </c>
      <c r="O107" s="67">
        <v>2625</v>
      </c>
      <c r="P107" s="387">
        <v>232687.5</v>
      </c>
      <c r="Q107" s="71">
        <v>2875</v>
      </c>
      <c r="R107" s="389">
        <v>253023.75</v>
      </c>
      <c r="S107" s="67"/>
      <c r="T107" s="389"/>
      <c r="U107" s="67"/>
      <c r="V107" s="389"/>
      <c r="W107" s="67"/>
      <c r="X107" s="389"/>
      <c r="Y107" s="67"/>
      <c r="Z107" s="389"/>
      <c r="AA107" s="67"/>
      <c r="AB107" s="389"/>
      <c r="AC107" s="71">
        <f t="shared" si="2"/>
        <v>23600</v>
      </c>
      <c r="AD107" s="389">
        <f t="shared" si="2"/>
        <v>1738515.0299999998</v>
      </c>
    </row>
    <row r="108" spans="1:30" ht="16" x14ac:dyDescent="0.2">
      <c r="A108" s="388"/>
      <c r="B108" s="231" t="s">
        <v>86</v>
      </c>
      <c r="C108" s="67" t="s">
        <v>386</v>
      </c>
      <c r="D108" s="68" t="s">
        <v>374</v>
      </c>
      <c r="E108" s="69">
        <v>5304</v>
      </c>
      <c r="F108" s="389"/>
      <c r="G108" s="71">
        <v>6000</v>
      </c>
      <c r="H108" s="389"/>
      <c r="I108" s="69">
        <v>6600</v>
      </c>
      <c r="J108" s="389"/>
      <c r="K108" s="70">
        <v>5671</v>
      </c>
      <c r="L108" s="390"/>
      <c r="M108" s="70">
        <v>4750</v>
      </c>
      <c r="N108" s="390"/>
      <c r="O108" s="67">
        <v>5250</v>
      </c>
      <c r="P108" s="390"/>
      <c r="Q108" s="71">
        <v>5750</v>
      </c>
      <c r="R108" s="389"/>
      <c r="S108" s="67"/>
      <c r="T108" s="389"/>
      <c r="U108" s="67"/>
      <c r="V108" s="389"/>
      <c r="W108" s="67"/>
      <c r="X108" s="389"/>
      <c r="Y108" s="67"/>
      <c r="Z108" s="389"/>
      <c r="AA108" s="67"/>
      <c r="AB108" s="389"/>
      <c r="AC108" s="71">
        <f t="shared" si="2"/>
        <v>39325</v>
      </c>
      <c r="AD108" s="389">
        <f t="shared" si="2"/>
        <v>0</v>
      </c>
    </row>
    <row r="109" spans="1:30" ht="16" x14ac:dyDescent="0.2">
      <c r="A109" s="388">
        <v>53</v>
      </c>
      <c r="B109" s="230" t="s">
        <v>86</v>
      </c>
      <c r="C109" s="67" t="s">
        <v>98</v>
      </c>
      <c r="D109" s="68" t="s">
        <v>373</v>
      </c>
      <c r="E109" s="69">
        <v>2550</v>
      </c>
      <c r="F109" s="389">
        <v>0</v>
      </c>
      <c r="G109" s="71">
        <v>3000</v>
      </c>
      <c r="H109" s="389">
        <v>0</v>
      </c>
      <c r="I109" s="69">
        <v>3300</v>
      </c>
      <c r="J109" s="389">
        <v>481924.5</v>
      </c>
      <c r="K109" s="70">
        <v>2850</v>
      </c>
      <c r="L109" s="387">
        <v>281622</v>
      </c>
      <c r="M109" s="70">
        <v>3000</v>
      </c>
      <c r="N109" s="387">
        <v>243219</v>
      </c>
      <c r="O109" s="67">
        <v>2875</v>
      </c>
      <c r="P109" s="387">
        <v>253865.25</v>
      </c>
      <c r="Q109" s="71">
        <v>2875</v>
      </c>
      <c r="R109" s="389">
        <v>251430</v>
      </c>
      <c r="S109" s="67"/>
      <c r="T109" s="389"/>
      <c r="U109" s="67"/>
      <c r="V109" s="389"/>
      <c r="W109" s="67"/>
      <c r="X109" s="389"/>
      <c r="Y109" s="67"/>
      <c r="Z109" s="389"/>
      <c r="AA109" s="67"/>
      <c r="AB109" s="389"/>
      <c r="AC109" s="71">
        <f t="shared" si="2"/>
        <v>20450</v>
      </c>
      <c r="AD109" s="389">
        <f t="shared" si="2"/>
        <v>1512060.75</v>
      </c>
    </row>
    <row r="110" spans="1:30" ht="16" x14ac:dyDescent="0.2">
      <c r="A110" s="388"/>
      <c r="B110" s="231" t="s">
        <v>86</v>
      </c>
      <c r="C110" s="67" t="s">
        <v>98</v>
      </c>
      <c r="D110" s="68" t="s">
        <v>374</v>
      </c>
      <c r="E110" s="69">
        <v>4500</v>
      </c>
      <c r="F110" s="389"/>
      <c r="G110" s="71">
        <v>5000</v>
      </c>
      <c r="H110" s="389"/>
      <c r="I110" s="69">
        <v>5500</v>
      </c>
      <c r="J110" s="389"/>
      <c r="K110" s="70">
        <v>4750</v>
      </c>
      <c r="L110" s="390"/>
      <c r="M110" s="70">
        <v>4935</v>
      </c>
      <c r="N110" s="390"/>
      <c r="O110" s="67">
        <v>4975</v>
      </c>
      <c r="P110" s="390"/>
      <c r="Q110" s="71">
        <v>5175</v>
      </c>
      <c r="R110" s="389"/>
      <c r="S110" s="67"/>
      <c r="T110" s="389"/>
      <c r="U110" s="67"/>
      <c r="V110" s="389"/>
      <c r="W110" s="67"/>
      <c r="X110" s="389"/>
      <c r="Y110" s="67"/>
      <c r="Z110" s="389"/>
      <c r="AA110" s="67"/>
      <c r="AB110" s="389"/>
      <c r="AC110" s="71">
        <f t="shared" si="2"/>
        <v>34835</v>
      </c>
      <c r="AD110" s="389">
        <f t="shared" si="2"/>
        <v>0</v>
      </c>
    </row>
    <row r="111" spans="1:30" ht="16" x14ac:dyDescent="0.2">
      <c r="A111" s="388">
        <v>54</v>
      </c>
      <c r="B111" s="230" t="s">
        <v>86</v>
      </c>
      <c r="C111" s="67" t="s">
        <v>99</v>
      </c>
      <c r="D111" s="68" t="s">
        <v>373</v>
      </c>
      <c r="E111" s="69">
        <v>1700</v>
      </c>
      <c r="F111" s="389">
        <v>0</v>
      </c>
      <c r="G111" s="71">
        <v>2000</v>
      </c>
      <c r="H111" s="389">
        <v>0</v>
      </c>
      <c r="I111" s="69">
        <v>2200</v>
      </c>
      <c r="J111" s="389">
        <v>409683</v>
      </c>
      <c r="K111" s="70">
        <v>1900</v>
      </c>
      <c r="L111" s="387">
        <v>212058</v>
      </c>
      <c r="M111" s="70">
        <v>1900</v>
      </c>
      <c r="N111" s="387">
        <v>183141</v>
      </c>
      <c r="O111" s="67">
        <v>2100</v>
      </c>
      <c r="P111" s="387">
        <v>189771</v>
      </c>
      <c r="Q111" s="71">
        <v>2287</v>
      </c>
      <c r="R111" s="389">
        <v>202419</v>
      </c>
      <c r="S111" s="67"/>
      <c r="T111" s="389"/>
      <c r="U111" s="67"/>
      <c r="V111" s="389"/>
      <c r="W111" s="67"/>
      <c r="X111" s="389"/>
      <c r="Y111" s="67"/>
      <c r="Z111" s="389"/>
      <c r="AA111" s="67"/>
      <c r="AB111" s="389"/>
      <c r="AC111" s="71">
        <f t="shared" si="2"/>
        <v>14087</v>
      </c>
      <c r="AD111" s="389">
        <f t="shared" si="2"/>
        <v>1197072</v>
      </c>
    </row>
    <row r="112" spans="1:30" ht="16" x14ac:dyDescent="0.2">
      <c r="A112" s="388"/>
      <c r="B112" s="231" t="s">
        <v>86</v>
      </c>
      <c r="C112" s="67" t="s">
        <v>99</v>
      </c>
      <c r="D112" s="68" t="s">
        <v>374</v>
      </c>
      <c r="E112" s="69">
        <v>4500</v>
      </c>
      <c r="F112" s="389"/>
      <c r="G112" s="71">
        <v>4500</v>
      </c>
      <c r="H112" s="389"/>
      <c r="I112" s="69">
        <v>4400</v>
      </c>
      <c r="J112" s="389"/>
      <c r="K112" s="70">
        <v>3800</v>
      </c>
      <c r="L112" s="390"/>
      <c r="M112" s="70">
        <v>4000</v>
      </c>
      <c r="N112" s="390"/>
      <c r="O112" s="67">
        <v>4200</v>
      </c>
      <c r="P112" s="390"/>
      <c r="Q112" s="71">
        <v>4600</v>
      </c>
      <c r="R112" s="389"/>
      <c r="S112" s="67"/>
      <c r="T112" s="389"/>
      <c r="U112" s="67"/>
      <c r="V112" s="389"/>
      <c r="W112" s="67"/>
      <c r="X112" s="389"/>
      <c r="Y112" s="67"/>
      <c r="Z112" s="389"/>
      <c r="AA112" s="67"/>
      <c r="AB112" s="389"/>
      <c r="AC112" s="71">
        <f t="shared" si="2"/>
        <v>30000</v>
      </c>
      <c r="AD112" s="389">
        <f t="shared" si="2"/>
        <v>0</v>
      </c>
    </row>
    <row r="113" spans="1:30" ht="16" x14ac:dyDescent="0.2">
      <c r="A113" s="393">
        <v>55</v>
      </c>
      <c r="B113" s="232" t="s">
        <v>100</v>
      </c>
      <c r="C113" s="73" t="s">
        <v>647</v>
      </c>
      <c r="D113" s="74" t="s">
        <v>373</v>
      </c>
      <c r="E113" s="75">
        <v>0</v>
      </c>
      <c r="F113" s="394">
        <v>0</v>
      </c>
      <c r="G113" s="233">
        <v>0</v>
      </c>
      <c r="H113" s="394">
        <v>0</v>
      </c>
      <c r="I113" s="233">
        <v>0</v>
      </c>
      <c r="J113" s="394">
        <v>0</v>
      </c>
      <c r="K113" s="233">
        <v>0</v>
      </c>
      <c r="L113" s="394">
        <v>0</v>
      </c>
      <c r="M113" s="233">
        <v>0</v>
      </c>
      <c r="N113" s="394">
        <v>0</v>
      </c>
      <c r="O113" s="73">
        <v>0</v>
      </c>
      <c r="P113" s="394">
        <v>0</v>
      </c>
      <c r="Q113" s="76">
        <v>600</v>
      </c>
      <c r="R113" s="396">
        <v>0</v>
      </c>
      <c r="S113" s="73"/>
      <c r="T113" s="396"/>
      <c r="U113" s="73"/>
      <c r="V113" s="396"/>
      <c r="W113" s="73"/>
      <c r="X113" s="396"/>
      <c r="Y113" s="73"/>
      <c r="Z113" s="396"/>
      <c r="AA113" s="73"/>
      <c r="AB113" s="396"/>
      <c r="AC113" s="76">
        <f t="shared" si="2"/>
        <v>600</v>
      </c>
      <c r="AD113" s="396">
        <f t="shared" si="2"/>
        <v>0</v>
      </c>
    </row>
    <row r="114" spans="1:30" ht="16" x14ac:dyDescent="0.2">
      <c r="A114" s="393"/>
      <c r="B114" s="234" t="s">
        <v>100</v>
      </c>
      <c r="C114" s="73" t="s">
        <v>647</v>
      </c>
      <c r="D114" s="74" t="s">
        <v>374</v>
      </c>
      <c r="E114" s="75">
        <v>0</v>
      </c>
      <c r="F114" s="395"/>
      <c r="G114" s="233">
        <v>0</v>
      </c>
      <c r="H114" s="395"/>
      <c r="I114" s="233">
        <v>0</v>
      </c>
      <c r="J114" s="395"/>
      <c r="K114" s="233">
        <v>0</v>
      </c>
      <c r="L114" s="395"/>
      <c r="M114" s="233">
        <v>0</v>
      </c>
      <c r="N114" s="395"/>
      <c r="O114" s="73">
        <v>0</v>
      </c>
      <c r="P114" s="395"/>
      <c r="Q114" s="76">
        <v>900</v>
      </c>
      <c r="R114" s="396"/>
      <c r="S114" s="73"/>
      <c r="T114" s="396"/>
      <c r="U114" s="73"/>
      <c r="V114" s="396"/>
      <c r="W114" s="73"/>
      <c r="X114" s="396"/>
      <c r="Y114" s="73"/>
      <c r="Z114" s="396"/>
      <c r="AA114" s="73"/>
      <c r="AB114" s="396"/>
      <c r="AC114" s="76">
        <f t="shared" si="2"/>
        <v>900</v>
      </c>
      <c r="AD114" s="396">
        <f t="shared" si="2"/>
        <v>0</v>
      </c>
    </row>
    <row r="115" spans="1:30" ht="16" x14ac:dyDescent="0.2">
      <c r="A115" s="388">
        <v>56</v>
      </c>
      <c r="B115" s="230" t="s">
        <v>100</v>
      </c>
      <c r="C115" s="67" t="s">
        <v>387</v>
      </c>
      <c r="D115" s="68" t="s">
        <v>373</v>
      </c>
      <c r="E115" s="69">
        <v>3420</v>
      </c>
      <c r="F115" s="389">
        <v>0</v>
      </c>
      <c r="G115" s="71">
        <v>3725</v>
      </c>
      <c r="H115" s="389">
        <f>75344.85+82357.5+75589.5</f>
        <v>233291.85</v>
      </c>
      <c r="I115" s="69">
        <v>3850</v>
      </c>
      <c r="J115" s="389">
        <v>145519.94999999998</v>
      </c>
      <c r="K115" s="70">
        <v>3500</v>
      </c>
      <c r="L115" s="387">
        <v>407380.00000000012</v>
      </c>
      <c r="M115" s="70">
        <v>3500</v>
      </c>
      <c r="N115" s="387">
        <v>314822.5</v>
      </c>
      <c r="O115" s="67">
        <v>3675</v>
      </c>
      <c r="P115" s="387">
        <v>314987.5</v>
      </c>
      <c r="Q115" s="71">
        <v>4025</v>
      </c>
      <c r="R115" s="389">
        <v>319042.49999999977</v>
      </c>
      <c r="S115" s="67"/>
      <c r="T115" s="387"/>
      <c r="U115" s="67"/>
      <c r="V115" s="389"/>
      <c r="W115" s="67"/>
      <c r="X115" s="389"/>
      <c r="Y115" s="67"/>
      <c r="Z115" s="389"/>
      <c r="AA115" s="67"/>
      <c r="AB115" s="389"/>
      <c r="AC115" s="71">
        <f t="shared" si="2"/>
        <v>25695</v>
      </c>
      <c r="AD115" s="389">
        <f t="shared" si="2"/>
        <v>1735044.3</v>
      </c>
    </row>
    <row r="116" spans="1:30" ht="16" x14ac:dyDescent="0.2">
      <c r="A116" s="388"/>
      <c r="B116" s="231" t="s">
        <v>100</v>
      </c>
      <c r="C116" s="67" t="s">
        <v>387</v>
      </c>
      <c r="D116" s="68" t="s">
        <v>374</v>
      </c>
      <c r="E116" s="69">
        <v>6770</v>
      </c>
      <c r="F116" s="389"/>
      <c r="G116" s="71">
        <v>5615</v>
      </c>
      <c r="H116" s="389"/>
      <c r="I116" s="69">
        <v>8800</v>
      </c>
      <c r="J116" s="389"/>
      <c r="K116" s="70">
        <v>8139</v>
      </c>
      <c r="L116" s="390"/>
      <c r="M116" s="70">
        <v>8160</v>
      </c>
      <c r="N116" s="390"/>
      <c r="O116" s="67">
        <v>8127</v>
      </c>
      <c r="P116" s="390"/>
      <c r="Q116" s="71">
        <v>9496</v>
      </c>
      <c r="R116" s="389"/>
      <c r="S116" s="67"/>
      <c r="T116" s="390"/>
      <c r="U116" s="67"/>
      <c r="V116" s="389"/>
      <c r="W116" s="67"/>
      <c r="X116" s="389"/>
      <c r="Y116" s="67"/>
      <c r="Z116" s="389"/>
      <c r="AA116" s="67"/>
      <c r="AB116" s="389"/>
      <c r="AC116" s="71">
        <f t="shared" si="2"/>
        <v>55107</v>
      </c>
      <c r="AD116" s="389">
        <f t="shared" si="2"/>
        <v>0</v>
      </c>
    </row>
    <row r="117" spans="1:30" ht="16" x14ac:dyDescent="0.2">
      <c r="A117" s="388">
        <v>57</v>
      </c>
      <c r="B117" s="230" t="s">
        <v>100</v>
      </c>
      <c r="C117" s="67" t="s">
        <v>388</v>
      </c>
      <c r="D117" s="68" t="s">
        <v>373</v>
      </c>
      <c r="E117" s="69">
        <v>255</v>
      </c>
      <c r="F117" s="389">
        <v>0</v>
      </c>
      <c r="G117" s="71">
        <v>300</v>
      </c>
      <c r="H117" s="389">
        <v>14188.5</v>
      </c>
      <c r="I117" s="69">
        <v>330</v>
      </c>
      <c r="J117" s="389">
        <v>9418.5</v>
      </c>
      <c r="K117" s="70">
        <v>285</v>
      </c>
      <c r="L117" s="387">
        <v>25380</v>
      </c>
      <c r="M117" s="70">
        <v>300</v>
      </c>
      <c r="N117" s="387">
        <v>17860</v>
      </c>
      <c r="O117" s="67">
        <v>300</v>
      </c>
      <c r="P117" s="387">
        <v>18800</v>
      </c>
      <c r="Q117" s="71">
        <v>345</v>
      </c>
      <c r="R117" s="389">
        <v>18800</v>
      </c>
      <c r="S117" s="67"/>
      <c r="T117" s="389"/>
      <c r="U117" s="67"/>
      <c r="V117" s="389"/>
      <c r="W117" s="67"/>
      <c r="X117" s="389"/>
      <c r="Y117" s="67"/>
      <c r="Z117" s="389"/>
      <c r="AA117" s="67"/>
      <c r="AB117" s="389"/>
      <c r="AC117" s="71">
        <f t="shared" si="2"/>
        <v>2115</v>
      </c>
      <c r="AD117" s="389">
        <f t="shared" si="2"/>
        <v>104447</v>
      </c>
    </row>
    <row r="118" spans="1:30" ht="16" x14ac:dyDescent="0.2">
      <c r="A118" s="388"/>
      <c r="B118" s="231" t="s">
        <v>100</v>
      </c>
      <c r="C118" s="67" t="s">
        <v>388</v>
      </c>
      <c r="D118" s="68" t="s">
        <v>374</v>
      </c>
      <c r="E118" s="69">
        <v>360</v>
      </c>
      <c r="F118" s="389"/>
      <c r="G118" s="71">
        <v>400</v>
      </c>
      <c r="H118" s="389"/>
      <c r="I118" s="69">
        <v>440</v>
      </c>
      <c r="J118" s="389"/>
      <c r="K118" s="70">
        <v>380</v>
      </c>
      <c r="L118" s="390"/>
      <c r="M118" s="70">
        <v>400</v>
      </c>
      <c r="N118" s="390"/>
      <c r="O118" s="67">
        <v>400</v>
      </c>
      <c r="P118" s="390"/>
      <c r="Q118" s="71">
        <v>460</v>
      </c>
      <c r="R118" s="389"/>
      <c r="S118" s="67"/>
      <c r="T118" s="389"/>
      <c r="U118" s="67"/>
      <c r="V118" s="389"/>
      <c r="W118" s="67"/>
      <c r="X118" s="389"/>
      <c r="Y118" s="67"/>
      <c r="Z118" s="389"/>
      <c r="AA118" s="67"/>
      <c r="AB118" s="389"/>
      <c r="AC118" s="71">
        <f t="shared" si="2"/>
        <v>2840</v>
      </c>
      <c r="AD118" s="389">
        <f t="shared" si="2"/>
        <v>0</v>
      </c>
    </row>
    <row r="119" spans="1:30" ht="16" x14ac:dyDescent="0.2">
      <c r="A119" s="388">
        <v>58</v>
      </c>
      <c r="B119" s="230" t="s">
        <v>100</v>
      </c>
      <c r="C119" s="67" t="s">
        <v>389</v>
      </c>
      <c r="D119" s="68" t="s">
        <v>373</v>
      </c>
      <c r="E119" s="69">
        <v>510</v>
      </c>
      <c r="F119" s="389">
        <v>0</v>
      </c>
      <c r="G119" s="71">
        <v>600</v>
      </c>
      <c r="H119" s="389">
        <v>24147</v>
      </c>
      <c r="I119" s="69">
        <v>660</v>
      </c>
      <c r="J119" s="389">
        <v>16087.5</v>
      </c>
      <c r="K119" s="70">
        <v>570</v>
      </c>
      <c r="L119" s="387">
        <v>43335</v>
      </c>
      <c r="M119" s="70">
        <v>600</v>
      </c>
      <c r="N119" s="387">
        <v>30495</v>
      </c>
      <c r="O119" s="67">
        <v>600</v>
      </c>
      <c r="P119" s="387">
        <v>32100</v>
      </c>
      <c r="Q119" s="71">
        <v>690</v>
      </c>
      <c r="R119" s="389">
        <v>32100</v>
      </c>
      <c r="S119" s="67"/>
      <c r="T119" s="389"/>
      <c r="U119" s="67"/>
      <c r="V119" s="389"/>
      <c r="W119" s="67"/>
      <c r="X119" s="389"/>
      <c r="Y119" s="67"/>
      <c r="Z119" s="389"/>
      <c r="AA119" s="67"/>
      <c r="AB119" s="389"/>
      <c r="AC119" s="71">
        <f t="shared" si="2"/>
        <v>4230</v>
      </c>
      <c r="AD119" s="389">
        <f t="shared" si="2"/>
        <v>178264.5</v>
      </c>
    </row>
    <row r="120" spans="1:30" ht="16" x14ac:dyDescent="0.2">
      <c r="A120" s="388"/>
      <c r="B120" s="231" t="s">
        <v>100</v>
      </c>
      <c r="C120" s="67" t="s">
        <v>389</v>
      </c>
      <c r="D120" s="68" t="s">
        <v>374</v>
      </c>
      <c r="E120" s="69">
        <v>540</v>
      </c>
      <c r="F120" s="389"/>
      <c r="G120" s="71">
        <v>600</v>
      </c>
      <c r="H120" s="389"/>
      <c r="I120" s="69">
        <v>660</v>
      </c>
      <c r="J120" s="389"/>
      <c r="K120" s="70">
        <v>570</v>
      </c>
      <c r="L120" s="390"/>
      <c r="M120" s="70">
        <v>600</v>
      </c>
      <c r="N120" s="390"/>
      <c r="O120" s="67">
        <v>600</v>
      </c>
      <c r="P120" s="390"/>
      <c r="Q120" s="71">
        <v>690</v>
      </c>
      <c r="R120" s="389"/>
      <c r="S120" s="67"/>
      <c r="T120" s="389"/>
      <c r="U120" s="67"/>
      <c r="V120" s="389"/>
      <c r="W120" s="67"/>
      <c r="X120" s="389"/>
      <c r="Y120" s="67"/>
      <c r="Z120" s="389"/>
      <c r="AA120" s="67"/>
      <c r="AB120" s="389"/>
      <c r="AC120" s="71">
        <f t="shared" si="2"/>
        <v>4260</v>
      </c>
      <c r="AD120" s="389">
        <f t="shared" si="2"/>
        <v>0</v>
      </c>
    </row>
    <row r="121" spans="1:30" ht="16" x14ac:dyDescent="0.2">
      <c r="A121" s="388">
        <v>59</v>
      </c>
      <c r="B121" s="230" t="s">
        <v>100</v>
      </c>
      <c r="C121" s="67" t="s">
        <v>390</v>
      </c>
      <c r="D121" s="68" t="s">
        <v>373</v>
      </c>
      <c r="E121" s="69">
        <v>2000</v>
      </c>
      <c r="F121" s="389">
        <v>0</v>
      </c>
      <c r="G121" s="71">
        <v>2500</v>
      </c>
      <c r="H121" s="389">
        <v>78397.5</v>
      </c>
      <c r="I121" s="69">
        <v>2750</v>
      </c>
      <c r="J121" s="389">
        <v>141592.5</v>
      </c>
      <c r="K121" s="70">
        <v>3600</v>
      </c>
      <c r="L121" s="387">
        <v>236250</v>
      </c>
      <c r="M121" s="70">
        <v>2500</v>
      </c>
      <c r="N121" s="387">
        <v>242100</v>
      </c>
      <c r="O121" s="67">
        <v>2625</v>
      </c>
      <c r="P121" s="387">
        <v>175000</v>
      </c>
      <c r="Q121" s="71">
        <v>2875</v>
      </c>
      <c r="R121" s="389">
        <v>183750</v>
      </c>
      <c r="S121" s="67"/>
      <c r="T121" s="389"/>
      <c r="U121" s="67"/>
      <c r="V121" s="389"/>
      <c r="W121" s="67"/>
      <c r="X121" s="389"/>
      <c r="Y121" s="67"/>
      <c r="Z121" s="389"/>
      <c r="AA121" s="67"/>
      <c r="AB121" s="389"/>
      <c r="AC121" s="71">
        <f t="shared" si="2"/>
        <v>18850</v>
      </c>
      <c r="AD121" s="389">
        <f t="shared" si="2"/>
        <v>1057090</v>
      </c>
    </row>
    <row r="122" spans="1:30" ht="16" x14ac:dyDescent="0.2">
      <c r="A122" s="388"/>
      <c r="B122" s="231" t="s">
        <v>100</v>
      </c>
      <c r="C122" s="67" t="s">
        <v>390</v>
      </c>
      <c r="D122" s="68" t="s">
        <v>374</v>
      </c>
      <c r="E122" s="69">
        <v>3400</v>
      </c>
      <c r="F122" s="389"/>
      <c r="G122" s="71">
        <v>4000</v>
      </c>
      <c r="H122" s="389"/>
      <c r="I122" s="69">
        <v>4400</v>
      </c>
      <c r="J122" s="389"/>
      <c r="K122" s="70">
        <v>5400</v>
      </c>
      <c r="L122" s="390"/>
      <c r="M122" s="70">
        <v>4000</v>
      </c>
      <c r="N122" s="390"/>
      <c r="O122" s="67">
        <v>4200</v>
      </c>
      <c r="P122" s="390"/>
      <c r="Q122" s="71">
        <v>4600</v>
      </c>
      <c r="R122" s="389"/>
      <c r="S122" s="67"/>
      <c r="T122" s="389"/>
      <c r="U122" s="67"/>
      <c r="V122" s="389"/>
      <c r="W122" s="67"/>
      <c r="X122" s="389"/>
      <c r="Y122" s="67"/>
      <c r="Z122" s="389"/>
      <c r="AA122" s="67"/>
      <c r="AB122" s="389"/>
      <c r="AC122" s="71">
        <f t="shared" si="2"/>
        <v>30000</v>
      </c>
      <c r="AD122" s="389">
        <f t="shared" si="2"/>
        <v>0</v>
      </c>
    </row>
    <row r="123" spans="1:30" ht="16" x14ac:dyDescent="0.2">
      <c r="A123" s="388">
        <v>60</v>
      </c>
      <c r="B123" s="230" t="s">
        <v>100</v>
      </c>
      <c r="C123" s="67" t="s">
        <v>105</v>
      </c>
      <c r="D123" s="68" t="s">
        <v>373</v>
      </c>
      <c r="E123" s="69">
        <v>0</v>
      </c>
      <c r="F123" s="389">
        <v>0</v>
      </c>
      <c r="G123" s="69">
        <v>0</v>
      </c>
      <c r="H123" s="389">
        <v>0</v>
      </c>
      <c r="I123" s="69">
        <v>0</v>
      </c>
      <c r="J123" s="389">
        <v>0</v>
      </c>
      <c r="K123" s="69">
        <v>0</v>
      </c>
      <c r="L123" s="389">
        <v>0</v>
      </c>
      <c r="M123" s="69">
        <v>0</v>
      </c>
      <c r="N123" s="389">
        <v>0</v>
      </c>
      <c r="O123" s="67">
        <v>750</v>
      </c>
      <c r="P123" s="387">
        <v>0</v>
      </c>
      <c r="Q123" s="71">
        <v>4200</v>
      </c>
      <c r="R123" s="389">
        <v>0</v>
      </c>
      <c r="S123" s="67"/>
      <c r="T123" s="387"/>
      <c r="U123" s="67"/>
      <c r="V123" s="389"/>
      <c r="W123" s="67"/>
      <c r="X123" s="389"/>
      <c r="Y123" s="67"/>
      <c r="Z123" s="389"/>
      <c r="AA123" s="67"/>
      <c r="AB123" s="389"/>
      <c r="AC123" s="71">
        <f t="shared" si="2"/>
        <v>4950</v>
      </c>
      <c r="AD123" s="389">
        <f t="shared" si="2"/>
        <v>0</v>
      </c>
    </row>
    <row r="124" spans="1:30" ht="16" x14ac:dyDescent="0.2">
      <c r="A124" s="388"/>
      <c r="B124" s="231" t="s">
        <v>100</v>
      </c>
      <c r="C124" s="67" t="s">
        <v>105</v>
      </c>
      <c r="D124" s="68" t="s">
        <v>374</v>
      </c>
      <c r="E124" s="69">
        <v>0</v>
      </c>
      <c r="F124" s="389"/>
      <c r="G124" s="69">
        <v>0</v>
      </c>
      <c r="H124" s="389"/>
      <c r="I124" s="69">
        <v>0</v>
      </c>
      <c r="J124" s="389"/>
      <c r="K124" s="69">
        <v>0</v>
      </c>
      <c r="L124" s="389"/>
      <c r="M124" s="69">
        <v>0</v>
      </c>
      <c r="N124" s="389"/>
      <c r="O124" s="67">
        <v>1000</v>
      </c>
      <c r="P124" s="390"/>
      <c r="Q124" s="71">
        <v>5600</v>
      </c>
      <c r="R124" s="389"/>
      <c r="S124" s="67"/>
      <c r="T124" s="390"/>
      <c r="U124" s="67"/>
      <c r="V124" s="389"/>
      <c r="W124" s="67"/>
      <c r="X124" s="389"/>
      <c r="Y124" s="67"/>
      <c r="Z124" s="389"/>
      <c r="AA124" s="67"/>
      <c r="AB124" s="389"/>
      <c r="AC124" s="71">
        <f t="shared" si="2"/>
        <v>6600</v>
      </c>
      <c r="AD124" s="389">
        <f t="shared" si="2"/>
        <v>0</v>
      </c>
    </row>
    <row r="125" spans="1:30" ht="16" x14ac:dyDescent="0.2">
      <c r="A125" s="388">
        <v>61</v>
      </c>
      <c r="B125" s="230" t="s">
        <v>100</v>
      </c>
      <c r="C125" s="67" t="s">
        <v>391</v>
      </c>
      <c r="D125" s="68" t="s">
        <v>373</v>
      </c>
      <c r="E125" s="69">
        <v>3292</v>
      </c>
      <c r="F125" s="389">
        <v>0</v>
      </c>
      <c r="G125" s="71">
        <v>3917</v>
      </c>
      <c r="H125" s="389">
        <f>87246+81958.5</f>
        <v>169204.5</v>
      </c>
      <c r="I125" s="69">
        <v>5500</v>
      </c>
      <c r="J125" s="389">
        <v>136597.5</v>
      </c>
      <c r="K125" s="70">
        <v>4750</v>
      </c>
      <c r="L125" s="387">
        <v>435375</v>
      </c>
      <c r="M125" s="70">
        <v>5000</v>
      </c>
      <c r="N125" s="387">
        <v>306375</v>
      </c>
      <c r="O125" s="67">
        <v>5250</v>
      </c>
      <c r="P125" s="387">
        <v>322500</v>
      </c>
      <c r="Q125" s="71">
        <v>5750</v>
      </c>
      <c r="R125" s="389">
        <v>342750</v>
      </c>
      <c r="S125" s="67"/>
      <c r="T125" s="387"/>
      <c r="U125" s="67"/>
      <c r="V125" s="389"/>
      <c r="W125" s="67"/>
      <c r="X125" s="389"/>
      <c r="Y125" s="67"/>
      <c r="Z125" s="389"/>
      <c r="AA125" s="67"/>
      <c r="AB125" s="389"/>
      <c r="AC125" s="71">
        <f t="shared" si="2"/>
        <v>33459</v>
      </c>
      <c r="AD125" s="389">
        <f t="shared" si="2"/>
        <v>1712802</v>
      </c>
    </row>
    <row r="126" spans="1:30" ht="16" x14ac:dyDescent="0.2">
      <c r="A126" s="388"/>
      <c r="B126" s="231" t="s">
        <v>100</v>
      </c>
      <c r="C126" s="67" t="s">
        <v>391</v>
      </c>
      <c r="D126" s="68" t="s">
        <v>374</v>
      </c>
      <c r="E126" s="69">
        <v>4587</v>
      </c>
      <c r="F126" s="389"/>
      <c r="G126" s="71">
        <v>5302</v>
      </c>
      <c r="H126" s="389"/>
      <c r="I126" s="69">
        <v>7700</v>
      </c>
      <c r="J126" s="389"/>
      <c r="K126" s="70">
        <v>6650</v>
      </c>
      <c r="L126" s="390"/>
      <c r="M126" s="70">
        <v>7000</v>
      </c>
      <c r="N126" s="390"/>
      <c r="O126" s="67">
        <v>7500</v>
      </c>
      <c r="P126" s="390"/>
      <c r="Q126" s="71">
        <v>8625</v>
      </c>
      <c r="R126" s="389"/>
      <c r="S126" s="67"/>
      <c r="T126" s="390"/>
      <c r="U126" s="67"/>
      <c r="V126" s="389"/>
      <c r="W126" s="67"/>
      <c r="X126" s="389"/>
      <c r="Y126" s="67"/>
      <c r="Z126" s="389"/>
      <c r="AA126" s="67"/>
      <c r="AB126" s="389"/>
      <c r="AC126" s="71">
        <f t="shared" si="2"/>
        <v>47364</v>
      </c>
      <c r="AD126" s="389">
        <f t="shared" si="2"/>
        <v>0</v>
      </c>
    </row>
    <row r="127" spans="1:30" ht="16" x14ac:dyDescent="0.2">
      <c r="A127" s="388">
        <v>62</v>
      </c>
      <c r="B127" s="230" t="s">
        <v>100</v>
      </c>
      <c r="C127" s="67" t="s">
        <v>392</v>
      </c>
      <c r="D127" s="68" t="s">
        <v>373</v>
      </c>
      <c r="E127" s="69">
        <v>1620</v>
      </c>
      <c r="F127" s="389">
        <v>0</v>
      </c>
      <c r="G127" s="69">
        <v>1800</v>
      </c>
      <c r="H127" s="389">
        <v>80595</v>
      </c>
      <c r="I127" s="69">
        <v>1980</v>
      </c>
      <c r="J127" s="389">
        <v>51012</v>
      </c>
      <c r="K127" s="69">
        <v>1710</v>
      </c>
      <c r="L127" s="387">
        <v>137430</v>
      </c>
      <c r="M127" s="70">
        <v>1800</v>
      </c>
      <c r="N127" s="387">
        <v>93960</v>
      </c>
      <c r="O127" s="67">
        <v>1890</v>
      </c>
      <c r="P127" s="387">
        <v>101800</v>
      </c>
      <c r="Q127" s="71">
        <v>2070</v>
      </c>
      <c r="R127" s="389">
        <v>106890</v>
      </c>
      <c r="S127" s="67"/>
      <c r="T127" s="389"/>
      <c r="U127" s="67"/>
      <c r="V127" s="389"/>
      <c r="W127" s="67"/>
      <c r="X127" s="389"/>
      <c r="Y127" s="67"/>
      <c r="Z127" s="389"/>
      <c r="AA127" s="67"/>
      <c r="AB127" s="389"/>
      <c r="AC127" s="71">
        <f t="shared" si="2"/>
        <v>12870</v>
      </c>
      <c r="AD127" s="389">
        <f t="shared" si="2"/>
        <v>571687</v>
      </c>
    </row>
    <row r="128" spans="1:30" ht="16" x14ac:dyDescent="0.2">
      <c r="A128" s="388"/>
      <c r="B128" s="231" t="s">
        <v>100</v>
      </c>
      <c r="C128" s="67" t="s">
        <v>392</v>
      </c>
      <c r="D128" s="68" t="s">
        <v>374</v>
      </c>
      <c r="E128" s="69">
        <v>1900</v>
      </c>
      <c r="F128" s="389"/>
      <c r="G128" s="69">
        <v>2000</v>
      </c>
      <c r="H128" s="389"/>
      <c r="I128" s="69">
        <v>2200</v>
      </c>
      <c r="J128" s="389"/>
      <c r="K128" s="69">
        <v>1800</v>
      </c>
      <c r="L128" s="390"/>
      <c r="M128" s="70">
        <v>2000</v>
      </c>
      <c r="N128" s="390"/>
      <c r="O128" s="67">
        <v>2100</v>
      </c>
      <c r="P128" s="390"/>
      <c r="Q128" s="71">
        <v>2300</v>
      </c>
      <c r="R128" s="389"/>
      <c r="S128" s="67"/>
      <c r="T128" s="389"/>
      <c r="U128" s="67"/>
      <c r="V128" s="389"/>
      <c r="W128" s="67"/>
      <c r="X128" s="389"/>
      <c r="Y128" s="67"/>
      <c r="Z128" s="389"/>
      <c r="AA128" s="67"/>
      <c r="AB128" s="389"/>
      <c r="AC128" s="71">
        <f t="shared" si="2"/>
        <v>14300</v>
      </c>
      <c r="AD128" s="389">
        <f t="shared" si="2"/>
        <v>0</v>
      </c>
    </row>
    <row r="129" spans="1:30" ht="16" x14ac:dyDescent="0.2">
      <c r="A129" s="388">
        <v>63</v>
      </c>
      <c r="B129" s="230" t="s">
        <v>100</v>
      </c>
      <c r="C129" s="67" t="s">
        <v>106</v>
      </c>
      <c r="D129" s="68" t="s">
        <v>373</v>
      </c>
      <c r="E129" s="69">
        <v>1800</v>
      </c>
      <c r="F129" s="389">
        <v>0</v>
      </c>
      <c r="G129" s="71">
        <v>2000</v>
      </c>
      <c r="H129" s="389">
        <v>86092.5</v>
      </c>
      <c r="I129" s="69">
        <v>2200</v>
      </c>
      <c r="J129" s="389">
        <v>82920</v>
      </c>
      <c r="K129" s="70">
        <v>1900</v>
      </c>
      <c r="L129" s="387">
        <v>186757.5</v>
      </c>
      <c r="M129" s="70">
        <v>1900</v>
      </c>
      <c r="N129" s="387">
        <v>127775</v>
      </c>
      <c r="O129" s="67">
        <v>2100</v>
      </c>
      <c r="P129" s="387">
        <v>127775</v>
      </c>
      <c r="Q129" s="71">
        <v>2300</v>
      </c>
      <c r="R129" s="389">
        <v>141225</v>
      </c>
      <c r="S129" s="67"/>
      <c r="T129" s="387"/>
      <c r="U129" s="67"/>
      <c r="V129" s="389"/>
      <c r="W129" s="67"/>
      <c r="X129" s="389"/>
      <c r="Y129" s="67"/>
      <c r="Z129" s="389"/>
      <c r="AA129" s="67"/>
      <c r="AB129" s="389"/>
      <c r="AC129" s="71">
        <f t="shared" si="2"/>
        <v>14200</v>
      </c>
      <c r="AD129" s="389">
        <f t="shared" si="2"/>
        <v>752545</v>
      </c>
    </row>
    <row r="130" spans="1:30" ht="16" x14ac:dyDescent="0.2">
      <c r="A130" s="388"/>
      <c r="B130" s="231" t="s">
        <v>100</v>
      </c>
      <c r="C130" s="67" t="s">
        <v>106</v>
      </c>
      <c r="D130" s="68" t="s">
        <v>374</v>
      </c>
      <c r="E130" s="69">
        <v>2850</v>
      </c>
      <c r="F130" s="389"/>
      <c r="G130" s="71">
        <v>3000</v>
      </c>
      <c r="H130" s="389"/>
      <c r="I130" s="69">
        <v>3300</v>
      </c>
      <c r="J130" s="389"/>
      <c r="K130" s="70">
        <v>2850</v>
      </c>
      <c r="L130" s="390"/>
      <c r="M130" s="70">
        <v>2850</v>
      </c>
      <c r="N130" s="390"/>
      <c r="O130" s="67">
        <v>3150</v>
      </c>
      <c r="P130" s="390"/>
      <c r="Q130" s="71">
        <v>3450</v>
      </c>
      <c r="R130" s="389"/>
      <c r="S130" s="67"/>
      <c r="T130" s="390"/>
      <c r="U130" s="67"/>
      <c r="V130" s="389"/>
      <c r="W130" s="67"/>
      <c r="X130" s="389"/>
      <c r="Y130" s="67"/>
      <c r="Z130" s="389"/>
      <c r="AA130" s="67"/>
      <c r="AB130" s="389"/>
      <c r="AC130" s="71">
        <f t="shared" si="2"/>
        <v>21450</v>
      </c>
      <c r="AD130" s="389">
        <f t="shared" si="2"/>
        <v>0</v>
      </c>
    </row>
    <row r="131" spans="1:30" ht="16" x14ac:dyDescent="0.2">
      <c r="A131" s="388">
        <v>64</v>
      </c>
      <c r="B131" s="230" t="s">
        <v>100</v>
      </c>
      <c r="C131" s="67" t="s">
        <v>109</v>
      </c>
      <c r="D131" s="68" t="s">
        <v>373</v>
      </c>
      <c r="E131" s="69">
        <v>3060</v>
      </c>
      <c r="F131" s="389">
        <v>0</v>
      </c>
      <c r="G131" s="71">
        <v>3425</v>
      </c>
      <c r="H131" s="389">
        <f>87858+82147.5</f>
        <v>170005.5</v>
      </c>
      <c r="I131" s="69">
        <v>3850</v>
      </c>
      <c r="J131" s="389">
        <v>136912.5</v>
      </c>
      <c r="K131" s="70">
        <v>3325</v>
      </c>
      <c r="L131" s="387">
        <v>419850</v>
      </c>
      <c r="M131" s="70">
        <v>3500</v>
      </c>
      <c r="N131" s="387">
        <v>295450</v>
      </c>
      <c r="O131" s="67">
        <v>3675</v>
      </c>
      <c r="P131" s="387">
        <v>311000</v>
      </c>
      <c r="Q131" s="71">
        <v>4025</v>
      </c>
      <c r="R131" s="389">
        <v>326550</v>
      </c>
      <c r="S131" s="67"/>
      <c r="T131" s="387"/>
      <c r="U131" s="67"/>
      <c r="V131" s="389"/>
      <c r="W131" s="67"/>
      <c r="X131" s="389"/>
      <c r="Y131" s="67"/>
      <c r="Z131" s="389"/>
      <c r="AA131" s="67"/>
      <c r="AB131" s="389"/>
      <c r="AC131" s="71">
        <f t="shared" si="2"/>
        <v>24860</v>
      </c>
      <c r="AD131" s="389">
        <f t="shared" si="2"/>
        <v>1659768</v>
      </c>
    </row>
    <row r="132" spans="1:30" ht="16" x14ac:dyDescent="0.2">
      <c r="A132" s="388"/>
      <c r="B132" s="231" t="s">
        <v>100</v>
      </c>
      <c r="C132" s="67" t="s">
        <v>109</v>
      </c>
      <c r="D132" s="68" t="s">
        <v>374</v>
      </c>
      <c r="E132" s="69">
        <v>5130</v>
      </c>
      <c r="F132" s="389"/>
      <c r="G132" s="71">
        <v>6050</v>
      </c>
      <c r="H132" s="389"/>
      <c r="I132" s="69">
        <v>8800</v>
      </c>
      <c r="J132" s="389"/>
      <c r="K132" s="70">
        <v>7600</v>
      </c>
      <c r="L132" s="390"/>
      <c r="M132" s="70">
        <v>8000</v>
      </c>
      <c r="N132" s="390"/>
      <c r="O132" s="67">
        <v>8400</v>
      </c>
      <c r="P132" s="390"/>
      <c r="Q132" s="71">
        <v>9200</v>
      </c>
      <c r="R132" s="389"/>
      <c r="S132" s="67"/>
      <c r="T132" s="390"/>
      <c r="U132" s="67"/>
      <c r="V132" s="389"/>
      <c r="W132" s="67"/>
      <c r="X132" s="389"/>
      <c r="Y132" s="67"/>
      <c r="Z132" s="389"/>
      <c r="AA132" s="67"/>
      <c r="AB132" s="389"/>
      <c r="AC132" s="71">
        <f t="shared" si="2"/>
        <v>53180</v>
      </c>
      <c r="AD132" s="389">
        <f t="shared" si="2"/>
        <v>0</v>
      </c>
    </row>
    <row r="133" spans="1:30" ht="16" x14ac:dyDescent="0.2">
      <c r="A133" s="388">
        <v>65</v>
      </c>
      <c r="B133" s="230" t="s">
        <v>100</v>
      </c>
      <c r="C133" s="67" t="s">
        <v>393</v>
      </c>
      <c r="D133" s="68" t="s">
        <v>373</v>
      </c>
      <c r="E133" s="69">
        <v>3060</v>
      </c>
      <c r="F133" s="389">
        <v>0</v>
      </c>
      <c r="G133" s="71">
        <v>4000</v>
      </c>
      <c r="H133" s="389">
        <f>87858+82147.5</f>
        <v>170005.5</v>
      </c>
      <c r="I133" s="69">
        <v>4400</v>
      </c>
      <c r="J133" s="389">
        <v>136912.5</v>
      </c>
      <c r="K133" s="70">
        <v>3800</v>
      </c>
      <c r="L133" s="387">
        <v>363150</v>
      </c>
      <c r="M133" s="70">
        <v>4000</v>
      </c>
      <c r="N133" s="387">
        <v>255550</v>
      </c>
      <c r="O133" s="67">
        <v>4200</v>
      </c>
      <c r="P133" s="387">
        <v>269000</v>
      </c>
      <c r="Q133" s="71">
        <v>4600</v>
      </c>
      <c r="R133" s="389">
        <v>282450</v>
      </c>
      <c r="S133" s="67"/>
      <c r="T133" s="387"/>
      <c r="U133" s="67"/>
      <c r="V133" s="389"/>
      <c r="W133" s="67"/>
      <c r="X133" s="389"/>
      <c r="Y133" s="67"/>
      <c r="Z133" s="389"/>
      <c r="AA133" s="67"/>
      <c r="AB133" s="389"/>
      <c r="AC133" s="71">
        <f t="shared" si="2"/>
        <v>28060</v>
      </c>
      <c r="AD133" s="389">
        <f t="shared" si="2"/>
        <v>1477068</v>
      </c>
    </row>
    <row r="134" spans="1:30" ht="16" x14ac:dyDescent="0.2">
      <c r="A134" s="388"/>
      <c r="B134" s="231" t="s">
        <v>100</v>
      </c>
      <c r="C134" s="67" t="s">
        <v>393</v>
      </c>
      <c r="D134" s="68" t="s">
        <v>374</v>
      </c>
      <c r="E134" s="69">
        <v>5130</v>
      </c>
      <c r="F134" s="389"/>
      <c r="G134" s="71">
        <v>5550</v>
      </c>
      <c r="H134" s="389"/>
      <c r="I134" s="69">
        <v>6600</v>
      </c>
      <c r="J134" s="389"/>
      <c r="K134" s="70">
        <v>5700</v>
      </c>
      <c r="L134" s="390"/>
      <c r="M134" s="70">
        <v>6000</v>
      </c>
      <c r="N134" s="390"/>
      <c r="O134" s="67">
        <v>6300</v>
      </c>
      <c r="P134" s="390"/>
      <c r="Q134" s="71">
        <v>6900</v>
      </c>
      <c r="R134" s="389"/>
      <c r="S134" s="67"/>
      <c r="T134" s="390"/>
      <c r="U134" s="67"/>
      <c r="V134" s="389"/>
      <c r="W134" s="67"/>
      <c r="X134" s="389"/>
      <c r="Y134" s="67"/>
      <c r="Z134" s="389"/>
      <c r="AA134" s="67"/>
      <c r="AB134" s="389"/>
      <c r="AC134" s="71">
        <f t="shared" si="2"/>
        <v>42180</v>
      </c>
      <c r="AD134" s="389">
        <f t="shared" si="2"/>
        <v>0</v>
      </c>
    </row>
    <row r="135" spans="1:30" ht="16" x14ac:dyDescent="0.2">
      <c r="A135" s="388">
        <v>66</v>
      </c>
      <c r="B135" s="230" t="s">
        <v>100</v>
      </c>
      <c r="C135" s="67" t="s">
        <v>116</v>
      </c>
      <c r="D135" s="68" t="s">
        <v>373</v>
      </c>
      <c r="E135" s="69">
        <v>0</v>
      </c>
      <c r="F135" s="389">
        <v>0</v>
      </c>
      <c r="G135" s="69">
        <v>0</v>
      </c>
      <c r="H135" s="389">
        <v>0</v>
      </c>
      <c r="I135" s="69">
        <v>0</v>
      </c>
      <c r="J135" s="389">
        <v>0</v>
      </c>
      <c r="K135" s="69">
        <v>0</v>
      </c>
      <c r="L135" s="389">
        <v>0</v>
      </c>
      <c r="M135" s="69">
        <v>0</v>
      </c>
      <c r="N135" s="389">
        <v>0</v>
      </c>
      <c r="O135" s="67">
        <v>750</v>
      </c>
      <c r="P135" s="387">
        <v>0</v>
      </c>
      <c r="Q135" s="71">
        <v>4200</v>
      </c>
      <c r="R135" s="389">
        <v>0</v>
      </c>
      <c r="S135" s="67"/>
      <c r="T135" s="387"/>
      <c r="U135" s="67"/>
      <c r="V135" s="389"/>
      <c r="W135" s="67"/>
      <c r="X135" s="389"/>
      <c r="Y135" s="67"/>
      <c r="Z135" s="389"/>
      <c r="AA135" s="67"/>
      <c r="AB135" s="389"/>
      <c r="AC135" s="71">
        <f t="shared" si="2"/>
        <v>4950</v>
      </c>
      <c r="AD135" s="389">
        <f t="shared" si="2"/>
        <v>0</v>
      </c>
    </row>
    <row r="136" spans="1:30" ht="16" x14ac:dyDescent="0.2">
      <c r="A136" s="388"/>
      <c r="B136" s="231" t="s">
        <v>100</v>
      </c>
      <c r="C136" s="67" t="s">
        <v>116</v>
      </c>
      <c r="D136" s="68" t="s">
        <v>374</v>
      </c>
      <c r="E136" s="69">
        <v>0</v>
      </c>
      <c r="F136" s="389"/>
      <c r="G136" s="69">
        <v>0</v>
      </c>
      <c r="H136" s="389"/>
      <c r="I136" s="69">
        <v>0</v>
      </c>
      <c r="J136" s="389"/>
      <c r="K136" s="69">
        <v>0</v>
      </c>
      <c r="L136" s="389"/>
      <c r="M136" s="69">
        <v>0</v>
      </c>
      <c r="N136" s="389"/>
      <c r="O136" s="67">
        <v>1000</v>
      </c>
      <c r="P136" s="390"/>
      <c r="Q136" s="71">
        <v>5593</v>
      </c>
      <c r="R136" s="389"/>
      <c r="S136" s="67"/>
      <c r="T136" s="390"/>
      <c r="U136" s="67"/>
      <c r="V136" s="389"/>
      <c r="W136" s="67"/>
      <c r="X136" s="389"/>
      <c r="Y136" s="67"/>
      <c r="Z136" s="389"/>
      <c r="AA136" s="67"/>
      <c r="AB136" s="389"/>
      <c r="AC136" s="71">
        <f t="shared" si="2"/>
        <v>6593</v>
      </c>
      <c r="AD136" s="389">
        <f t="shared" si="2"/>
        <v>0</v>
      </c>
    </row>
    <row r="137" spans="1:30" ht="16" x14ac:dyDescent="0.2">
      <c r="A137" s="388">
        <v>67</v>
      </c>
      <c r="B137" s="230" t="s">
        <v>117</v>
      </c>
      <c r="C137" s="67" t="s">
        <v>118</v>
      </c>
      <c r="D137" s="68" t="s">
        <v>373</v>
      </c>
      <c r="E137" s="69">
        <v>1800</v>
      </c>
      <c r="F137" s="389">
        <v>0</v>
      </c>
      <c r="G137" s="71">
        <v>2000</v>
      </c>
      <c r="H137" s="389">
        <v>0</v>
      </c>
      <c r="I137" s="69">
        <v>2200</v>
      </c>
      <c r="J137" s="389">
        <v>344536.5</v>
      </c>
      <c r="K137" s="70">
        <v>1900</v>
      </c>
      <c r="L137" s="387">
        <v>196251</v>
      </c>
      <c r="M137" s="70">
        <v>1989</v>
      </c>
      <c r="N137" s="387">
        <v>169489.5</v>
      </c>
      <c r="O137" s="67">
        <v>2000</v>
      </c>
      <c r="P137" s="387">
        <v>178040.06999999995</v>
      </c>
      <c r="Q137" s="71">
        <v>1725</v>
      </c>
      <c r="R137" s="389">
        <v>178410.00000000012</v>
      </c>
      <c r="S137" s="67"/>
      <c r="T137" s="389"/>
      <c r="U137" s="67"/>
      <c r="V137" s="389"/>
      <c r="W137" s="67"/>
      <c r="X137" s="389"/>
      <c r="Y137" s="67"/>
      <c r="Z137" s="389"/>
      <c r="AA137" s="67"/>
      <c r="AB137" s="389"/>
      <c r="AC137" s="71">
        <f t="shared" si="2"/>
        <v>13614</v>
      </c>
      <c r="AD137" s="389">
        <f t="shared" si="2"/>
        <v>1066727.07</v>
      </c>
    </row>
    <row r="138" spans="1:30" ht="16" x14ac:dyDescent="0.2">
      <c r="A138" s="388"/>
      <c r="B138" s="231" t="s">
        <v>117</v>
      </c>
      <c r="C138" s="67" t="s">
        <v>118</v>
      </c>
      <c r="D138" s="68" t="s">
        <v>374</v>
      </c>
      <c r="E138" s="69">
        <v>2850</v>
      </c>
      <c r="F138" s="389"/>
      <c r="G138" s="71">
        <v>3000</v>
      </c>
      <c r="H138" s="389"/>
      <c r="I138" s="69">
        <v>3300</v>
      </c>
      <c r="J138" s="389"/>
      <c r="K138" s="70">
        <v>2850</v>
      </c>
      <c r="L138" s="390"/>
      <c r="M138" s="70">
        <v>3000</v>
      </c>
      <c r="N138" s="390"/>
      <c r="O138" s="67">
        <v>3000</v>
      </c>
      <c r="P138" s="390"/>
      <c r="Q138" s="71">
        <v>3450</v>
      </c>
      <c r="R138" s="389"/>
      <c r="S138" s="67"/>
      <c r="T138" s="389"/>
      <c r="U138" s="67"/>
      <c r="V138" s="389"/>
      <c r="W138" s="67"/>
      <c r="X138" s="389"/>
      <c r="Y138" s="67"/>
      <c r="Z138" s="389"/>
      <c r="AA138" s="67"/>
      <c r="AB138" s="389"/>
      <c r="AC138" s="71">
        <f t="shared" si="2"/>
        <v>21450</v>
      </c>
      <c r="AD138" s="389">
        <f t="shared" si="2"/>
        <v>0</v>
      </c>
    </row>
    <row r="139" spans="1:30" ht="16" x14ac:dyDescent="0.2">
      <c r="A139" s="388">
        <v>68</v>
      </c>
      <c r="B139" s="230" t="s">
        <v>117</v>
      </c>
      <c r="C139" s="67" t="s">
        <v>117</v>
      </c>
      <c r="D139" s="68" t="s">
        <v>373</v>
      </c>
      <c r="E139" s="69">
        <v>1800</v>
      </c>
      <c r="F139" s="389">
        <v>0</v>
      </c>
      <c r="G139" s="71">
        <v>2000</v>
      </c>
      <c r="H139" s="389">
        <v>0</v>
      </c>
      <c r="I139" s="69">
        <v>2200</v>
      </c>
      <c r="J139" s="389">
        <v>331426.5</v>
      </c>
      <c r="K139" s="70">
        <v>1900</v>
      </c>
      <c r="L139" s="387">
        <v>191052</v>
      </c>
      <c r="M139" s="70">
        <v>2000</v>
      </c>
      <c r="N139" s="387">
        <v>0</v>
      </c>
      <c r="O139" s="67">
        <v>2100</v>
      </c>
      <c r="P139" s="387">
        <v>275445</v>
      </c>
      <c r="Q139" s="71">
        <v>2263</v>
      </c>
      <c r="R139" s="389">
        <v>149625</v>
      </c>
      <c r="S139" s="67"/>
      <c r="T139" s="389"/>
      <c r="U139" s="67"/>
      <c r="V139" s="389"/>
      <c r="W139" s="67"/>
      <c r="X139" s="389"/>
      <c r="Y139" s="67"/>
      <c r="Z139" s="389"/>
      <c r="AA139" s="67"/>
      <c r="AB139" s="389"/>
      <c r="AC139" s="71">
        <f t="shared" si="2"/>
        <v>14263</v>
      </c>
      <c r="AD139" s="389">
        <f t="shared" si="2"/>
        <v>947548.5</v>
      </c>
    </row>
    <row r="140" spans="1:30" ht="16" x14ac:dyDescent="0.2">
      <c r="A140" s="388"/>
      <c r="B140" s="231" t="s">
        <v>117</v>
      </c>
      <c r="C140" s="67" t="s">
        <v>117</v>
      </c>
      <c r="D140" s="68" t="s">
        <v>374</v>
      </c>
      <c r="E140" s="69">
        <v>3325</v>
      </c>
      <c r="F140" s="389"/>
      <c r="G140" s="71">
        <v>3500</v>
      </c>
      <c r="H140" s="389"/>
      <c r="I140" s="69">
        <v>3850</v>
      </c>
      <c r="J140" s="389"/>
      <c r="K140" s="70">
        <v>3325</v>
      </c>
      <c r="L140" s="390"/>
      <c r="M140" s="70">
        <v>3410</v>
      </c>
      <c r="N140" s="390"/>
      <c r="O140" s="67">
        <v>3675</v>
      </c>
      <c r="P140" s="390"/>
      <c r="Q140" s="71">
        <v>4025</v>
      </c>
      <c r="R140" s="389"/>
      <c r="S140" s="67"/>
      <c r="T140" s="389"/>
      <c r="U140" s="67"/>
      <c r="V140" s="389"/>
      <c r="W140" s="67"/>
      <c r="X140" s="389"/>
      <c r="Y140" s="67"/>
      <c r="Z140" s="389"/>
      <c r="AA140" s="67"/>
      <c r="AB140" s="389"/>
      <c r="AC140" s="71">
        <f t="shared" si="2"/>
        <v>25110</v>
      </c>
      <c r="AD140" s="389">
        <f t="shared" si="2"/>
        <v>0</v>
      </c>
    </row>
    <row r="141" spans="1:30" ht="16" x14ac:dyDescent="0.2">
      <c r="A141" s="388">
        <v>69</v>
      </c>
      <c r="B141" s="230" t="s">
        <v>117</v>
      </c>
      <c r="C141" s="67" t="s">
        <v>126</v>
      </c>
      <c r="D141" s="68" t="s">
        <v>373</v>
      </c>
      <c r="E141" s="69">
        <v>1800</v>
      </c>
      <c r="F141" s="389">
        <v>0</v>
      </c>
      <c r="G141" s="71">
        <v>1700</v>
      </c>
      <c r="H141" s="389">
        <v>0</v>
      </c>
      <c r="I141" s="69">
        <v>2200</v>
      </c>
      <c r="J141" s="389">
        <v>344536.5</v>
      </c>
      <c r="K141" s="70">
        <v>1900</v>
      </c>
      <c r="L141" s="387">
        <v>196251</v>
      </c>
      <c r="M141" s="70">
        <v>0</v>
      </c>
      <c r="N141" s="387">
        <v>169489.5</v>
      </c>
      <c r="O141" s="67">
        <v>0</v>
      </c>
      <c r="P141" s="387">
        <v>0</v>
      </c>
      <c r="Q141" s="71">
        <v>0</v>
      </c>
      <c r="R141" s="389">
        <v>0</v>
      </c>
      <c r="S141" s="67"/>
      <c r="T141" s="389"/>
      <c r="U141" s="67"/>
      <c r="V141" s="389"/>
      <c r="W141" s="67"/>
      <c r="X141" s="389"/>
      <c r="Y141" s="67"/>
      <c r="Z141" s="389"/>
      <c r="AA141" s="67"/>
      <c r="AB141" s="389"/>
      <c r="AC141" s="71">
        <f t="shared" si="2"/>
        <v>7600</v>
      </c>
      <c r="AD141" s="389">
        <f t="shared" si="2"/>
        <v>710277</v>
      </c>
    </row>
    <row r="142" spans="1:30" ht="16" x14ac:dyDescent="0.2">
      <c r="A142" s="388"/>
      <c r="B142" s="231" t="s">
        <v>117</v>
      </c>
      <c r="C142" s="67" t="s">
        <v>126</v>
      </c>
      <c r="D142" s="68" t="s">
        <v>374</v>
      </c>
      <c r="E142" s="69">
        <v>2850</v>
      </c>
      <c r="F142" s="389"/>
      <c r="G142" s="71">
        <v>2550</v>
      </c>
      <c r="H142" s="389"/>
      <c r="I142" s="69">
        <v>3300</v>
      </c>
      <c r="J142" s="389"/>
      <c r="K142" s="70">
        <v>2850</v>
      </c>
      <c r="L142" s="390"/>
      <c r="M142" s="70">
        <v>0</v>
      </c>
      <c r="N142" s="390"/>
      <c r="O142" s="67">
        <v>0</v>
      </c>
      <c r="P142" s="390"/>
      <c r="Q142" s="71">
        <v>0</v>
      </c>
      <c r="R142" s="389"/>
      <c r="S142" s="67"/>
      <c r="T142" s="389"/>
      <c r="U142" s="67"/>
      <c r="V142" s="389"/>
      <c r="W142" s="67"/>
      <c r="X142" s="389"/>
      <c r="Y142" s="67"/>
      <c r="Z142" s="389"/>
      <c r="AA142" s="67"/>
      <c r="AB142" s="389"/>
      <c r="AC142" s="71">
        <f t="shared" si="2"/>
        <v>11550</v>
      </c>
      <c r="AD142" s="389">
        <f t="shared" si="2"/>
        <v>0</v>
      </c>
    </row>
    <row r="143" spans="1:30" ht="16" x14ac:dyDescent="0.2">
      <c r="A143" s="393">
        <v>70</v>
      </c>
      <c r="B143" s="232" t="s">
        <v>117</v>
      </c>
      <c r="C143" s="73" t="s">
        <v>648</v>
      </c>
      <c r="D143" s="74" t="s">
        <v>373</v>
      </c>
      <c r="E143" s="75">
        <v>0</v>
      </c>
      <c r="F143" s="394">
        <v>0</v>
      </c>
      <c r="G143" s="233">
        <v>0</v>
      </c>
      <c r="H143" s="394">
        <v>0</v>
      </c>
      <c r="I143" s="233">
        <v>0</v>
      </c>
      <c r="J143" s="394">
        <v>0</v>
      </c>
      <c r="K143" s="233">
        <v>0</v>
      </c>
      <c r="L143" s="394">
        <v>0</v>
      </c>
      <c r="M143" s="233">
        <v>0</v>
      </c>
      <c r="N143" s="394">
        <v>0</v>
      </c>
      <c r="O143" s="73">
        <v>0</v>
      </c>
      <c r="P143" s="394">
        <v>0</v>
      </c>
      <c r="Q143" s="76">
        <v>1172</v>
      </c>
      <c r="R143" s="396">
        <v>0</v>
      </c>
      <c r="S143" s="73"/>
      <c r="T143" s="396"/>
      <c r="U143" s="73"/>
      <c r="V143" s="396"/>
      <c r="W143" s="73"/>
      <c r="X143" s="396"/>
      <c r="Y143" s="73"/>
      <c r="Z143" s="396"/>
      <c r="AA143" s="73"/>
      <c r="AB143" s="396"/>
      <c r="AC143" s="76">
        <f t="shared" si="2"/>
        <v>1172</v>
      </c>
      <c r="AD143" s="396">
        <f t="shared" si="2"/>
        <v>0</v>
      </c>
    </row>
    <row r="144" spans="1:30" ht="16" x14ac:dyDescent="0.2">
      <c r="A144" s="393"/>
      <c r="B144" s="234" t="s">
        <v>117</v>
      </c>
      <c r="C144" s="73" t="s">
        <v>648</v>
      </c>
      <c r="D144" s="74" t="s">
        <v>374</v>
      </c>
      <c r="E144" s="75">
        <v>0</v>
      </c>
      <c r="F144" s="395"/>
      <c r="G144" s="233">
        <v>0</v>
      </c>
      <c r="H144" s="395"/>
      <c r="I144" s="233">
        <v>0</v>
      </c>
      <c r="J144" s="395"/>
      <c r="K144" s="233">
        <v>0</v>
      </c>
      <c r="L144" s="395"/>
      <c r="M144" s="233">
        <v>0</v>
      </c>
      <c r="N144" s="395"/>
      <c r="O144" s="73">
        <v>0</v>
      </c>
      <c r="P144" s="395"/>
      <c r="Q144" s="76">
        <v>1498</v>
      </c>
      <c r="R144" s="396"/>
      <c r="S144" s="73"/>
      <c r="T144" s="396"/>
      <c r="U144" s="73"/>
      <c r="V144" s="396"/>
      <c r="W144" s="73"/>
      <c r="X144" s="396"/>
      <c r="Y144" s="73"/>
      <c r="Z144" s="396"/>
      <c r="AA144" s="73"/>
      <c r="AB144" s="396"/>
      <c r="AC144" s="76">
        <f t="shared" si="2"/>
        <v>1498</v>
      </c>
      <c r="AD144" s="396">
        <f t="shared" si="2"/>
        <v>0</v>
      </c>
    </row>
    <row r="145" spans="1:30" ht="16" x14ac:dyDescent="0.2">
      <c r="A145" s="393">
        <v>71</v>
      </c>
      <c r="B145" s="232" t="s">
        <v>117</v>
      </c>
      <c r="C145" s="73" t="s">
        <v>129</v>
      </c>
      <c r="D145" s="74" t="s">
        <v>373</v>
      </c>
      <c r="E145" s="75">
        <v>0</v>
      </c>
      <c r="F145" s="394">
        <v>0</v>
      </c>
      <c r="G145" s="233">
        <v>0</v>
      </c>
      <c r="H145" s="394">
        <v>0</v>
      </c>
      <c r="I145" s="233">
        <v>0</v>
      </c>
      <c r="J145" s="394">
        <v>0</v>
      </c>
      <c r="K145" s="233">
        <v>0</v>
      </c>
      <c r="L145" s="394">
        <v>0</v>
      </c>
      <c r="M145" s="233">
        <v>0</v>
      </c>
      <c r="N145" s="394">
        <v>0</v>
      </c>
      <c r="O145" s="73">
        <v>0</v>
      </c>
      <c r="P145" s="394">
        <v>0</v>
      </c>
      <c r="Q145" s="76">
        <v>1492</v>
      </c>
      <c r="R145" s="396">
        <v>0</v>
      </c>
      <c r="S145" s="73"/>
      <c r="T145" s="396"/>
      <c r="U145" s="73"/>
      <c r="V145" s="396"/>
      <c r="W145" s="73"/>
      <c r="X145" s="396"/>
      <c r="Y145" s="73"/>
      <c r="Z145" s="396"/>
      <c r="AA145" s="73"/>
      <c r="AB145" s="396"/>
      <c r="AC145" s="76">
        <f t="shared" si="2"/>
        <v>1492</v>
      </c>
      <c r="AD145" s="396">
        <f t="shared" si="2"/>
        <v>0</v>
      </c>
    </row>
    <row r="146" spans="1:30" ht="16" x14ac:dyDescent="0.2">
      <c r="A146" s="393"/>
      <c r="B146" s="234" t="s">
        <v>117</v>
      </c>
      <c r="C146" s="73" t="s">
        <v>129</v>
      </c>
      <c r="D146" s="74" t="s">
        <v>374</v>
      </c>
      <c r="E146" s="75">
        <v>0</v>
      </c>
      <c r="F146" s="395"/>
      <c r="G146" s="233">
        <v>0</v>
      </c>
      <c r="H146" s="395"/>
      <c r="I146" s="233">
        <v>0</v>
      </c>
      <c r="J146" s="395"/>
      <c r="K146" s="233">
        <v>0</v>
      </c>
      <c r="L146" s="395"/>
      <c r="M146" s="233">
        <v>0</v>
      </c>
      <c r="N146" s="395"/>
      <c r="O146" s="73">
        <v>0</v>
      </c>
      <c r="P146" s="395"/>
      <c r="Q146" s="76">
        <v>1500</v>
      </c>
      <c r="R146" s="396"/>
      <c r="S146" s="73"/>
      <c r="T146" s="396"/>
      <c r="U146" s="73"/>
      <c r="V146" s="396"/>
      <c r="W146" s="73"/>
      <c r="X146" s="396"/>
      <c r="Y146" s="73"/>
      <c r="Z146" s="396"/>
      <c r="AA146" s="73"/>
      <c r="AB146" s="396"/>
      <c r="AC146" s="76">
        <f t="shared" si="2"/>
        <v>1500</v>
      </c>
      <c r="AD146" s="396">
        <f t="shared" si="2"/>
        <v>0</v>
      </c>
    </row>
    <row r="147" spans="1:30" ht="16" x14ac:dyDescent="0.2">
      <c r="A147" s="388">
        <v>72</v>
      </c>
      <c r="B147" s="230" t="s">
        <v>117</v>
      </c>
      <c r="C147" s="67" t="s">
        <v>132</v>
      </c>
      <c r="D147" s="68" t="s">
        <v>373</v>
      </c>
      <c r="E147" s="69">
        <v>2700</v>
      </c>
      <c r="F147" s="389">
        <v>0</v>
      </c>
      <c r="G147" s="71">
        <v>3000</v>
      </c>
      <c r="H147" s="389">
        <v>0</v>
      </c>
      <c r="I147" s="69">
        <v>3300</v>
      </c>
      <c r="J147" s="389">
        <v>480681</v>
      </c>
      <c r="K147" s="70">
        <v>3300</v>
      </c>
      <c r="L147" s="387">
        <v>273999</v>
      </c>
      <c r="M147" s="70">
        <v>3000</v>
      </c>
      <c r="N147" s="387">
        <v>236635.5</v>
      </c>
      <c r="O147" s="67">
        <v>3150</v>
      </c>
      <c r="P147" s="387">
        <v>249090</v>
      </c>
      <c r="Q147" s="71">
        <v>3450</v>
      </c>
      <c r="R147" s="389">
        <v>261544.5</v>
      </c>
      <c r="S147" s="67"/>
      <c r="T147" s="389"/>
      <c r="U147" s="67"/>
      <c r="V147" s="389"/>
      <c r="W147" s="67"/>
      <c r="X147" s="389"/>
      <c r="Y147" s="67"/>
      <c r="Z147" s="389"/>
      <c r="AA147" s="67"/>
      <c r="AB147" s="389"/>
      <c r="AC147" s="71">
        <f t="shared" si="2"/>
        <v>21900</v>
      </c>
      <c r="AD147" s="389">
        <f t="shared" si="2"/>
        <v>1501950</v>
      </c>
    </row>
    <row r="148" spans="1:30" ht="16" x14ac:dyDescent="0.2">
      <c r="A148" s="388"/>
      <c r="B148" s="231" t="s">
        <v>117</v>
      </c>
      <c r="C148" s="67" t="s">
        <v>132</v>
      </c>
      <c r="D148" s="68" t="s">
        <v>374</v>
      </c>
      <c r="E148" s="69">
        <v>3750</v>
      </c>
      <c r="F148" s="389"/>
      <c r="G148" s="71">
        <v>4000</v>
      </c>
      <c r="H148" s="389"/>
      <c r="I148" s="69">
        <v>4400</v>
      </c>
      <c r="J148" s="389"/>
      <c r="K148" s="70">
        <v>4400</v>
      </c>
      <c r="L148" s="390"/>
      <c r="M148" s="70">
        <v>4000</v>
      </c>
      <c r="N148" s="390"/>
      <c r="O148" s="67">
        <v>4200</v>
      </c>
      <c r="P148" s="390"/>
      <c r="Q148" s="71">
        <v>4600</v>
      </c>
      <c r="R148" s="389"/>
      <c r="S148" s="67"/>
      <c r="T148" s="389"/>
      <c r="U148" s="67"/>
      <c r="V148" s="389"/>
      <c r="W148" s="67"/>
      <c r="X148" s="389"/>
      <c r="Y148" s="67"/>
      <c r="Z148" s="389"/>
      <c r="AA148" s="67"/>
      <c r="AB148" s="389"/>
      <c r="AC148" s="71">
        <f t="shared" si="2"/>
        <v>29350</v>
      </c>
      <c r="AD148" s="389">
        <f t="shared" si="2"/>
        <v>0</v>
      </c>
    </row>
    <row r="149" spans="1:30" ht="16" x14ac:dyDescent="0.2">
      <c r="A149" s="393">
        <v>73</v>
      </c>
      <c r="B149" s="232" t="s">
        <v>117</v>
      </c>
      <c r="C149" s="73" t="s">
        <v>649</v>
      </c>
      <c r="D149" s="74" t="s">
        <v>373</v>
      </c>
      <c r="E149" s="75">
        <v>0</v>
      </c>
      <c r="F149" s="394">
        <v>0</v>
      </c>
      <c r="G149" s="233">
        <v>0</v>
      </c>
      <c r="H149" s="394">
        <v>0</v>
      </c>
      <c r="I149" s="233">
        <v>0</v>
      </c>
      <c r="J149" s="394">
        <v>0</v>
      </c>
      <c r="K149" s="233">
        <v>0</v>
      </c>
      <c r="L149" s="394">
        <v>0</v>
      </c>
      <c r="M149" s="233">
        <v>0</v>
      </c>
      <c r="N149" s="394">
        <v>0</v>
      </c>
      <c r="O149" s="73">
        <v>0</v>
      </c>
      <c r="P149" s="394">
        <v>0</v>
      </c>
      <c r="Q149" s="76">
        <v>2950</v>
      </c>
      <c r="R149" s="396">
        <v>0</v>
      </c>
      <c r="S149" s="73"/>
      <c r="T149" s="396"/>
      <c r="U149" s="73"/>
      <c r="V149" s="396"/>
      <c r="W149" s="73"/>
      <c r="X149" s="396"/>
      <c r="Y149" s="73"/>
      <c r="Z149" s="396"/>
      <c r="AA149" s="73"/>
      <c r="AB149" s="396"/>
      <c r="AC149" s="76">
        <f t="shared" si="2"/>
        <v>2950</v>
      </c>
      <c r="AD149" s="396">
        <f t="shared" si="2"/>
        <v>0</v>
      </c>
    </row>
    <row r="150" spans="1:30" ht="16" x14ac:dyDescent="0.2">
      <c r="A150" s="393"/>
      <c r="B150" s="234" t="s">
        <v>117</v>
      </c>
      <c r="C150" s="73" t="s">
        <v>649</v>
      </c>
      <c r="D150" s="74" t="s">
        <v>374</v>
      </c>
      <c r="E150" s="75">
        <v>0</v>
      </c>
      <c r="F150" s="395"/>
      <c r="G150" s="233">
        <v>0</v>
      </c>
      <c r="H150" s="395"/>
      <c r="I150" s="233">
        <v>0</v>
      </c>
      <c r="J150" s="395"/>
      <c r="K150" s="233">
        <v>0</v>
      </c>
      <c r="L150" s="395"/>
      <c r="M150" s="233">
        <v>0</v>
      </c>
      <c r="N150" s="395"/>
      <c r="O150" s="73">
        <v>0</v>
      </c>
      <c r="P150" s="395"/>
      <c r="Q150" s="76">
        <v>4000</v>
      </c>
      <c r="R150" s="396"/>
      <c r="S150" s="73"/>
      <c r="T150" s="396"/>
      <c r="U150" s="73"/>
      <c r="V150" s="396"/>
      <c r="W150" s="73"/>
      <c r="X150" s="396"/>
      <c r="Y150" s="73"/>
      <c r="Z150" s="396"/>
      <c r="AA150" s="73"/>
      <c r="AB150" s="396"/>
      <c r="AC150" s="76">
        <f t="shared" si="2"/>
        <v>4000</v>
      </c>
      <c r="AD150" s="396">
        <f t="shared" si="2"/>
        <v>0</v>
      </c>
    </row>
    <row r="151" spans="1:30" ht="16" x14ac:dyDescent="0.2">
      <c r="A151" s="388">
        <v>74</v>
      </c>
      <c r="B151" s="230" t="s">
        <v>117</v>
      </c>
      <c r="C151" s="67" t="s">
        <v>136</v>
      </c>
      <c r="D151" s="68" t="s">
        <v>373</v>
      </c>
      <c r="E151" s="69">
        <v>1999</v>
      </c>
      <c r="F151" s="389">
        <v>0</v>
      </c>
      <c r="G151" s="71">
        <v>2000</v>
      </c>
      <c r="H151" s="389">
        <v>0</v>
      </c>
      <c r="I151" s="69">
        <v>2200</v>
      </c>
      <c r="J151" s="389">
        <v>398501.25</v>
      </c>
      <c r="K151" s="70">
        <v>1900</v>
      </c>
      <c r="L151" s="387">
        <v>216628.5</v>
      </c>
      <c r="M151" s="70">
        <v>2000</v>
      </c>
      <c r="N151" s="387">
        <v>187088.25</v>
      </c>
      <c r="O151" s="67">
        <v>2100</v>
      </c>
      <c r="P151" s="387">
        <v>196935</v>
      </c>
      <c r="Q151" s="71">
        <v>2300</v>
      </c>
      <c r="R151" s="389">
        <v>206781.75</v>
      </c>
      <c r="S151" s="67"/>
      <c r="T151" s="387"/>
      <c r="U151" s="67"/>
      <c r="V151" s="387"/>
      <c r="W151" s="67"/>
      <c r="X151" s="389"/>
      <c r="Y151" s="67"/>
      <c r="Z151" s="389"/>
      <c r="AA151" s="67"/>
      <c r="AB151" s="389"/>
      <c r="AC151" s="71">
        <f t="shared" si="2"/>
        <v>14499</v>
      </c>
      <c r="AD151" s="389">
        <f t="shared" si="2"/>
        <v>1205934.75</v>
      </c>
    </row>
    <row r="152" spans="1:30" ht="16" x14ac:dyDescent="0.2">
      <c r="A152" s="388"/>
      <c r="B152" s="231" t="s">
        <v>117</v>
      </c>
      <c r="C152" s="67" t="s">
        <v>136</v>
      </c>
      <c r="D152" s="68" t="s">
        <v>374</v>
      </c>
      <c r="E152" s="69">
        <v>3625</v>
      </c>
      <c r="F152" s="389"/>
      <c r="G152" s="71">
        <v>3500</v>
      </c>
      <c r="H152" s="389"/>
      <c r="I152" s="69">
        <v>3850</v>
      </c>
      <c r="J152" s="389"/>
      <c r="K152" s="70">
        <v>3325</v>
      </c>
      <c r="L152" s="390"/>
      <c r="M152" s="70">
        <v>3500</v>
      </c>
      <c r="N152" s="390"/>
      <c r="O152" s="67">
        <v>3675</v>
      </c>
      <c r="P152" s="390"/>
      <c r="Q152" s="71">
        <v>4025</v>
      </c>
      <c r="R152" s="389"/>
      <c r="S152" s="67"/>
      <c r="T152" s="390"/>
      <c r="U152" s="67"/>
      <c r="V152" s="390"/>
      <c r="W152" s="67"/>
      <c r="X152" s="389"/>
      <c r="Y152" s="67"/>
      <c r="Z152" s="389"/>
      <c r="AA152" s="67"/>
      <c r="AB152" s="389"/>
      <c r="AC152" s="71">
        <f t="shared" si="2"/>
        <v>25500</v>
      </c>
      <c r="AD152" s="389">
        <f t="shared" si="2"/>
        <v>0</v>
      </c>
    </row>
    <row r="153" spans="1:30" ht="16" x14ac:dyDescent="0.2">
      <c r="A153" s="388">
        <v>75</v>
      </c>
      <c r="B153" s="230" t="s">
        <v>117</v>
      </c>
      <c r="C153" s="67" t="s">
        <v>394</v>
      </c>
      <c r="D153" s="68" t="s">
        <v>373</v>
      </c>
      <c r="E153" s="69">
        <v>2700</v>
      </c>
      <c r="F153" s="389">
        <v>0</v>
      </c>
      <c r="G153" s="69">
        <v>3000</v>
      </c>
      <c r="H153" s="389">
        <v>0</v>
      </c>
      <c r="I153" s="69">
        <v>3300</v>
      </c>
      <c r="J153" s="389">
        <v>480681</v>
      </c>
      <c r="K153" s="69">
        <v>2850</v>
      </c>
      <c r="L153" s="387">
        <v>273999</v>
      </c>
      <c r="M153" s="69">
        <v>3000</v>
      </c>
      <c r="N153" s="389">
        <v>236635.5</v>
      </c>
      <c r="O153" s="69">
        <v>1500</v>
      </c>
      <c r="P153" s="389">
        <v>249090</v>
      </c>
      <c r="Q153" s="69">
        <v>0</v>
      </c>
      <c r="R153" s="389">
        <v>124545</v>
      </c>
      <c r="S153" s="69"/>
      <c r="T153" s="389"/>
      <c r="U153" s="67"/>
      <c r="V153" s="387"/>
      <c r="W153" s="67"/>
      <c r="X153" s="389"/>
      <c r="Y153" s="67"/>
      <c r="Z153" s="389"/>
      <c r="AA153" s="67"/>
      <c r="AB153" s="389"/>
      <c r="AC153" s="71">
        <f t="shared" si="2"/>
        <v>16350</v>
      </c>
      <c r="AD153" s="389">
        <f t="shared" si="2"/>
        <v>1364950.5</v>
      </c>
    </row>
    <row r="154" spans="1:30" ht="16" x14ac:dyDescent="0.2">
      <c r="A154" s="388"/>
      <c r="B154" s="231" t="s">
        <v>117</v>
      </c>
      <c r="C154" s="67" t="s">
        <v>394</v>
      </c>
      <c r="D154" s="68" t="s">
        <v>374</v>
      </c>
      <c r="E154" s="69">
        <v>3800</v>
      </c>
      <c r="F154" s="389"/>
      <c r="G154" s="69">
        <v>4000</v>
      </c>
      <c r="H154" s="389"/>
      <c r="I154" s="69">
        <v>4400</v>
      </c>
      <c r="J154" s="389"/>
      <c r="K154" s="69">
        <v>3800</v>
      </c>
      <c r="L154" s="390"/>
      <c r="M154" s="69">
        <v>4000</v>
      </c>
      <c r="N154" s="389"/>
      <c r="O154" s="69">
        <v>2000</v>
      </c>
      <c r="P154" s="389"/>
      <c r="Q154" s="69">
        <v>0</v>
      </c>
      <c r="R154" s="389"/>
      <c r="S154" s="69"/>
      <c r="T154" s="389"/>
      <c r="U154" s="67"/>
      <c r="V154" s="390"/>
      <c r="W154" s="67"/>
      <c r="X154" s="389"/>
      <c r="Y154" s="67"/>
      <c r="Z154" s="389"/>
      <c r="AA154" s="67"/>
      <c r="AB154" s="389"/>
      <c r="AC154" s="71">
        <f t="shared" si="2"/>
        <v>22000</v>
      </c>
      <c r="AD154" s="389">
        <f t="shared" si="2"/>
        <v>0</v>
      </c>
    </row>
    <row r="155" spans="1:30" ht="16" x14ac:dyDescent="0.2">
      <c r="A155" s="388">
        <v>76</v>
      </c>
      <c r="B155" s="230" t="s">
        <v>117</v>
      </c>
      <c r="C155" s="67" t="s">
        <v>138</v>
      </c>
      <c r="D155" s="68" t="s">
        <v>373</v>
      </c>
      <c r="E155" s="69">
        <v>1800</v>
      </c>
      <c r="F155" s="389">
        <v>0</v>
      </c>
      <c r="G155" s="69">
        <v>2000</v>
      </c>
      <c r="H155" s="389">
        <v>0</v>
      </c>
      <c r="I155" s="69">
        <v>2200</v>
      </c>
      <c r="J155" s="389">
        <v>343721.4</v>
      </c>
      <c r="K155" s="69">
        <v>1900</v>
      </c>
      <c r="L155" s="387">
        <v>196251</v>
      </c>
      <c r="M155" s="69">
        <v>2000</v>
      </c>
      <c r="N155" s="389">
        <v>169489.5</v>
      </c>
      <c r="O155" s="69">
        <v>1950</v>
      </c>
      <c r="P155" s="389">
        <v>178410</v>
      </c>
      <c r="Q155" s="69">
        <v>2225</v>
      </c>
      <c r="R155" s="389">
        <v>176728.49999999988</v>
      </c>
      <c r="S155" s="69"/>
      <c r="T155" s="389"/>
      <c r="U155" s="67"/>
      <c r="V155" s="387"/>
      <c r="W155" s="67"/>
      <c r="X155" s="389"/>
      <c r="Y155" s="67"/>
      <c r="Z155" s="389"/>
      <c r="AA155" s="67"/>
      <c r="AB155" s="389"/>
      <c r="AC155" s="71">
        <f t="shared" si="2"/>
        <v>14075</v>
      </c>
      <c r="AD155" s="389">
        <f t="shared" si="2"/>
        <v>1064600.3999999999</v>
      </c>
    </row>
    <row r="156" spans="1:30" ht="16" x14ac:dyDescent="0.2">
      <c r="A156" s="388"/>
      <c r="B156" s="231" t="s">
        <v>117</v>
      </c>
      <c r="C156" s="67" t="s">
        <v>138</v>
      </c>
      <c r="D156" s="68" t="s">
        <v>374</v>
      </c>
      <c r="E156" s="69">
        <v>2850</v>
      </c>
      <c r="F156" s="389"/>
      <c r="G156" s="69">
        <v>3000</v>
      </c>
      <c r="H156" s="389"/>
      <c r="I156" s="69">
        <v>3300</v>
      </c>
      <c r="J156" s="389"/>
      <c r="K156" s="69">
        <v>2850</v>
      </c>
      <c r="L156" s="390"/>
      <c r="M156" s="69">
        <v>3000</v>
      </c>
      <c r="N156" s="389"/>
      <c r="O156" s="69">
        <v>3000</v>
      </c>
      <c r="P156" s="389"/>
      <c r="Q156" s="69">
        <v>3375</v>
      </c>
      <c r="R156" s="389"/>
      <c r="S156" s="69"/>
      <c r="T156" s="389"/>
      <c r="U156" s="67"/>
      <c r="V156" s="390"/>
      <c r="W156" s="67"/>
      <c r="X156" s="389"/>
      <c r="Y156" s="67"/>
      <c r="Z156" s="389"/>
      <c r="AA156" s="67"/>
      <c r="AB156" s="389"/>
      <c r="AC156" s="71">
        <f t="shared" si="2"/>
        <v>21375</v>
      </c>
      <c r="AD156" s="389">
        <f t="shared" si="2"/>
        <v>0</v>
      </c>
    </row>
    <row r="157" spans="1:30" ht="16" x14ac:dyDescent="0.2">
      <c r="A157" s="388">
        <v>77</v>
      </c>
      <c r="B157" s="230" t="s">
        <v>117</v>
      </c>
      <c r="C157" s="67" t="s">
        <v>395</v>
      </c>
      <c r="D157" s="68" t="s">
        <v>373</v>
      </c>
      <c r="E157" s="69">
        <v>0</v>
      </c>
      <c r="F157" s="389">
        <v>0</v>
      </c>
      <c r="G157" s="71">
        <v>0</v>
      </c>
      <c r="H157" s="389">
        <v>0</v>
      </c>
      <c r="I157" s="69">
        <v>0</v>
      </c>
      <c r="J157" s="389">
        <v>0</v>
      </c>
      <c r="K157" s="70">
        <v>900</v>
      </c>
      <c r="L157" s="387">
        <v>0</v>
      </c>
      <c r="M157" s="70">
        <v>2000</v>
      </c>
      <c r="N157" s="387">
        <v>79765.8</v>
      </c>
      <c r="O157" s="67">
        <v>2100</v>
      </c>
      <c r="P157" s="387">
        <v>178410</v>
      </c>
      <c r="Q157" s="71">
        <v>1725</v>
      </c>
      <c r="R157" s="389">
        <v>187330.5</v>
      </c>
      <c r="S157" s="67"/>
      <c r="T157" s="389"/>
      <c r="U157" s="67"/>
      <c r="V157" s="389"/>
      <c r="W157" s="67"/>
      <c r="X157" s="389"/>
      <c r="Y157" s="67"/>
      <c r="Z157" s="389"/>
      <c r="AA157" s="67"/>
      <c r="AB157" s="389"/>
      <c r="AC157" s="71">
        <f t="shared" si="2"/>
        <v>6725</v>
      </c>
      <c r="AD157" s="389">
        <f t="shared" si="2"/>
        <v>445506.3</v>
      </c>
    </row>
    <row r="158" spans="1:30" ht="16" x14ac:dyDescent="0.2">
      <c r="A158" s="388"/>
      <c r="B158" s="231" t="s">
        <v>117</v>
      </c>
      <c r="C158" s="67" t="s">
        <v>395</v>
      </c>
      <c r="D158" s="68" t="s">
        <v>374</v>
      </c>
      <c r="E158" s="69">
        <v>0</v>
      </c>
      <c r="F158" s="389"/>
      <c r="G158" s="71">
        <v>0</v>
      </c>
      <c r="H158" s="389"/>
      <c r="I158" s="69">
        <v>0</v>
      </c>
      <c r="J158" s="389"/>
      <c r="K158" s="70">
        <v>1350</v>
      </c>
      <c r="L158" s="390"/>
      <c r="M158" s="70">
        <v>3000</v>
      </c>
      <c r="N158" s="390"/>
      <c r="O158" s="67">
        <v>3150</v>
      </c>
      <c r="P158" s="390"/>
      <c r="Q158" s="71">
        <v>2875</v>
      </c>
      <c r="R158" s="389"/>
      <c r="S158" s="67"/>
      <c r="T158" s="389"/>
      <c r="U158" s="67"/>
      <c r="V158" s="389"/>
      <c r="W158" s="67"/>
      <c r="X158" s="389"/>
      <c r="Y158" s="67"/>
      <c r="Z158" s="389"/>
      <c r="AA158" s="67"/>
      <c r="AB158" s="389"/>
      <c r="AC158" s="71">
        <f t="shared" si="2"/>
        <v>10375</v>
      </c>
      <c r="AD158" s="389">
        <f t="shared" si="2"/>
        <v>0</v>
      </c>
    </row>
    <row r="159" spans="1:30" ht="16" x14ac:dyDescent="0.2">
      <c r="A159" s="388">
        <v>78</v>
      </c>
      <c r="B159" s="230" t="s">
        <v>117</v>
      </c>
      <c r="C159" s="67" t="s">
        <v>144</v>
      </c>
      <c r="D159" s="68" t="s">
        <v>373</v>
      </c>
      <c r="E159" s="69">
        <v>1500</v>
      </c>
      <c r="F159" s="389">
        <v>0</v>
      </c>
      <c r="G159" s="69">
        <v>2000</v>
      </c>
      <c r="H159" s="389">
        <v>0</v>
      </c>
      <c r="I159" s="69">
        <v>2200</v>
      </c>
      <c r="J159" s="389">
        <v>351120</v>
      </c>
      <c r="K159" s="69">
        <v>1800</v>
      </c>
      <c r="L159" s="387">
        <v>216628.5</v>
      </c>
      <c r="M159" s="70">
        <v>2000</v>
      </c>
      <c r="N159" s="387">
        <v>183725.25</v>
      </c>
      <c r="O159" s="67">
        <v>2100</v>
      </c>
      <c r="P159" s="387">
        <v>196935</v>
      </c>
      <c r="Q159" s="71">
        <v>2100</v>
      </c>
      <c r="R159" s="389">
        <v>206781.75</v>
      </c>
      <c r="S159" s="67"/>
      <c r="T159" s="389"/>
      <c r="U159" s="67"/>
      <c r="V159" s="389"/>
      <c r="W159" s="67"/>
      <c r="X159" s="389"/>
      <c r="Y159" s="67"/>
      <c r="Z159" s="389"/>
      <c r="AA159" s="67"/>
      <c r="AB159" s="389"/>
      <c r="AC159" s="71">
        <f t="shared" si="2"/>
        <v>13700</v>
      </c>
      <c r="AD159" s="389">
        <f t="shared" si="2"/>
        <v>1155190.5</v>
      </c>
    </row>
    <row r="160" spans="1:30" ht="16" x14ac:dyDescent="0.2">
      <c r="A160" s="388"/>
      <c r="B160" s="231" t="s">
        <v>117</v>
      </c>
      <c r="C160" s="67" t="s">
        <v>144</v>
      </c>
      <c r="D160" s="68" t="s">
        <v>374</v>
      </c>
      <c r="E160" s="69">
        <v>2800</v>
      </c>
      <c r="F160" s="389"/>
      <c r="G160" s="69">
        <v>3500</v>
      </c>
      <c r="H160" s="389"/>
      <c r="I160" s="69">
        <v>3850</v>
      </c>
      <c r="J160" s="389"/>
      <c r="K160" s="69">
        <v>3325</v>
      </c>
      <c r="L160" s="390"/>
      <c r="M160" s="70">
        <v>3500</v>
      </c>
      <c r="N160" s="390"/>
      <c r="O160" s="67">
        <v>3675</v>
      </c>
      <c r="P160" s="390"/>
      <c r="Q160" s="71">
        <v>3675</v>
      </c>
      <c r="R160" s="389"/>
      <c r="S160" s="67"/>
      <c r="T160" s="389"/>
      <c r="U160" s="67"/>
      <c r="V160" s="389"/>
      <c r="W160" s="67"/>
      <c r="X160" s="389"/>
      <c r="Y160" s="67"/>
      <c r="Z160" s="389"/>
      <c r="AA160" s="67"/>
      <c r="AB160" s="389"/>
      <c r="AC160" s="71">
        <f t="shared" si="2"/>
        <v>24325</v>
      </c>
      <c r="AD160" s="389">
        <f t="shared" si="2"/>
        <v>0</v>
      </c>
    </row>
    <row r="161" spans="1:30" ht="16" x14ac:dyDescent="0.2">
      <c r="A161" s="388">
        <v>79</v>
      </c>
      <c r="B161" s="230" t="s">
        <v>149</v>
      </c>
      <c r="C161" s="67" t="s">
        <v>150</v>
      </c>
      <c r="D161" s="68" t="s">
        <v>373</v>
      </c>
      <c r="E161" s="69">
        <v>2210</v>
      </c>
      <c r="F161" s="389">
        <v>0</v>
      </c>
      <c r="G161" s="69">
        <v>2600</v>
      </c>
      <c r="H161" s="389">
        <v>0</v>
      </c>
      <c r="I161" s="69">
        <v>2860</v>
      </c>
      <c r="J161" s="389">
        <v>392247.7</v>
      </c>
      <c r="K161" s="70">
        <v>2375</v>
      </c>
      <c r="L161" s="387">
        <v>215588.10000000003</v>
      </c>
      <c r="M161" s="70">
        <v>2530</v>
      </c>
      <c r="N161" s="387">
        <v>195055.9</v>
      </c>
      <c r="O161" s="67">
        <v>2730</v>
      </c>
      <c r="P161" s="387">
        <v>203133.10000000009</v>
      </c>
      <c r="Q161" s="71">
        <v>2790</v>
      </c>
      <c r="R161" s="389">
        <v>215588.09999999986</v>
      </c>
      <c r="S161" s="67"/>
      <c r="T161" s="389"/>
      <c r="U161" s="67"/>
      <c r="V161" s="389"/>
      <c r="W161" s="67"/>
      <c r="X161" s="389"/>
      <c r="Y161" s="67"/>
      <c r="Z161" s="389"/>
      <c r="AA161" s="67"/>
      <c r="AB161" s="389"/>
      <c r="AC161" s="71">
        <f t="shared" si="2"/>
        <v>18095</v>
      </c>
      <c r="AD161" s="389">
        <f t="shared" si="2"/>
        <v>1221612.9000000001</v>
      </c>
    </row>
    <row r="162" spans="1:30" ht="16" x14ac:dyDescent="0.2">
      <c r="A162" s="388"/>
      <c r="B162" s="231" t="s">
        <v>149</v>
      </c>
      <c r="C162" s="67" t="s">
        <v>150</v>
      </c>
      <c r="D162" s="68" t="s">
        <v>374</v>
      </c>
      <c r="E162" s="69">
        <v>3420</v>
      </c>
      <c r="F162" s="389"/>
      <c r="G162" s="69">
        <v>3600</v>
      </c>
      <c r="H162" s="389"/>
      <c r="I162" s="69">
        <v>3960</v>
      </c>
      <c r="J162" s="389"/>
      <c r="K162" s="70">
        <v>2850</v>
      </c>
      <c r="L162" s="390"/>
      <c r="M162" s="70">
        <v>3600</v>
      </c>
      <c r="N162" s="390"/>
      <c r="O162" s="67">
        <v>3780</v>
      </c>
      <c r="P162" s="390"/>
      <c r="Q162" s="71">
        <v>4140</v>
      </c>
      <c r="R162" s="389"/>
      <c r="S162" s="67"/>
      <c r="T162" s="389"/>
      <c r="U162" s="67"/>
      <c r="V162" s="389"/>
      <c r="W162" s="67"/>
      <c r="X162" s="389"/>
      <c r="Y162" s="67"/>
      <c r="Z162" s="389"/>
      <c r="AA162" s="67"/>
      <c r="AB162" s="389"/>
      <c r="AC162" s="71">
        <f t="shared" si="2"/>
        <v>25350</v>
      </c>
      <c r="AD162" s="389">
        <f t="shared" si="2"/>
        <v>0</v>
      </c>
    </row>
    <row r="163" spans="1:30" ht="16" x14ac:dyDescent="0.2">
      <c r="A163" s="388">
        <v>80</v>
      </c>
      <c r="B163" s="230" t="s">
        <v>149</v>
      </c>
      <c r="C163" s="67" t="s">
        <v>396</v>
      </c>
      <c r="D163" s="68" t="s">
        <v>373</v>
      </c>
      <c r="E163" s="69">
        <v>2250</v>
      </c>
      <c r="F163" s="389">
        <v>0</v>
      </c>
      <c r="G163" s="69">
        <v>2500</v>
      </c>
      <c r="H163" s="389">
        <v>0</v>
      </c>
      <c r="I163" s="69">
        <v>2750</v>
      </c>
      <c r="J163" s="389">
        <v>350065</v>
      </c>
      <c r="K163" s="70">
        <v>2470</v>
      </c>
      <c r="L163" s="387">
        <v>190601.25</v>
      </c>
      <c r="M163" s="70">
        <v>2500</v>
      </c>
      <c r="N163" s="387">
        <v>172448.75</v>
      </c>
      <c r="O163" s="67">
        <v>2625</v>
      </c>
      <c r="P163" s="387">
        <v>181525</v>
      </c>
      <c r="Q163" s="71">
        <v>2875</v>
      </c>
      <c r="R163" s="389">
        <v>190601.25</v>
      </c>
      <c r="S163" s="67"/>
      <c r="T163" s="389"/>
      <c r="U163" s="67"/>
      <c r="V163" s="389"/>
      <c r="W163" s="67"/>
      <c r="X163" s="389"/>
      <c r="Y163" s="67"/>
      <c r="Z163" s="389"/>
      <c r="AA163" s="67"/>
      <c r="AB163" s="389"/>
      <c r="AC163" s="71">
        <f t="shared" si="2"/>
        <v>17970</v>
      </c>
      <c r="AD163" s="389">
        <f t="shared" si="2"/>
        <v>1085241.25</v>
      </c>
    </row>
    <row r="164" spans="1:30" ht="16" x14ac:dyDescent="0.2">
      <c r="A164" s="388"/>
      <c r="B164" s="231" t="s">
        <v>149</v>
      </c>
      <c r="C164" s="67" t="s">
        <v>396</v>
      </c>
      <c r="D164" s="68" t="s">
        <v>374</v>
      </c>
      <c r="E164" s="69">
        <v>2850</v>
      </c>
      <c r="F164" s="389"/>
      <c r="G164" s="69">
        <v>3000</v>
      </c>
      <c r="H164" s="389"/>
      <c r="I164" s="69">
        <v>3300</v>
      </c>
      <c r="J164" s="389"/>
      <c r="K164" s="70">
        <v>3420</v>
      </c>
      <c r="L164" s="390"/>
      <c r="M164" s="70">
        <v>3000</v>
      </c>
      <c r="N164" s="390"/>
      <c r="O164" s="67">
        <v>3150</v>
      </c>
      <c r="P164" s="390"/>
      <c r="Q164" s="71">
        <v>3450</v>
      </c>
      <c r="R164" s="389"/>
      <c r="S164" s="67"/>
      <c r="T164" s="389"/>
      <c r="U164" s="67"/>
      <c r="V164" s="389"/>
      <c r="W164" s="67"/>
      <c r="X164" s="389"/>
      <c r="Y164" s="67"/>
      <c r="Z164" s="389"/>
      <c r="AA164" s="67"/>
      <c r="AB164" s="389"/>
      <c r="AC164" s="71">
        <f t="shared" si="2"/>
        <v>22170</v>
      </c>
      <c r="AD164" s="389">
        <f t="shared" si="2"/>
        <v>0</v>
      </c>
    </row>
    <row r="165" spans="1:30" ht="16" x14ac:dyDescent="0.2">
      <c r="A165" s="388">
        <v>81</v>
      </c>
      <c r="B165" s="230" t="s">
        <v>149</v>
      </c>
      <c r="C165" s="67" t="s">
        <v>397</v>
      </c>
      <c r="D165" s="68" t="s">
        <v>373</v>
      </c>
      <c r="E165" s="69">
        <v>1360</v>
      </c>
      <c r="F165" s="389">
        <v>0</v>
      </c>
      <c r="G165" s="69">
        <v>1600</v>
      </c>
      <c r="H165" s="389">
        <v>0</v>
      </c>
      <c r="I165" s="69">
        <v>1760</v>
      </c>
      <c r="J165" s="389">
        <v>266014.95</v>
      </c>
      <c r="K165" s="70">
        <v>1520</v>
      </c>
      <c r="L165" s="387">
        <v>146582.09999999998</v>
      </c>
      <c r="M165" s="70">
        <v>1600</v>
      </c>
      <c r="N165" s="387">
        <v>132621.9</v>
      </c>
      <c r="O165" s="67">
        <v>1680</v>
      </c>
      <c r="P165" s="387">
        <v>139602</v>
      </c>
      <c r="Q165" s="71">
        <v>1840</v>
      </c>
      <c r="R165" s="389">
        <v>146582.10000000009</v>
      </c>
      <c r="S165" s="67"/>
      <c r="T165" s="389"/>
      <c r="U165" s="67"/>
      <c r="V165" s="389"/>
      <c r="W165" s="67"/>
      <c r="X165" s="389"/>
      <c r="Y165" s="67"/>
      <c r="Z165" s="389"/>
      <c r="AA165" s="67"/>
      <c r="AB165" s="389"/>
      <c r="AC165" s="71">
        <f t="shared" si="2"/>
        <v>11360</v>
      </c>
      <c r="AD165" s="389">
        <f t="shared" si="2"/>
        <v>831403.05</v>
      </c>
    </row>
    <row r="166" spans="1:30" ht="16" x14ac:dyDescent="0.2">
      <c r="A166" s="388"/>
      <c r="B166" s="231" t="s">
        <v>149</v>
      </c>
      <c r="C166" s="67" t="s">
        <v>397</v>
      </c>
      <c r="D166" s="68" t="s">
        <v>374</v>
      </c>
      <c r="E166" s="69">
        <v>2435</v>
      </c>
      <c r="F166" s="389"/>
      <c r="G166" s="69">
        <v>2600</v>
      </c>
      <c r="H166" s="389"/>
      <c r="I166" s="69">
        <v>2860</v>
      </c>
      <c r="J166" s="389"/>
      <c r="K166" s="70">
        <v>2470</v>
      </c>
      <c r="L166" s="390"/>
      <c r="M166" s="70">
        <v>2600</v>
      </c>
      <c r="N166" s="390"/>
      <c r="O166" s="67">
        <v>2730</v>
      </c>
      <c r="P166" s="390"/>
      <c r="Q166" s="71">
        <v>2990</v>
      </c>
      <c r="R166" s="389"/>
      <c r="S166" s="67"/>
      <c r="T166" s="389"/>
      <c r="U166" s="67"/>
      <c r="V166" s="389"/>
      <c r="W166" s="67"/>
      <c r="X166" s="389"/>
      <c r="Y166" s="67"/>
      <c r="Z166" s="389"/>
      <c r="AA166" s="67"/>
      <c r="AB166" s="389"/>
      <c r="AC166" s="71">
        <f t="shared" si="2"/>
        <v>18685</v>
      </c>
      <c r="AD166" s="389">
        <f t="shared" si="2"/>
        <v>0</v>
      </c>
    </row>
    <row r="167" spans="1:30" ht="16" x14ac:dyDescent="0.2">
      <c r="A167" s="388">
        <v>82</v>
      </c>
      <c r="B167" s="230" t="s">
        <v>149</v>
      </c>
      <c r="C167" s="67" t="s">
        <v>152</v>
      </c>
      <c r="D167" s="68" t="s">
        <v>373</v>
      </c>
      <c r="E167" s="69">
        <v>1800</v>
      </c>
      <c r="F167" s="389">
        <v>0</v>
      </c>
      <c r="G167" s="71">
        <v>2000</v>
      </c>
      <c r="H167" s="389">
        <v>0</v>
      </c>
      <c r="I167" s="71">
        <v>2200</v>
      </c>
      <c r="J167" s="389">
        <v>317531</v>
      </c>
      <c r="K167" s="71">
        <v>1900</v>
      </c>
      <c r="L167" s="387">
        <v>173885</v>
      </c>
      <c r="M167" s="71">
        <v>2000</v>
      </c>
      <c r="N167" s="389">
        <v>157595.5</v>
      </c>
      <c r="O167" s="71">
        <v>2100</v>
      </c>
      <c r="P167" s="389">
        <v>165890</v>
      </c>
      <c r="Q167" s="71">
        <v>2300</v>
      </c>
      <c r="R167" s="389">
        <v>174184.5</v>
      </c>
      <c r="S167" s="71"/>
      <c r="T167" s="389"/>
      <c r="U167" s="71"/>
      <c r="V167" s="389"/>
      <c r="W167" s="67"/>
      <c r="X167" s="389"/>
      <c r="Y167" s="67"/>
      <c r="Z167" s="389"/>
      <c r="AA167" s="67"/>
      <c r="AB167" s="389"/>
      <c r="AC167" s="71">
        <f t="shared" si="2"/>
        <v>14300</v>
      </c>
      <c r="AD167" s="389">
        <f t="shared" si="2"/>
        <v>989086</v>
      </c>
    </row>
    <row r="168" spans="1:30" ht="16" x14ac:dyDescent="0.2">
      <c r="A168" s="388"/>
      <c r="B168" s="231" t="s">
        <v>149</v>
      </c>
      <c r="C168" s="67" t="s">
        <v>152</v>
      </c>
      <c r="D168" s="68" t="s">
        <v>374</v>
      </c>
      <c r="E168" s="69">
        <v>2850</v>
      </c>
      <c r="F168" s="389"/>
      <c r="G168" s="71">
        <v>3000</v>
      </c>
      <c r="H168" s="389"/>
      <c r="I168" s="71">
        <v>3300</v>
      </c>
      <c r="J168" s="389"/>
      <c r="K168" s="71">
        <v>2850</v>
      </c>
      <c r="L168" s="390"/>
      <c r="M168" s="71">
        <v>3000</v>
      </c>
      <c r="N168" s="389"/>
      <c r="O168" s="71">
        <v>3150</v>
      </c>
      <c r="P168" s="389"/>
      <c r="Q168" s="71">
        <v>3450</v>
      </c>
      <c r="R168" s="389"/>
      <c r="S168" s="71"/>
      <c r="T168" s="389"/>
      <c r="U168" s="71"/>
      <c r="V168" s="389"/>
      <c r="W168" s="67"/>
      <c r="X168" s="389"/>
      <c r="Y168" s="67"/>
      <c r="Z168" s="389"/>
      <c r="AA168" s="67"/>
      <c r="AB168" s="389"/>
      <c r="AC168" s="71">
        <f t="shared" si="2"/>
        <v>21600</v>
      </c>
      <c r="AD168" s="389">
        <f t="shared" si="2"/>
        <v>0</v>
      </c>
    </row>
    <row r="169" spans="1:30" ht="16" x14ac:dyDescent="0.2">
      <c r="A169" s="388">
        <v>83</v>
      </c>
      <c r="B169" s="230" t="s">
        <v>149</v>
      </c>
      <c r="C169" s="67" t="s">
        <v>153</v>
      </c>
      <c r="D169" s="68" t="s">
        <v>373</v>
      </c>
      <c r="E169" s="69">
        <v>2070</v>
      </c>
      <c r="F169" s="389">
        <v>0</v>
      </c>
      <c r="G169" s="69">
        <v>2225</v>
      </c>
      <c r="H169" s="389">
        <v>0</v>
      </c>
      <c r="I169" s="69">
        <v>2200</v>
      </c>
      <c r="J169" s="389">
        <v>311934.15000000002</v>
      </c>
      <c r="K169" s="70">
        <v>1900</v>
      </c>
      <c r="L169" s="387">
        <v>175500</v>
      </c>
      <c r="M169" s="70">
        <v>2000</v>
      </c>
      <c r="N169" s="387">
        <v>123500</v>
      </c>
      <c r="O169" s="67">
        <v>2100</v>
      </c>
      <c r="P169" s="387">
        <v>130000</v>
      </c>
      <c r="Q169" s="71">
        <v>2300</v>
      </c>
      <c r="R169" s="389">
        <v>136500</v>
      </c>
      <c r="S169" s="67"/>
      <c r="T169" s="389"/>
      <c r="U169" s="67"/>
      <c r="V169" s="389"/>
      <c r="W169" s="67"/>
      <c r="X169" s="389"/>
      <c r="Y169" s="67"/>
      <c r="Z169" s="389"/>
      <c r="AA169" s="67"/>
      <c r="AB169" s="389"/>
      <c r="AC169" s="71">
        <f t="shared" si="2"/>
        <v>14795</v>
      </c>
      <c r="AD169" s="389">
        <f t="shared" si="2"/>
        <v>877434.15</v>
      </c>
    </row>
    <row r="170" spans="1:30" ht="16" x14ac:dyDescent="0.2">
      <c r="A170" s="388"/>
      <c r="B170" s="231" t="s">
        <v>149</v>
      </c>
      <c r="C170" s="67" t="s">
        <v>153</v>
      </c>
      <c r="D170" s="68" t="s">
        <v>374</v>
      </c>
      <c r="E170" s="69">
        <v>3135</v>
      </c>
      <c r="F170" s="389"/>
      <c r="G170" s="69">
        <v>3225</v>
      </c>
      <c r="H170" s="389"/>
      <c r="I170" s="69">
        <v>3300</v>
      </c>
      <c r="J170" s="389"/>
      <c r="K170" s="70">
        <v>2850</v>
      </c>
      <c r="L170" s="390"/>
      <c r="M170" s="70">
        <v>3000</v>
      </c>
      <c r="N170" s="390"/>
      <c r="O170" s="67">
        <v>3150</v>
      </c>
      <c r="P170" s="390"/>
      <c r="Q170" s="71">
        <v>3450</v>
      </c>
      <c r="R170" s="389"/>
      <c r="S170" s="67"/>
      <c r="T170" s="389"/>
      <c r="U170" s="67"/>
      <c r="V170" s="389"/>
      <c r="W170" s="67"/>
      <c r="X170" s="389"/>
      <c r="Y170" s="67"/>
      <c r="Z170" s="389"/>
      <c r="AA170" s="67"/>
      <c r="AB170" s="389"/>
      <c r="AC170" s="71">
        <f t="shared" si="2"/>
        <v>22110</v>
      </c>
      <c r="AD170" s="389">
        <f t="shared" si="2"/>
        <v>0</v>
      </c>
    </row>
    <row r="171" spans="1:30" ht="16" x14ac:dyDescent="0.2">
      <c r="A171" s="388">
        <v>84</v>
      </c>
      <c r="B171" s="230" t="s">
        <v>149</v>
      </c>
      <c r="C171" s="67" t="s">
        <v>398</v>
      </c>
      <c r="D171" s="68" t="s">
        <v>373</v>
      </c>
      <c r="E171" s="69">
        <v>1800</v>
      </c>
      <c r="F171" s="389">
        <v>0</v>
      </c>
      <c r="G171" s="69">
        <v>2000</v>
      </c>
      <c r="H171" s="389">
        <v>0</v>
      </c>
      <c r="I171" s="69">
        <v>2200</v>
      </c>
      <c r="J171" s="389">
        <v>286769.75</v>
      </c>
      <c r="K171" s="70">
        <v>1900</v>
      </c>
      <c r="L171" s="387">
        <v>156098.25</v>
      </c>
      <c r="M171" s="70">
        <v>1863</v>
      </c>
      <c r="N171" s="387">
        <v>141231.75</v>
      </c>
      <c r="O171" s="67">
        <v>2100</v>
      </c>
      <c r="P171" s="387">
        <v>144381.01</v>
      </c>
      <c r="Q171" s="71">
        <v>2300</v>
      </c>
      <c r="R171" s="389">
        <v>156098.25</v>
      </c>
      <c r="S171" s="67"/>
      <c r="T171" s="389"/>
      <c r="U171" s="67"/>
      <c r="V171" s="389"/>
      <c r="W171" s="67"/>
      <c r="X171" s="389"/>
      <c r="Y171" s="67"/>
      <c r="Z171" s="389"/>
      <c r="AA171" s="67"/>
      <c r="AB171" s="389"/>
      <c r="AC171" s="71">
        <f t="shared" si="2"/>
        <v>14163</v>
      </c>
      <c r="AD171" s="389">
        <f t="shared" si="2"/>
        <v>884579.01</v>
      </c>
    </row>
    <row r="172" spans="1:30" ht="16" x14ac:dyDescent="0.2">
      <c r="A172" s="388"/>
      <c r="B172" s="231" t="s">
        <v>149</v>
      </c>
      <c r="C172" s="67" t="s">
        <v>398</v>
      </c>
      <c r="D172" s="68" t="s">
        <v>374</v>
      </c>
      <c r="E172" s="69">
        <v>2375</v>
      </c>
      <c r="F172" s="389"/>
      <c r="G172" s="69">
        <v>2500</v>
      </c>
      <c r="H172" s="389"/>
      <c r="I172" s="69">
        <v>2750</v>
      </c>
      <c r="J172" s="389"/>
      <c r="K172" s="70">
        <v>2375</v>
      </c>
      <c r="L172" s="390"/>
      <c r="M172" s="70">
        <v>2500</v>
      </c>
      <c r="N172" s="390"/>
      <c r="O172" s="67">
        <v>2625</v>
      </c>
      <c r="P172" s="390"/>
      <c r="Q172" s="71">
        <v>2875</v>
      </c>
      <c r="R172" s="389"/>
      <c r="S172" s="67"/>
      <c r="T172" s="389"/>
      <c r="U172" s="67"/>
      <c r="V172" s="389"/>
      <c r="W172" s="67"/>
      <c r="X172" s="389"/>
      <c r="Y172" s="67"/>
      <c r="Z172" s="389"/>
      <c r="AA172" s="67"/>
      <c r="AB172" s="389"/>
      <c r="AC172" s="71">
        <f t="shared" ref="AC172:AD267" si="3">AA172+Y172+W172+U172+S172+Q172+O172+K172+M172+I172+G172+E172</f>
        <v>18000</v>
      </c>
      <c r="AD172" s="389">
        <f t="shared" si="3"/>
        <v>0</v>
      </c>
    </row>
    <row r="173" spans="1:30" ht="16" x14ac:dyDescent="0.2">
      <c r="A173" s="393">
        <v>85</v>
      </c>
      <c r="B173" s="232" t="s">
        <v>155</v>
      </c>
      <c r="C173" s="73" t="s">
        <v>155</v>
      </c>
      <c r="D173" s="74" t="s">
        <v>373</v>
      </c>
      <c r="E173" s="75">
        <v>0</v>
      </c>
      <c r="F173" s="394">
        <v>0</v>
      </c>
      <c r="G173" s="233">
        <v>0</v>
      </c>
      <c r="H173" s="394">
        <v>0</v>
      </c>
      <c r="I173" s="233">
        <v>0</v>
      </c>
      <c r="J173" s="394">
        <v>0</v>
      </c>
      <c r="K173" s="233">
        <v>0</v>
      </c>
      <c r="L173" s="394">
        <v>0</v>
      </c>
      <c r="M173" s="233">
        <v>0</v>
      </c>
      <c r="N173" s="394">
        <v>0</v>
      </c>
      <c r="O173" s="73">
        <v>0</v>
      </c>
      <c r="P173" s="394">
        <v>0</v>
      </c>
      <c r="Q173" s="76">
        <v>5550</v>
      </c>
      <c r="R173" s="396">
        <v>0</v>
      </c>
      <c r="S173" s="73"/>
      <c r="T173" s="396"/>
      <c r="U173" s="73"/>
      <c r="V173" s="396"/>
      <c r="W173" s="73"/>
      <c r="X173" s="396"/>
      <c r="Y173" s="73"/>
      <c r="Z173" s="396"/>
      <c r="AA173" s="73"/>
      <c r="AB173" s="396"/>
      <c r="AC173" s="76">
        <f t="shared" si="3"/>
        <v>5550</v>
      </c>
      <c r="AD173" s="396">
        <f t="shared" si="3"/>
        <v>0</v>
      </c>
    </row>
    <row r="174" spans="1:30" ht="16" x14ac:dyDescent="0.2">
      <c r="A174" s="393"/>
      <c r="B174" s="234" t="s">
        <v>155</v>
      </c>
      <c r="C174" s="73" t="s">
        <v>155</v>
      </c>
      <c r="D174" s="74" t="s">
        <v>374</v>
      </c>
      <c r="E174" s="75">
        <v>0</v>
      </c>
      <c r="F174" s="395"/>
      <c r="G174" s="233">
        <v>0</v>
      </c>
      <c r="H174" s="395"/>
      <c r="I174" s="233">
        <v>0</v>
      </c>
      <c r="J174" s="395"/>
      <c r="K174" s="233">
        <v>0</v>
      </c>
      <c r="L174" s="395"/>
      <c r="M174" s="233">
        <v>0</v>
      </c>
      <c r="N174" s="395"/>
      <c r="O174" s="73">
        <v>0</v>
      </c>
      <c r="P174" s="395"/>
      <c r="Q174" s="76">
        <v>6400</v>
      </c>
      <c r="R174" s="396"/>
      <c r="S174" s="73"/>
      <c r="T174" s="396"/>
      <c r="U174" s="73"/>
      <c r="V174" s="396"/>
      <c r="W174" s="73"/>
      <c r="X174" s="396"/>
      <c r="Y174" s="73"/>
      <c r="Z174" s="396"/>
      <c r="AA174" s="73"/>
      <c r="AB174" s="396"/>
      <c r="AC174" s="76">
        <f t="shared" si="3"/>
        <v>6400</v>
      </c>
      <c r="AD174" s="396">
        <f t="shared" si="3"/>
        <v>0</v>
      </c>
    </row>
    <row r="175" spans="1:30" ht="16" x14ac:dyDescent="0.2">
      <c r="A175" s="393">
        <v>86</v>
      </c>
      <c r="B175" s="232" t="s">
        <v>155</v>
      </c>
      <c r="C175" s="73" t="s">
        <v>157</v>
      </c>
      <c r="D175" s="74" t="s">
        <v>373</v>
      </c>
      <c r="E175" s="75">
        <v>0</v>
      </c>
      <c r="F175" s="394">
        <v>0</v>
      </c>
      <c r="G175" s="233">
        <v>0</v>
      </c>
      <c r="H175" s="394">
        <v>0</v>
      </c>
      <c r="I175" s="233">
        <v>0</v>
      </c>
      <c r="J175" s="394">
        <v>0</v>
      </c>
      <c r="K175" s="233">
        <v>0</v>
      </c>
      <c r="L175" s="394">
        <v>0</v>
      </c>
      <c r="M175" s="233">
        <v>0</v>
      </c>
      <c r="N175" s="394">
        <v>0</v>
      </c>
      <c r="O175" s="73">
        <v>0</v>
      </c>
      <c r="P175" s="394">
        <v>0</v>
      </c>
      <c r="Q175" s="76">
        <v>2550</v>
      </c>
      <c r="R175" s="396">
        <v>0</v>
      </c>
      <c r="S175" s="73"/>
      <c r="T175" s="396"/>
      <c r="U175" s="73"/>
      <c r="V175" s="396"/>
      <c r="W175" s="73"/>
      <c r="X175" s="396"/>
      <c r="Y175" s="73"/>
      <c r="Z175" s="396"/>
      <c r="AA175" s="73"/>
      <c r="AB175" s="396"/>
      <c r="AC175" s="76">
        <f t="shared" si="3"/>
        <v>2550</v>
      </c>
      <c r="AD175" s="396">
        <f t="shared" si="3"/>
        <v>0</v>
      </c>
    </row>
    <row r="176" spans="1:30" ht="16" x14ac:dyDescent="0.2">
      <c r="A176" s="393"/>
      <c r="B176" s="234" t="s">
        <v>155</v>
      </c>
      <c r="C176" s="73" t="s">
        <v>157</v>
      </c>
      <c r="D176" s="74" t="s">
        <v>374</v>
      </c>
      <c r="E176" s="75">
        <v>0</v>
      </c>
      <c r="F176" s="395"/>
      <c r="G176" s="233">
        <v>0</v>
      </c>
      <c r="H176" s="395"/>
      <c r="I176" s="233">
        <v>0</v>
      </c>
      <c r="J176" s="395"/>
      <c r="K176" s="233">
        <v>0</v>
      </c>
      <c r="L176" s="395"/>
      <c r="M176" s="233">
        <v>0</v>
      </c>
      <c r="N176" s="395"/>
      <c r="O176" s="73">
        <v>0</v>
      </c>
      <c r="P176" s="395"/>
      <c r="Q176" s="76">
        <v>3400</v>
      </c>
      <c r="R176" s="396"/>
      <c r="S176" s="73"/>
      <c r="T176" s="396"/>
      <c r="U176" s="73"/>
      <c r="V176" s="396"/>
      <c r="W176" s="73"/>
      <c r="X176" s="396"/>
      <c r="Y176" s="73"/>
      <c r="Z176" s="396"/>
      <c r="AA176" s="73"/>
      <c r="AB176" s="396"/>
      <c r="AC176" s="76">
        <f t="shared" si="3"/>
        <v>3400</v>
      </c>
      <c r="AD176" s="396">
        <f t="shared" si="3"/>
        <v>0</v>
      </c>
    </row>
    <row r="177" spans="1:30" ht="16" x14ac:dyDescent="0.2">
      <c r="A177" s="388">
        <v>87</v>
      </c>
      <c r="B177" s="230" t="s">
        <v>155</v>
      </c>
      <c r="C177" s="67" t="s">
        <v>156</v>
      </c>
      <c r="D177" s="68" t="s">
        <v>373</v>
      </c>
      <c r="E177" s="69">
        <v>1600</v>
      </c>
      <c r="F177" s="389">
        <v>0</v>
      </c>
      <c r="G177" s="69">
        <v>1550</v>
      </c>
      <c r="H177" s="389">
        <v>89700</v>
      </c>
      <c r="I177" s="69">
        <v>2200</v>
      </c>
      <c r="J177" s="389">
        <v>81487.5</v>
      </c>
      <c r="K177" s="69">
        <v>1425</v>
      </c>
      <c r="L177" s="387">
        <v>237118.5</v>
      </c>
      <c r="M177" s="70">
        <v>1500</v>
      </c>
      <c r="N177" s="387">
        <v>137355.75</v>
      </c>
      <c r="O177" s="67">
        <v>1575</v>
      </c>
      <c r="P177" s="387">
        <v>144585</v>
      </c>
      <c r="Q177" s="71">
        <v>1725</v>
      </c>
      <c r="R177" s="389">
        <v>151814.25</v>
      </c>
      <c r="S177" s="67"/>
      <c r="T177" s="389"/>
      <c r="U177" s="67"/>
      <c r="V177" s="389"/>
      <c r="W177" s="67"/>
      <c r="X177" s="389"/>
      <c r="Y177" s="67"/>
      <c r="Z177" s="389"/>
      <c r="AA177" s="67"/>
      <c r="AB177" s="389"/>
      <c r="AC177" s="71">
        <f t="shared" si="3"/>
        <v>11575</v>
      </c>
      <c r="AD177" s="389">
        <f t="shared" si="3"/>
        <v>842061</v>
      </c>
    </row>
    <row r="178" spans="1:30" ht="16" x14ac:dyDescent="0.2">
      <c r="A178" s="388"/>
      <c r="B178" s="231" t="s">
        <v>155</v>
      </c>
      <c r="C178" s="67" t="s">
        <v>156</v>
      </c>
      <c r="D178" s="68" t="s">
        <v>374</v>
      </c>
      <c r="E178" s="69">
        <v>2550</v>
      </c>
      <c r="F178" s="389"/>
      <c r="G178" s="69">
        <v>3000</v>
      </c>
      <c r="H178" s="389"/>
      <c r="I178" s="69">
        <v>3300</v>
      </c>
      <c r="J178" s="389"/>
      <c r="K178" s="69">
        <v>2850</v>
      </c>
      <c r="L178" s="390"/>
      <c r="M178" s="70">
        <v>3000</v>
      </c>
      <c r="N178" s="390"/>
      <c r="O178" s="67">
        <v>3150</v>
      </c>
      <c r="P178" s="390"/>
      <c r="Q178" s="71">
        <v>3450</v>
      </c>
      <c r="R178" s="389"/>
      <c r="S178" s="67"/>
      <c r="T178" s="389"/>
      <c r="U178" s="67"/>
      <c r="V178" s="389"/>
      <c r="W178" s="67"/>
      <c r="X178" s="389"/>
      <c r="Y178" s="67"/>
      <c r="Z178" s="389"/>
      <c r="AA178" s="67"/>
      <c r="AB178" s="389"/>
      <c r="AC178" s="71">
        <f t="shared" si="3"/>
        <v>21300</v>
      </c>
      <c r="AD178" s="389">
        <f t="shared" si="3"/>
        <v>0</v>
      </c>
    </row>
    <row r="179" spans="1:30" ht="16" x14ac:dyDescent="0.2">
      <c r="A179" s="388">
        <v>88</v>
      </c>
      <c r="B179" s="230" t="s">
        <v>155</v>
      </c>
      <c r="C179" s="67" t="s">
        <v>158</v>
      </c>
      <c r="D179" s="68" t="s">
        <v>373</v>
      </c>
      <c r="E179" s="69">
        <v>0</v>
      </c>
      <c r="F179" s="389">
        <v>0</v>
      </c>
      <c r="G179" s="71">
        <v>0</v>
      </c>
      <c r="H179" s="389">
        <v>0</v>
      </c>
      <c r="I179" s="69">
        <v>0</v>
      </c>
      <c r="J179" s="389">
        <v>0</v>
      </c>
      <c r="K179" s="70">
        <v>900</v>
      </c>
      <c r="L179" s="387">
        <v>0</v>
      </c>
      <c r="M179" s="70">
        <v>2000</v>
      </c>
      <c r="N179" s="387">
        <v>71137.350000000006</v>
      </c>
      <c r="O179" s="67">
        <v>2100</v>
      </c>
      <c r="P179" s="387">
        <v>159630</v>
      </c>
      <c r="Q179" s="71">
        <v>2300</v>
      </c>
      <c r="R179" s="389">
        <v>166782.74999999997</v>
      </c>
      <c r="S179" s="67"/>
      <c r="T179" s="389"/>
      <c r="U179" s="67"/>
      <c r="V179" s="389"/>
      <c r="W179" s="67"/>
      <c r="X179" s="389"/>
      <c r="Y179" s="67"/>
      <c r="Z179" s="389"/>
      <c r="AA179" s="67"/>
      <c r="AB179" s="389"/>
      <c r="AC179" s="71">
        <f t="shared" si="3"/>
        <v>7300</v>
      </c>
      <c r="AD179" s="389">
        <f t="shared" si="3"/>
        <v>397550.1</v>
      </c>
    </row>
    <row r="180" spans="1:30" ht="16" x14ac:dyDescent="0.2">
      <c r="A180" s="388"/>
      <c r="B180" s="231" t="s">
        <v>155</v>
      </c>
      <c r="C180" s="67" t="s">
        <v>158</v>
      </c>
      <c r="D180" s="68" t="s">
        <v>374</v>
      </c>
      <c r="E180" s="69">
        <v>0</v>
      </c>
      <c r="F180" s="389"/>
      <c r="G180" s="71">
        <v>0</v>
      </c>
      <c r="H180" s="389"/>
      <c r="I180" s="69">
        <v>0</v>
      </c>
      <c r="J180" s="389"/>
      <c r="K180" s="70">
        <v>1329</v>
      </c>
      <c r="L180" s="390"/>
      <c r="M180" s="70">
        <v>3000</v>
      </c>
      <c r="N180" s="390"/>
      <c r="O180" s="67">
        <v>3125</v>
      </c>
      <c r="P180" s="390"/>
      <c r="Q180" s="71">
        <v>3450</v>
      </c>
      <c r="R180" s="389"/>
      <c r="S180" s="67"/>
      <c r="T180" s="389"/>
      <c r="U180" s="67"/>
      <c r="V180" s="389"/>
      <c r="W180" s="67"/>
      <c r="X180" s="389"/>
      <c r="Y180" s="67"/>
      <c r="Z180" s="389"/>
      <c r="AA180" s="67"/>
      <c r="AB180" s="389"/>
      <c r="AC180" s="71">
        <f t="shared" si="3"/>
        <v>10904</v>
      </c>
      <c r="AD180" s="389">
        <f t="shared" si="3"/>
        <v>0</v>
      </c>
    </row>
    <row r="181" spans="1:30" ht="16" x14ac:dyDescent="0.2">
      <c r="A181" s="388">
        <v>89</v>
      </c>
      <c r="B181" s="230" t="s">
        <v>155</v>
      </c>
      <c r="C181" s="67" t="s">
        <v>159</v>
      </c>
      <c r="D181" s="68" t="s">
        <v>373</v>
      </c>
      <c r="E181" s="69">
        <v>2000</v>
      </c>
      <c r="F181" s="389">
        <v>0</v>
      </c>
      <c r="G181" s="71">
        <v>2000</v>
      </c>
      <c r="H181" s="389">
        <v>84490</v>
      </c>
      <c r="I181" s="69">
        <v>2200</v>
      </c>
      <c r="J181" s="389">
        <v>65040</v>
      </c>
      <c r="K181" s="70">
        <v>1900</v>
      </c>
      <c r="L181" s="387">
        <v>267463</v>
      </c>
      <c r="M181" s="70">
        <v>2000</v>
      </c>
      <c r="N181" s="387">
        <v>151648.5</v>
      </c>
      <c r="O181" s="67">
        <v>2100</v>
      </c>
      <c r="P181" s="387">
        <v>157442.09999999998</v>
      </c>
      <c r="Q181" s="71">
        <v>2300</v>
      </c>
      <c r="R181" s="389">
        <v>167611.5</v>
      </c>
      <c r="S181" s="67"/>
      <c r="T181" s="389"/>
      <c r="U181" s="67"/>
      <c r="V181" s="389"/>
      <c r="W181" s="67"/>
      <c r="X181" s="389"/>
      <c r="Y181" s="67"/>
      <c r="Z181" s="389"/>
      <c r="AA181" s="67"/>
      <c r="AB181" s="389"/>
      <c r="AC181" s="71">
        <f t="shared" si="3"/>
        <v>14500</v>
      </c>
      <c r="AD181" s="389">
        <f t="shared" si="3"/>
        <v>893695.1</v>
      </c>
    </row>
    <row r="182" spans="1:30" ht="16" x14ac:dyDescent="0.2">
      <c r="A182" s="388"/>
      <c r="B182" s="231" t="s">
        <v>155</v>
      </c>
      <c r="C182" s="67" t="s">
        <v>159</v>
      </c>
      <c r="D182" s="68" t="s">
        <v>374</v>
      </c>
      <c r="E182" s="69">
        <v>3000</v>
      </c>
      <c r="F182" s="389"/>
      <c r="G182" s="71">
        <v>3000</v>
      </c>
      <c r="H182" s="389"/>
      <c r="I182" s="69">
        <v>3300</v>
      </c>
      <c r="J182" s="389"/>
      <c r="K182" s="70">
        <v>2850</v>
      </c>
      <c r="L182" s="390"/>
      <c r="M182" s="70">
        <v>2934</v>
      </c>
      <c r="N182" s="390"/>
      <c r="O182" s="67">
        <v>3150</v>
      </c>
      <c r="P182" s="390"/>
      <c r="Q182" s="71">
        <v>3450</v>
      </c>
      <c r="R182" s="389"/>
      <c r="S182" s="67"/>
      <c r="T182" s="389"/>
      <c r="U182" s="67"/>
      <c r="V182" s="389"/>
      <c r="W182" s="67"/>
      <c r="X182" s="389"/>
      <c r="Y182" s="67"/>
      <c r="Z182" s="389"/>
      <c r="AA182" s="67"/>
      <c r="AB182" s="389"/>
      <c r="AC182" s="71">
        <f t="shared" si="3"/>
        <v>21684</v>
      </c>
      <c r="AD182" s="389">
        <f t="shared" si="3"/>
        <v>0</v>
      </c>
    </row>
    <row r="183" spans="1:30" ht="16" x14ac:dyDescent="0.2">
      <c r="A183" s="388">
        <v>90</v>
      </c>
      <c r="B183" s="230" t="s">
        <v>155</v>
      </c>
      <c r="C183" s="67" t="s">
        <v>399</v>
      </c>
      <c r="D183" s="68" t="s">
        <v>373</v>
      </c>
      <c r="E183" s="69">
        <v>0</v>
      </c>
      <c r="F183" s="389">
        <v>0</v>
      </c>
      <c r="G183" s="69">
        <v>0</v>
      </c>
      <c r="H183" s="389">
        <v>0</v>
      </c>
      <c r="I183" s="69">
        <v>0</v>
      </c>
      <c r="J183" s="389">
        <v>0</v>
      </c>
      <c r="K183" s="69">
        <v>0</v>
      </c>
      <c r="L183" s="389">
        <v>0</v>
      </c>
      <c r="M183" s="69">
        <v>0</v>
      </c>
      <c r="N183" s="389">
        <v>0</v>
      </c>
      <c r="O183" s="67">
        <v>1300</v>
      </c>
      <c r="P183" s="387">
        <v>0</v>
      </c>
      <c r="Q183" s="71">
        <v>2300</v>
      </c>
      <c r="R183" s="389">
        <v>103759.5</v>
      </c>
      <c r="S183" s="67"/>
      <c r="T183" s="389"/>
      <c r="U183" s="67"/>
      <c r="V183" s="389"/>
      <c r="W183" s="67"/>
      <c r="X183" s="389"/>
      <c r="Y183" s="67"/>
      <c r="Z183" s="389"/>
      <c r="AA183" s="67"/>
      <c r="AB183" s="389"/>
      <c r="AC183" s="71">
        <f t="shared" si="3"/>
        <v>3600</v>
      </c>
      <c r="AD183" s="389">
        <f t="shared" si="3"/>
        <v>103759.5</v>
      </c>
    </row>
    <row r="184" spans="1:30" ht="16" x14ac:dyDescent="0.2">
      <c r="A184" s="388"/>
      <c r="B184" s="231" t="s">
        <v>155</v>
      </c>
      <c r="C184" s="67" t="s">
        <v>399</v>
      </c>
      <c r="D184" s="68" t="s">
        <v>374</v>
      </c>
      <c r="E184" s="69">
        <v>0</v>
      </c>
      <c r="F184" s="389"/>
      <c r="G184" s="69">
        <v>0</v>
      </c>
      <c r="H184" s="389"/>
      <c r="I184" s="69">
        <v>0</v>
      </c>
      <c r="J184" s="389"/>
      <c r="K184" s="69">
        <v>0</v>
      </c>
      <c r="L184" s="389"/>
      <c r="M184" s="69">
        <v>0</v>
      </c>
      <c r="N184" s="389"/>
      <c r="O184" s="67">
        <v>1950</v>
      </c>
      <c r="P184" s="390"/>
      <c r="Q184" s="71">
        <v>3450</v>
      </c>
      <c r="R184" s="389"/>
      <c r="S184" s="67"/>
      <c r="T184" s="389"/>
      <c r="U184" s="67"/>
      <c r="V184" s="389"/>
      <c r="W184" s="67"/>
      <c r="X184" s="389"/>
      <c r="Y184" s="67"/>
      <c r="Z184" s="389"/>
      <c r="AA184" s="67"/>
      <c r="AB184" s="389"/>
      <c r="AC184" s="71">
        <f t="shared" si="3"/>
        <v>5400</v>
      </c>
      <c r="AD184" s="389">
        <f t="shared" si="3"/>
        <v>0</v>
      </c>
    </row>
    <row r="185" spans="1:30" ht="16" x14ac:dyDescent="0.2">
      <c r="A185" s="388">
        <v>91</v>
      </c>
      <c r="B185" s="230" t="s">
        <v>155</v>
      </c>
      <c r="C185" s="67" t="s">
        <v>161</v>
      </c>
      <c r="D185" s="68" t="s">
        <v>373</v>
      </c>
      <c r="E185" s="69">
        <v>2560</v>
      </c>
      <c r="F185" s="389">
        <v>0</v>
      </c>
      <c r="G185" s="71">
        <v>3200</v>
      </c>
      <c r="H185" s="389">
        <f>89700+83610</f>
        <v>173310</v>
      </c>
      <c r="I185" s="69">
        <v>3520</v>
      </c>
      <c r="J185" s="389">
        <v>167220</v>
      </c>
      <c r="K185" s="70">
        <v>3040</v>
      </c>
      <c r="L185" s="387">
        <v>259069.80000000005</v>
      </c>
      <c r="M185" s="70">
        <v>3200</v>
      </c>
      <c r="N185" s="387">
        <v>223742.1</v>
      </c>
      <c r="O185" s="67">
        <v>3360</v>
      </c>
      <c r="P185" s="387">
        <v>228092.40000000002</v>
      </c>
      <c r="Q185" s="71">
        <v>3680</v>
      </c>
      <c r="R185" s="389">
        <v>247293.89999999991</v>
      </c>
      <c r="S185" s="67"/>
      <c r="T185" s="389"/>
      <c r="U185" s="67"/>
      <c r="V185" s="389"/>
      <c r="W185" s="67"/>
      <c r="X185" s="389"/>
      <c r="Y185" s="67"/>
      <c r="Z185" s="389"/>
      <c r="AA185" s="67"/>
      <c r="AB185" s="389"/>
      <c r="AC185" s="71">
        <f t="shared" si="3"/>
        <v>22560</v>
      </c>
      <c r="AD185" s="389">
        <f t="shared" si="3"/>
        <v>1298728.2</v>
      </c>
    </row>
    <row r="186" spans="1:30" ht="16" x14ac:dyDescent="0.2">
      <c r="A186" s="388"/>
      <c r="B186" s="231" t="s">
        <v>155</v>
      </c>
      <c r="C186" s="67" t="s">
        <v>161</v>
      </c>
      <c r="D186" s="68" t="s">
        <v>374</v>
      </c>
      <c r="E186" s="69">
        <v>3570</v>
      </c>
      <c r="F186" s="389"/>
      <c r="G186" s="71">
        <v>4200</v>
      </c>
      <c r="H186" s="389"/>
      <c r="I186" s="69">
        <v>4620</v>
      </c>
      <c r="J186" s="389"/>
      <c r="K186" s="70">
        <v>3990</v>
      </c>
      <c r="L186" s="390"/>
      <c r="M186" s="70">
        <v>3976</v>
      </c>
      <c r="N186" s="390"/>
      <c r="O186" s="67">
        <v>4410</v>
      </c>
      <c r="P186" s="390"/>
      <c r="Q186" s="71">
        <v>4830</v>
      </c>
      <c r="R186" s="389"/>
      <c r="S186" s="67"/>
      <c r="T186" s="389"/>
      <c r="U186" s="67"/>
      <c r="V186" s="389"/>
      <c r="W186" s="67"/>
      <c r="X186" s="389"/>
      <c r="Y186" s="67"/>
      <c r="Z186" s="389"/>
      <c r="AA186" s="67"/>
      <c r="AB186" s="389"/>
      <c r="AC186" s="71">
        <f t="shared" si="3"/>
        <v>29596</v>
      </c>
      <c r="AD186" s="389">
        <f t="shared" si="3"/>
        <v>0</v>
      </c>
    </row>
    <row r="187" spans="1:30" ht="16" x14ac:dyDescent="0.2">
      <c r="A187" s="388">
        <v>92</v>
      </c>
      <c r="B187" s="230" t="s">
        <v>162</v>
      </c>
      <c r="C187" s="67" t="s">
        <v>166</v>
      </c>
      <c r="D187" s="68" t="s">
        <v>373</v>
      </c>
      <c r="E187" s="69">
        <v>1200</v>
      </c>
      <c r="F187" s="389">
        <v>0</v>
      </c>
      <c r="G187" s="71">
        <v>1500</v>
      </c>
      <c r="H187" s="389">
        <v>89025</v>
      </c>
      <c r="I187" s="69">
        <v>1650</v>
      </c>
      <c r="J187" s="389">
        <v>106500</v>
      </c>
      <c r="K187" s="70">
        <v>1425</v>
      </c>
      <c r="L187" s="387">
        <v>159043.5</v>
      </c>
      <c r="M187" s="70">
        <v>1500</v>
      </c>
      <c r="N187" s="387">
        <v>137355.75</v>
      </c>
      <c r="O187" s="67">
        <v>1575</v>
      </c>
      <c r="P187" s="387">
        <v>144585</v>
      </c>
      <c r="Q187" s="71">
        <v>1725</v>
      </c>
      <c r="R187" s="389">
        <v>151814.25</v>
      </c>
      <c r="S187" s="67"/>
      <c r="T187" s="389"/>
      <c r="U187" s="67"/>
      <c r="V187" s="389"/>
      <c r="W187" s="67"/>
      <c r="X187" s="389"/>
      <c r="Y187" s="67"/>
      <c r="Z187" s="389"/>
      <c r="AA187" s="67"/>
      <c r="AB187" s="389"/>
      <c r="AC187" s="71">
        <f t="shared" si="3"/>
        <v>10575</v>
      </c>
      <c r="AD187" s="389">
        <f t="shared" si="3"/>
        <v>788323.5</v>
      </c>
    </row>
    <row r="188" spans="1:30" ht="16" x14ac:dyDescent="0.2">
      <c r="A188" s="388"/>
      <c r="B188" s="231" t="s">
        <v>162</v>
      </c>
      <c r="C188" s="67" t="s">
        <v>166</v>
      </c>
      <c r="D188" s="68" t="s">
        <v>374</v>
      </c>
      <c r="E188" s="69">
        <v>2550</v>
      </c>
      <c r="F188" s="389"/>
      <c r="G188" s="71">
        <v>3000</v>
      </c>
      <c r="H188" s="389"/>
      <c r="I188" s="69">
        <v>3300</v>
      </c>
      <c r="J188" s="389"/>
      <c r="K188" s="70">
        <v>2850</v>
      </c>
      <c r="L188" s="390"/>
      <c r="M188" s="70">
        <v>3000</v>
      </c>
      <c r="N188" s="390"/>
      <c r="O188" s="67">
        <v>3150</v>
      </c>
      <c r="P188" s="390"/>
      <c r="Q188" s="71">
        <v>3450</v>
      </c>
      <c r="R188" s="389"/>
      <c r="S188" s="67"/>
      <c r="T188" s="389"/>
      <c r="U188" s="67"/>
      <c r="V188" s="389"/>
      <c r="W188" s="67"/>
      <c r="X188" s="389"/>
      <c r="Y188" s="67"/>
      <c r="Z188" s="389"/>
      <c r="AA188" s="67"/>
      <c r="AB188" s="389"/>
      <c r="AC188" s="71">
        <f t="shared" si="3"/>
        <v>21300</v>
      </c>
      <c r="AD188" s="389">
        <f t="shared" si="3"/>
        <v>0</v>
      </c>
    </row>
    <row r="189" spans="1:30" ht="16" x14ac:dyDescent="0.2">
      <c r="A189" s="388">
        <v>93</v>
      </c>
      <c r="B189" s="230" t="s">
        <v>162</v>
      </c>
      <c r="C189" s="67" t="s">
        <v>167</v>
      </c>
      <c r="D189" s="68" t="s">
        <v>373</v>
      </c>
      <c r="E189" s="69">
        <v>1600</v>
      </c>
      <c r="F189" s="389">
        <v>0</v>
      </c>
      <c r="G189" s="69">
        <v>2000</v>
      </c>
      <c r="H189" s="389">
        <v>89650</v>
      </c>
      <c r="I189" s="69">
        <v>2200</v>
      </c>
      <c r="J189" s="389">
        <v>191250</v>
      </c>
      <c r="K189" s="69">
        <v>1900</v>
      </c>
      <c r="L189" s="387">
        <v>212058</v>
      </c>
      <c r="M189" s="69">
        <v>2000</v>
      </c>
      <c r="N189" s="389">
        <v>183141</v>
      </c>
      <c r="O189" s="69">
        <v>2100</v>
      </c>
      <c r="P189" s="389">
        <v>192780</v>
      </c>
      <c r="Q189" s="69">
        <v>1100</v>
      </c>
      <c r="R189" s="389">
        <v>202419</v>
      </c>
      <c r="S189" s="69"/>
      <c r="T189" s="389"/>
      <c r="U189" s="67"/>
      <c r="V189" s="389"/>
      <c r="W189" s="67"/>
      <c r="X189" s="389"/>
      <c r="Y189" s="67"/>
      <c r="Z189" s="389"/>
      <c r="AA189" s="67"/>
      <c r="AB189" s="389"/>
      <c r="AC189" s="71">
        <f t="shared" si="3"/>
        <v>12900</v>
      </c>
      <c r="AD189" s="389">
        <f t="shared" si="3"/>
        <v>1071298</v>
      </c>
    </row>
    <row r="190" spans="1:30" ht="16" x14ac:dyDescent="0.2">
      <c r="A190" s="388"/>
      <c r="B190" s="231" t="s">
        <v>162</v>
      </c>
      <c r="C190" s="67" t="s">
        <v>167</v>
      </c>
      <c r="D190" s="68" t="s">
        <v>374</v>
      </c>
      <c r="E190" s="69">
        <v>3400</v>
      </c>
      <c r="F190" s="389"/>
      <c r="G190" s="69">
        <v>4000</v>
      </c>
      <c r="H190" s="389"/>
      <c r="I190" s="69">
        <v>4400</v>
      </c>
      <c r="J190" s="389"/>
      <c r="K190" s="69">
        <v>3800</v>
      </c>
      <c r="L190" s="390"/>
      <c r="M190" s="69">
        <v>4000</v>
      </c>
      <c r="N190" s="389"/>
      <c r="O190" s="69">
        <v>4200</v>
      </c>
      <c r="P190" s="389"/>
      <c r="Q190" s="69">
        <v>2200</v>
      </c>
      <c r="R190" s="389"/>
      <c r="S190" s="69"/>
      <c r="T190" s="389"/>
      <c r="U190" s="67"/>
      <c r="V190" s="389"/>
      <c r="W190" s="67"/>
      <c r="X190" s="389"/>
      <c r="Y190" s="67"/>
      <c r="Z190" s="389"/>
      <c r="AA190" s="67"/>
      <c r="AB190" s="389"/>
      <c r="AC190" s="71">
        <f t="shared" si="3"/>
        <v>26000</v>
      </c>
      <c r="AD190" s="389">
        <f t="shared" si="3"/>
        <v>0</v>
      </c>
    </row>
    <row r="191" spans="1:30" ht="16" x14ac:dyDescent="0.2">
      <c r="A191" s="388">
        <v>94</v>
      </c>
      <c r="B191" s="230" t="s">
        <v>162</v>
      </c>
      <c r="C191" s="67" t="s">
        <v>168</v>
      </c>
      <c r="D191" s="68" t="s">
        <v>373</v>
      </c>
      <c r="E191" s="69">
        <v>2400</v>
      </c>
      <c r="F191" s="389">
        <v>0</v>
      </c>
      <c r="G191" s="71">
        <v>2950</v>
      </c>
      <c r="H191" s="389">
        <v>89925</v>
      </c>
      <c r="I191" s="69">
        <v>2200</v>
      </c>
      <c r="J191" s="389">
        <v>183750</v>
      </c>
      <c r="K191" s="70">
        <v>1900</v>
      </c>
      <c r="L191" s="387">
        <v>175593</v>
      </c>
      <c r="M191" s="70">
        <v>2000</v>
      </c>
      <c r="N191" s="387">
        <v>151648.5</v>
      </c>
      <c r="O191" s="67">
        <v>2100</v>
      </c>
      <c r="P191" s="387">
        <v>159630</v>
      </c>
      <c r="Q191" s="71">
        <v>2300</v>
      </c>
      <c r="R191" s="389">
        <v>167611.5</v>
      </c>
      <c r="S191" s="67"/>
      <c r="T191" s="389"/>
      <c r="U191" s="67"/>
      <c r="V191" s="389"/>
      <c r="W191" s="67"/>
      <c r="X191" s="389"/>
      <c r="Y191" s="67"/>
      <c r="Z191" s="389"/>
      <c r="AA191" s="67"/>
      <c r="AB191" s="389"/>
      <c r="AC191" s="71">
        <f t="shared" si="3"/>
        <v>15850</v>
      </c>
      <c r="AD191" s="389">
        <f t="shared" si="3"/>
        <v>928158</v>
      </c>
    </row>
    <row r="192" spans="1:30" ht="16" x14ac:dyDescent="0.2">
      <c r="A192" s="388"/>
      <c r="B192" s="231" t="s">
        <v>162</v>
      </c>
      <c r="C192" s="67" t="s">
        <v>168</v>
      </c>
      <c r="D192" s="68" t="s">
        <v>374</v>
      </c>
      <c r="E192" s="69">
        <v>2550</v>
      </c>
      <c r="F192" s="389"/>
      <c r="G192" s="71">
        <v>3000</v>
      </c>
      <c r="H192" s="389"/>
      <c r="I192" s="69">
        <v>3300</v>
      </c>
      <c r="J192" s="389"/>
      <c r="K192" s="70">
        <v>2850</v>
      </c>
      <c r="L192" s="390"/>
      <c r="M192" s="70">
        <v>3000</v>
      </c>
      <c r="N192" s="390"/>
      <c r="O192" s="67">
        <v>3150</v>
      </c>
      <c r="P192" s="390"/>
      <c r="Q192" s="71">
        <v>3450</v>
      </c>
      <c r="R192" s="389"/>
      <c r="S192" s="67"/>
      <c r="T192" s="389"/>
      <c r="U192" s="67"/>
      <c r="V192" s="389"/>
      <c r="W192" s="67"/>
      <c r="X192" s="389"/>
      <c r="Y192" s="67"/>
      <c r="Z192" s="389"/>
      <c r="AA192" s="67"/>
      <c r="AB192" s="389"/>
      <c r="AC192" s="71">
        <f t="shared" si="3"/>
        <v>21300</v>
      </c>
      <c r="AD192" s="389">
        <f t="shared" si="3"/>
        <v>0</v>
      </c>
    </row>
    <row r="193" spans="1:30" ht="16" x14ac:dyDescent="0.2">
      <c r="A193" s="388">
        <v>95</v>
      </c>
      <c r="B193" s="230" t="s">
        <v>162</v>
      </c>
      <c r="C193" s="67" t="s">
        <v>169</v>
      </c>
      <c r="D193" s="68" t="s">
        <v>373</v>
      </c>
      <c r="E193" s="69">
        <v>0</v>
      </c>
      <c r="F193" s="389">
        <v>0</v>
      </c>
      <c r="G193" s="71">
        <v>0</v>
      </c>
      <c r="H193" s="389">
        <v>0</v>
      </c>
      <c r="I193" s="69">
        <v>1700</v>
      </c>
      <c r="J193" s="389">
        <v>0</v>
      </c>
      <c r="K193" s="70">
        <v>1900</v>
      </c>
      <c r="L193" s="387">
        <v>132676.5</v>
      </c>
      <c r="M193" s="70">
        <v>2000</v>
      </c>
      <c r="N193" s="387">
        <v>151648.5</v>
      </c>
      <c r="O193" s="67">
        <v>2100</v>
      </c>
      <c r="P193" s="387">
        <v>159630</v>
      </c>
      <c r="Q193" s="71">
        <v>2300</v>
      </c>
      <c r="R193" s="389">
        <v>167611.5</v>
      </c>
      <c r="S193" s="67"/>
      <c r="T193" s="389"/>
      <c r="U193" s="67"/>
      <c r="V193" s="389"/>
      <c r="W193" s="67"/>
      <c r="X193" s="389"/>
      <c r="Y193" s="67"/>
      <c r="Z193" s="389"/>
      <c r="AA193" s="67"/>
      <c r="AB193" s="389"/>
      <c r="AC193" s="71">
        <f t="shared" si="3"/>
        <v>10000</v>
      </c>
      <c r="AD193" s="389">
        <f t="shared" si="3"/>
        <v>611566.5</v>
      </c>
    </row>
    <row r="194" spans="1:30" ht="16" x14ac:dyDescent="0.2">
      <c r="A194" s="388"/>
      <c r="B194" s="231" t="s">
        <v>162</v>
      </c>
      <c r="C194" s="67" t="s">
        <v>169</v>
      </c>
      <c r="D194" s="68" t="s">
        <v>374</v>
      </c>
      <c r="E194" s="69">
        <v>0</v>
      </c>
      <c r="F194" s="389"/>
      <c r="G194" s="71">
        <v>0</v>
      </c>
      <c r="H194" s="389"/>
      <c r="I194" s="69">
        <v>2550</v>
      </c>
      <c r="J194" s="389"/>
      <c r="K194" s="70">
        <v>2850</v>
      </c>
      <c r="L194" s="390"/>
      <c r="M194" s="70">
        <v>3000</v>
      </c>
      <c r="N194" s="390"/>
      <c r="O194" s="67">
        <v>3150</v>
      </c>
      <c r="P194" s="390"/>
      <c r="Q194" s="71">
        <v>3300</v>
      </c>
      <c r="R194" s="389"/>
      <c r="S194" s="67"/>
      <c r="T194" s="389"/>
      <c r="U194" s="67"/>
      <c r="V194" s="389"/>
      <c r="W194" s="67"/>
      <c r="X194" s="389"/>
      <c r="Y194" s="67"/>
      <c r="Z194" s="389"/>
      <c r="AA194" s="67"/>
      <c r="AB194" s="389"/>
      <c r="AC194" s="71">
        <f t="shared" si="3"/>
        <v>14850</v>
      </c>
      <c r="AD194" s="389">
        <f t="shared" si="3"/>
        <v>0</v>
      </c>
    </row>
    <row r="195" spans="1:30" ht="16" x14ac:dyDescent="0.2">
      <c r="A195" s="393">
        <v>96</v>
      </c>
      <c r="B195" s="232" t="s">
        <v>162</v>
      </c>
      <c r="C195" s="73" t="s">
        <v>650</v>
      </c>
      <c r="D195" s="74" t="s">
        <v>373</v>
      </c>
      <c r="E195" s="75">
        <v>0</v>
      </c>
      <c r="F195" s="394">
        <v>0</v>
      </c>
      <c r="G195" s="233">
        <v>0</v>
      </c>
      <c r="H195" s="394">
        <v>0</v>
      </c>
      <c r="I195" s="233">
        <v>0</v>
      </c>
      <c r="J195" s="394">
        <v>0</v>
      </c>
      <c r="K195" s="233">
        <v>0</v>
      </c>
      <c r="L195" s="394">
        <v>0</v>
      </c>
      <c r="M195" s="233">
        <v>0</v>
      </c>
      <c r="N195" s="394">
        <v>0</v>
      </c>
      <c r="O195" s="73">
        <v>0</v>
      </c>
      <c r="P195" s="394">
        <v>0</v>
      </c>
      <c r="Q195" s="76">
        <v>800</v>
      </c>
      <c r="R195" s="396">
        <v>0</v>
      </c>
      <c r="S195" s="73"/>
      <c r="T195" s="396"/>
      <c r="U195" s="73"/>
      <c r="V195" s="396"/>
      <c r="W195" s="73"/>
      <c r="X195" s="396"/>
      <c r="Y195" s="73"/>
      <c r="Z195" s="396"/>
      <c r="AA195" s="73"/>
      <c r="AB195" s="396"/>
      <c r="AC195" s="76">
        <f t="shared" si="3"/>
        <v>800</v>
      </c>
      <c r="AD195" s="396">
        <f t="shared" si="3"/>
        <v>0</v>
      </c>
    </row>
    <row r="196" spans="1:30" ht="16" x14ac:dyDescent="0.2">
      <c r="A196" s="393"/>
      <c r="B196" s="234" t="s">
        <v>162</v>
      </c>
      <c r="C196" s="73" t="s">
        <v>650</v>
      </c>
      <c r="D196" s="74" t="s">
        <v>374</v>
      </c>
      <c r="E196" s="75">
        <v>0</v>
      </c>
      <c r="F196" s="395"/>
      <c r="G196" s="233">
        <v>0</v>
      </c>
      <c r="H196" s="395"/>
      <c r="I196" s="233">
        <v>0</v>
      </c>
      <c r="J196" s="395"/>
      <c r="K196" s="233">
        <v>0</v>
      </c>
      <c r="L196" s="395"/>
      <c r="M196" s="233">
        <v>0</v>
      </c>
      <c r="N196" s="395"/>
      <c r="O196" s="73">
        <v>0</v>
      </c>
      <c r="P196" s="395"/>
      <c r="Q196" s="76">
        <v>1200</v>
      </c>
      <c r="R196" s="396"/>
      <c r="S196" s="73"/>
      <c r="T196" s="396"/>
      <c r="U196" s="73"/>
      <c r="V196" s="396"/>
      <c r="W196" s="73"/>
      <c r="X196" s="396"/>
      <c r="Y196" s="73"/>
      <c r="Z196" s="396"/>
      <c r="AA196" s="73"/>
      <c r="AB196" s="396"/>
      <c r="AC196" s="76">
        <f t="shared" si="3"/>
        <v>1200</v>
      </c>
      <c r="AD196" s="396">
        <f t="shared" si="3"/>
        <v>0</v>
      </c>
    </row>
    <row r="197" spans="1:30" ht="16" x14ac:dyDescent="0.2">
      <c r="A197" s="393">
        <v>97</v>
      </c>
      <c r="B197" s="232" t="s">
        <v>162</v>
      </c>
      <c r="C197" s="73" t="s">
        <v>171</v>
      </c>
      <c r="D197" s="74" t="s">
        <v>373</v>
      </c>
      <c r="E197" s="75">
        <v>0</v>
      </c>
      <c r="F197" s="394">
        <v>0</v>
      </c>
      <c r="G197" s="233">
        <v>0</v>
      </c>
      <c r="H197" s="394">
        <v>0</v>
      </c>
      <c r="I197" s="233">
        <v>0</v>
      </c>
      <c r="J197" s="394">
        <v>0</v>
      </c>
      <c r="K197" s="233">
        <v>0</v>
      </c>
      <c r="L197" s="394">
        <v>0</v>
      </c>
      <c r="M197" s="233">
        <v>0</v>
      </c>
      <c r="N197" s="394">
        <v>0</v>
      </c>
      <c r="O197" s="73">
        <v>0</v>
      </c>
      <c r="P197" s="394">
        <v>0</v>
      </c>
      <c r="Q197" s="76">
        <v>2600</v>
      </c>
      <c r="R197" s="396">
        <v>0</v>
      </c>
      <c r="S197" s="73"/>
      <c r="T197" s="396"/>
      <c r="U197" s="73"/>
      <c r="V197" s="396"/>
      <c r="W197" s="73"/>
      <c r="X197" s="396"/>
      <c r="Y197" s="73"/>
      <c r="Z197" s="396"/>
      <c r="AA197" s="73"/>
      <c r="AB197" s="396"/>
      <c r="AC197" s="76">
        <f t="shared" si="3"/>
        <v>2600</v>
      </c>
      <c r="AD197" s="396">
        <f t="shared" si="3"/>
        <v>0</v>
      </c>
    </row>
    <row r="198" spans="1:30" ht="16" x14ac:dyDescent="0.2">
      <c r="A198" s="393"/>
      <c r="B198" s="234" t="s">
        <v>162</v>
      </c>
      <c r="C198" s="73" t="s">
        <v>171</v>
      </c>
      <c r="D198" s="74" t="s">
        <v>374</v>
      </c>
      <c r="E198" s="75">
        <v>0</v>
      </c>
      <c r="F198" s="395"/>
      <c r="G198" s="233">
        <v>0</v>
      </c>
      <c r="H198" s="395"/>
      <c r="I198" s="233">
        <v>0</v>
      </c>
      <c r="J198" s="395"/>
      <c r="K198" s="233">
        <v>0</v>
      </c>
      <c r="L198" s="395"/>
      <c r="M198" s="233">
        <v>0</v>
      </c>
      <c r="N198" s="395"/>
      <c r="O198" s="73">
        <v>0</v>
      </c>
      <c r="P198" s="395"/>
      <c r="Q198" s="76">
        <v>3250</v>
      </c>
      <c r="R198" s="396"/>
      <c r="S198" s="73"/>
      <c r="T198" s="396"/>
      <c r="U198" s="73"/>
      <c r="V198" s="396"/>
      <c r="W198" s="73"/>
      <c r="X198" s="396"/>
      <c r="Y198" s="73"/>
      <c r="Z198" s="396"/>
      <c r="AA198" s="73"/>
      <c r="AB198" s="396"/>
      <c r="AC198" s="76">
        <f t="shared" si="3"/>
        <v>3250</v>
      </c>
      <c r="AD198" s="396">
        <f t="shared" si="3"/>
        <v>0</v>
      </c>
    </row>
    <row r="199" spans="1:30" ht="16" x14ac:dyDescent="0.2">
      <c r="A199" s="393">
        <v>98</v>
      </c>
      <c r="B199" s="232" t="s">
        <v>162</v>
      </c>
      <c r="C199" s="73" t="s">
        <v>651</v>
      </c>
      <c r="D199" s="74" t="s">
        <v>373</v>
      </c>
      <c r="E199" s="75">
        <v>0</v>
      </c>
      <c r="F199" s="394">
        <v>0</v>
      </c>
      <c r="G199" s="233">
        <v>0</v>
      </c>
      <c r="H199" s="394">
        <v>0</v>
      </c>
      <c r="I199" s="233">
        <v>0</v>
      </c>
      <c r="J199" s="394">
        <v>0</v>
      </c>
      <c r="K199" s="233">
        <v>0</v>
      </c>
      <c r="L199" s="394">
        <v>0</v>
      </c>
      <c r="M199" s="233">
        <v>0</v>
      </c>
      <c r="N199" s="394">
        <v>0</v>
      </c>
      <c r="O199" s="73">
        <v>0</v>
      </c>
      <c r="P199" s="394">
        <v>0</v>
      </c>
      <c r="Q199" s="76">
        <v>1950</v>
      </c>
      <c r="R199" s="396">
        <v>0</v>
      </c>
      <c r="S199" s="73"/>
      <c r="T199" s="396"/>
      <c r="U199" s="73"/>
      <c r="V199" s="396"/>
      <c r="W199" s="73"/>
      <c r="X199" s="396"/>
      <c r="Y199" s="73"/>
      <c r="Z199" s="396"/>
      <c r="AA199" s="73"/>
      <c r="AB199" s="396"/>
      <c r="AC199" s="76">
        <f t="shared" si="3"/>
        <v>1950</v>
      </c>
      <c r="AD199" s="396">
        <f t="shared" si="3"/>
        <v>0</v>
      </c>
    </row>
    <row r="200" spans="1:30" ht="16" x14ac:dyDescent="0.2">
      <c r="A200" s="393"/>
      <c r="B200" s="234" t="s">
        <v>162</v>
      </c>
      <c r="C200" s="73" t="s">
        <v>651</v>
      </c>
      <c r="D200" s="74" t="s">
        <v>374</v>
      </c>
      <c r="E200" s="75">
        <v>0</v>
      </c>
      <c r="F200" s="395"/>
      <c r="G200" s="233">
        <v>0</v>
      </c>
      <c r="H200" s="395"/>
      <c r="I200" s="233">
        <v>0</v>
      </c>
      <c r="J200" s="395"/>
      <c r="K200" s="233">
        <v>0</v>
      </c>
      <c r="L200" s="395"/>
      <c r="M200" s="233">
        <v>0</v>
      </c>
      <c r="N200" s="395"/>
      <c r="O200" s="73">
        <v>0</v>
      </c>
      <c r="P200" s="395"/>
      <c r="Q200" s="76">
        <v>2600</v>
      </c>
      <c r="R200" s="396"/>
      <c r="S200" s="73"/>
      <c r="T200" s="396"/>
      <c r="U200" s="73"/>
      <c r="V200" s="396"/>
      <c r="W200" s="73"/>
      <c r="X200" s="396"/>
      <c r="Y200" s="73"/>
      <c r="Z200" s="396"/>
      <c r="AA200" s="73"/>
      <c r="AB200" s="396"/>
      <c r="AC200" s="76">
        <f t="shared" si="3"/>
        <v>2600</v>
      </c>
      <c r="AD200" s="396">
        <f t="shared" si="3"/>
        <v>0</v>
      </c>
    </row>
    <row r="201" spans="1:30" ht="16" x14ac:dyDescent="0.2">
      <c r="A201" s="388">
        <v>99</v>
      </c>
      <c r="B201" s="230" t="s">
        <v>162</v>
      </c>
      <c r="C201" s="67" t="s">
        <v>400</v>
      </c>
      <c r="D201" s="68" t="s">
        <v>373</v>
      </c>
      <c r="E201" s="69">
        <v>2560</v>
      </c>
      <c r="F201" s="389">
        <v>0</v>
      </c>
      <c r="G201" s="71">
        <v>3200</v>
      </c>
      <c r="H201" s="389">
        <f>89745+84060</f>
        <v>173805</v>
      </c>
      <c r="I201" s="69">
        <v>3520</v>
      </c>
      <c r="J201" s="389">
        <v>168120</v>
      </c>
      <c r="K201" s="70">
        <v>3040</v>
      </c>
      <c r="L201" s="387">
        <v>251776.80000000005</v>
      </c>
      <c r="M201" s="70">
        <v>3200</v>
      </c>
      <c r="N201" s="387">
        <v>216382.8</v>
      </c>
      <c r="O201" s="67">
        <v>3360</v>
      </c>
      <c r="P201" s="387">
        <v>222258</v>
      </c>
      <c r="Q201" s="71">
        <v>3680</v>
      </c>
      <c r="R201" s="389">
        <v>240332.39999999991</v>
      </c>
      <c r="S201" s="67"/>
      <c r="T201" s="389"/>
      <c r="U201" s="67"/>
      <c r="V201" s="389"/>
      <c r="W201" s="67"/>
      <c r="X201" s="389"/>
      <c r="Y201" s="67"/>
      <c r="Z201" s="389"/>
      <c r="AA201" s="67"/>
      <c r="AB201" s="389"/>
      <c r="AC201" s="71">
        <f t="shared" si="3"/>
        <v>22560</v>
      </c>
      <c r="AD201" s="389">
        <f t="shared" si="3"/>
        <v>1272675</v>
      </c>
    </row>
    <row r="202" spans="1:30" ht="16" x14ac:dyDescent="0.2">
      <c r="A202" s="388"/>
      <c r="B202" s="231" t="s">
        <v>162</v>
      </c>
      <c r="C202" s="67" t="s">
        <v>400</v>
      </c>
      <c r="D202" s="68" t="s">
        <v>374</v>
      </c>
      <c r="E202" s="69">
        <v>3400</v>
      </c>
      <c r="F202" s="389"/>
      <c r="G202" s="71">
        <v>4000</v>
      </c>
      <c r="H202" s="389"/>
      <c r="I202" s="69">
        <v>4400</v>
      </c>
      <c r="J202" s="389"/>
      <c r="K202" s="70">
        <v>3768</v>
      </c>
      <c r="L202" s="390"/>
      <c r="M202" s="70">
        <v>3800</v>
      </c>
      <c r="N202" s="390"/>
      <c r="O202" s="67">
        <v>4200</v>
      </c>
      <c r="P202" s="390"/>
      <c r="Q202" s="71">
        <v>4600</v>
      </c>
      <c r="R202" s="389"/>
      <c r="S202" s="67"/>
      <c r="T202" s="389"/>
      <c r="U202" s="67"/>
      <c r="V202" s="389"/>
      <c r="W202" s="67"/>
      <c r="X202" s="389"/>
      <c r="Y202" s="67"/>
      <c r="Z202" s="389"/>
      <c r="AA202" s="67"/>
      <c r="AB202" s="389"/>
      <c r="AC202" s="71">
        <f t="shared" si="3"/>
        <v>28168</v>
      </c>
      <c r="AD202" s="389">
        <f t="shared" si="3"/>
        <v>0</v>
      </c>
    </row>
    <row r="203" spans="1:30" ht="16" x14ac:dyDescent="0.2">
      <c r="A203" s="388">
        <v>100</v>
      </c>
      <c r="B203" s="230" t="s">
        <v>162</v>
      </c>
      <c r="C203" s="67" t="s">
        <v>175</v>
      </c>
      <c r="D203" s="68" t="s">
        <v>373</v>
      </c>
      <c r="E203" s="69">
        <v>0</v>
      </c>
      <c r="F203" s="389">
        <v>0</v>
      </c>
      <c r="G203" s="71">
        <v>0</v>
      </c>
      <c r="H203" s="389">
        <v>0</v>
      </c>
      <c r="I203" s="69">
        <v>0</v>
      </c>
      <c r="J203" s="389">
        <v>0</v>
      </c>
      <c r="K203" s="70">
        <v>0</v>
      </c>
      <c r="L203" s="387">
        <v>0</v>
      </c>
      <c r="M203" s="70">
        <v>800</v>
      </c>
      <c r="N203" s="387">
        <v>0</v>
      </c>
      <c r="O203" s="67">
        <v>2100</v>
      </c>
      <c r="P203" s="387">
        <v>60080.55</v>
      </c>
      <c r="Q203" s="71">
        <v>2300</v>
      </c>
      <c r="R203" s="389">
        <v>167611.5</v>
      </c>
      <c r="S203" s="67"/>
      <c r="T203" s="389"/>
      <c r="U203" s="67"/>
      <c r="V203" s="389"/>
      <c r="W203" s="67"/>
      <c r="X203" s="389"/>
      <c r="Y203" s="67"/>
      <c r="Z203" s="389"/>
      <c r="AA203" s="67"/>
      <c r="AB203" s="389"/>
      <c r="AC203" s="71">
        <f>AA203+Y203+W203+U203+S203+Q203+O203+K203+M203+I203+G203+E203</f>
        <v>5200</v>
      </c>
      <c r="AD203" s="389">
        <f>AB203+Z203+X203+V203+T203+R203+P203+L203+N203+J203+H203+F203</f>
        <v>227692.05</v>
      </c>
    </row>
    <row r="204" spans="1:30" ht="16" x14ac:dyDescent="0.2">
      <c r="A204" s="388"/>
      <c r="B204" s="231" t="s">
        <v>162</v>
      </c>
      <c r="C204" s="67" t="s">
        <v>175</v>
      </c>
      <c r="D204" s="68" t="s">
        <v>374</v>
      </c>
      <c r="E204" s="69">
        <v>0</v>
      </c>
      <c r="F204" s="389"/>
      <c r="G204" s="71">
        <v>0</v>
      </c>
      <c r="H204" s="389"/>
      <c r="I204" s="69">
        <v>0</v>
      </c>
      <c r="J204" s="389"/>
      <c r="K204" s="70">
        <v>0</v>
      </c>
      <c r="L204" s="390"/>
      <c r="M204" s="70">
        <v>1177</v>
      </c>
      <c r="N204" s="390"/>
      <c r="O204" s="67">
        <v>3150</v>
      </c>
      <c r="P204" s="390"/>
      <c r="Q204" s="71">
        <v>3450</v>
      </c>
      <c r="R204" s="389"/>
      <c r="S204" s="67"/>
      <c r="T204" s="389"/>
      <c r="U204" s="67"/>
      <c r="V204" s="389"/>
      <c r="W204" s="67"/>
      <c r="X204" s="389"/>
      <c r="Y204" s="67"/>
      <c r="Z204" s="389"/>
      <c r="AA204" s="67"/>
      <c r="AB204" s="389"/>
      <c r="AC204" s="71">
        <f>AA204+Y204+W204+U204+S204+Q204+O204+K204+M204+I204+G204+E204</f>
        <v>7777</v>
      </c>
      <c r="AD204" s="389">
        <f>AB204+Z204+X204+V204+T204+R204+P204+L204+N204+J204+H204+F204</f>
        <v>0</v>
      </c>
    </row>
    <row r="205" spans="1:30" ht="16" x14ac:dyDescent="0.2">
      <c r="A205" s="388">
        <v>101</v>
      </c>
      <c r="B205" s="230" t="s">
        <v>162</v>
      </c>
      <c r="C205" s="67" t="s">
        <v>176</v>
      </c>
      <c r="D205" s="68" t="s">
        <v>373</v>
      </c>
      <c r="E205" s="69">
        <v>0</v>
      </c>
      <c r="F205" s="389">
        <v>0</v>
      </c>
      <c r="G205" s="71">
        <v>0</v>
      </c>
      <c r="H205" s="389">
        <v>0</v>
      </c>
      <c r="I205" s="69">
        <v>0</v>
      </c>
      <c r="J205" s="389">
        <v>0</v>
      </c>
      <c r="K205" s="70">
        <v>2175</v>
      </c>
      <c r="L205" s="387">
        <v>0</v>
      </c>
      <c r="M205" s="70">
        <v>2500</v>
      </c>
      <c r="N205" s="387">
        <v>184785.75</v>
      </c>
      <c r="O205" s="67">
        <v>2625</v>
      </c>
      <c r="P205" s="387">
        <v>207825</v>
      </c>
      <c r="Q205" s="71">
        <v>2875</v>
      </c>
      <c r="R205" s="389">
        <v>218216.25</v>
      </c>
      <c r="S205" s="67"/>
      <c r="T205" s="389"/>
      <c r="U205" s="67"/>
      <c r="V205" s="389"/>
      <c r="W205" s="67"/>
      <c r="X205" s="389"/>
      <c r="Y205" s="67"/>
      <c r="Z205" s="389"/>
      <c r="AA205" s="67"/>
      <c r="AB205" s="389"/>
      <c r="AC205" s="71">
        <f t="shared" si="3"/>
        <v>10175</v>
      </c>
      <c r="AD205" s="389">
        <f t="shared" si="3"/>
        <v>610827</v>
      </c>
    </row>
    <row r="206" spans="1:30" ht="16" x14ac:dyDescent="0.2">
      <c r="A206" s="388"/>
      <c r="B206" s="231" t="s">
        <v>162</v>
      </c>
      <c r="C206" s="67" t="s">
        <v>176</v>
      </c>
      <c r="D206" s="68" t="s">
        <v>374</v>
      </c>
      <c r="E206" s="69">
        <v>0</v>
      </c>
      <c r="F206" s="389"/>
      <c r="G206" s="71">
        <v>0</v>
      </c>
      <c r="H206" s="389"/>
      <c r="I206" s="69">
        <v>0</v>
      </c>
      <c r="J206" s="389"/>
      <c r="K206" s="70">
        <v>3600</v>
      </c>
      <c r="L206" s="390"/>
      <c r="M206" s="70">
        <v>4000</v>
      </c>
      <c r="N206" s="390"/>
      <c r="O206" s="67">
        <v>4200</v>
      </c>
      <c r="P206" s="390"/>
      <c r="Q206" s="71">
        <v>4600</v>
      </c>
      <c r="R206" s="389"/>
      <c r="S206" s="67"/>
      <c r="T206" s="389"/>
      <c r="U206" s="67"/>
      <c r="V206" s="389"/>
      <c r="W206" s="67"/>
      <c r="X206" s="389"/>
      <c r="Y206" s="67"/>
      <c r="Z206" s="389"/>
      <c r="AA206" s="67"/>
      <c r="AB206" s="389"/>
      <c r="AC206" s="71">
        <f t="shared" si="3"/>
        <v>16400</v>
      </c>
      <c r="AD206" s="389">
        <f t="shared" si="3"/>
        <v>0</v>
      </c>
    </row>
    <row r="207" spans="1:30" ht="16" x14ac:dyDescent="0.2">
      <c r="A207" s="388">
        <v>102</v>
      </c>
      <c r="B207" s="230" t="s">
        <v>162</v>
      </c>
      <c r="C207" s="67" t="s">
        <v>401</v>
      </c>
      <c r="D207" s="68" t="s">
        <v>373</v>
      </c>
      <c r="E207" s="69">
        <v>0</v>
      </c>
      <c r="F207" s="389">
        <v>0</v>
      </c>
      <c r="G207" s="69">
        <v>0</v>
      </c>
      <c r="H207" s="389">
        <v>0</v>
      </c>
      <c r="I207" s="69">
        <v>0</v>
      </c>
      <c r="J207" s="389">
        <v>0</v>
      </c>
      <c r="K207" s="69">
        <v>0</v>
      </c>
      <c r="L207" s="389">
        <v>0</v>
      </c>
      <c r="M207" s="69">
        <v>0</v>
      </c>
      <c r="N207" s="389">
        <v>0</v>
      </c>
      <c r="O207" s="67">
        <v>1700</v>
      </c>
      <c r="P207" s="387">
        <v>0</v>
      </c>
      <c r="Q207" s="71">
        <v>2300</v>
      </c>
      <c r="R207" s="389">
        <v>135685.5</v>
      </c>
      <c r="S207" s="67"/>
      <c r="T207" s="389"/>
      <c r="U207" s="67"/>
      <c r="V207" s="389"/>
      <c r="W207" s="67"/>
      <c r="X207" s="389"/>
      <c r="Y207" s="67"/>
      <c r="Z207" s="389"/>
      <c r="AA207" s="67"/>
      <c r="AB207" s="389"/>
      <c r="AC207" s="71">
        <f t="shared" si="3"/>
        <v>4000</v>
      </c>
      <c r="AD207" s="389">
        <f t="shared" si="3"/>
        <v>135685.5</v>
      </c>
    </row>
    <row r="208" spans="1:30" ht="16" x14ac:dyDescent="0.2">
      <c r="A208" s="388"/>
      <c r="B208" s="231" t="s">
        <v>162</v>
      </c>
      <c r="C208" s="67" t="s">
        <v>401</v>
      </c>
      <c r="D208" s="68" t="s">
        <v>374</v>
      </c>
      <c r="E208" s="69">
        <v>0</v>
      </c>
      <c r="F208" s="389"/>
      <c r="G208" s="69">
        <v>0</v>
      </c>
      <c r="H208" s="389"/>
      <c r="I208" s="69">
        <v>0</v>
      </c>
      <c r="J208" s="389"/>
      <c r="K208" s="69">
        <v>0</v>
      </c>
      <c r="L208" s="389"/>
      <c r="M208" s="69">
        <v>0</v>
      </c>
      <c r="N208" s="389"/>
      <c r="O208" s="67">
        <v>2550</v>
      </c>
      <c r="P208" s="390"/>
      <c r="Q208" s="71">
        <v>3450</v>
      </c>
      <c r="R208" s="389"/>
      <c r="S208" s="67"/>
      <c r="T208" s="389"/>
      <c r="U208" s="67"/>
      <c r="V208" s="389"/>
      <c r="W208" s="67"/>
      <c r="X208" s="389"/>
      <c r="Y208" s="67"/>
      <c r="Z208" s="389"/>
      <c r="AA208" s="67"/>
      <c r="AB208" s="389"/>
      <c r="AC208" s="71">
        <f t="shared" si="3"/>
        <v>6000</v>
      </c>
      <c r="AD208" s="389">
        <f t="shared" si="3"/>
        <v>0</v>
      </c>
    </row>
    <row r="209" spans="1:30" ht="16" x14ac:dyDescent="0.2">
      <c r="A209" s="388">
        <v>103</v>
      </c>
      <c r="B209" s="230" t="s">
        <v>402</v>
      </c>
      <c r="C209" s="67" t="s">
        <v>125</v>
      </c>
      <c r="D209" s="68" t="s">
        <v>373</v>
      </c>
      <c r="E209" s="69">
        <v>1600</v>
      </c>
      <c r="F209" s="389">
        <v>0</v>
      </c>
      <c r="G209" s="71">
        <v>2000</v>
      </c>
      <c r="H209" s="389">
        <v>89700</v>
      </c>
      <c r="I209" s="69">
        <v>2200</v>
      </c>
      <c r="J209" s="389">
        <v>169800</v>
      </c>
      <c r="K209" s="70">
        <v>1900</v>
      </c>
      <c r="L209" s="387">
        <v>196251</v>
      </c>
      <c r="M209" s="70">
        <v>2000</v>
      </c>
      <c r="N209" s="387">
        <v>169489.5</v>
      </c>
      <c r="O209" s="67">
        <v>2100</v>
      </c>
      <c r="P209" s="387">
        <v>178410</v>
      </c>
      <c r="Q209" s="71">
        <v>2300</v>
      </c>
      <c r="R209" s="389">
        <v>187330.5</v>
      </c>
      <c r="S209" s="67"/>
      <c r="T209" s="389"/>
      <c r="U209" s="67"/>
      <c r="V209" s="389"/>
      <c r="W209" s="67"/>
      <c r="X209" s="389"/>
      <c r="Y209" s="67"/>
      <c r="Z209" s="389"/>
      <c r="AA209" s="67"/>
      <c r="AB209" s="389"/>
      <c r="AC209" s="71">
        <f t="shared" si="3"/>
        <v>14100</v>
      </c>
      <c r="AD209" s="389">
        <f t="shared" si="3"/>
        <v>990981</v>
      </c>
    </row>
    <row r="210" spans="1:30" ht="16" x14ac:dyDescent="0.2">
      <c r="A210" s="388"/>
      <c r="B210" s="231" t="s">
        <v>402</v>
      </c>
      <c r="C210" s="67" t="s">
        <v>125</v>
      </c>
      <c r="D210" s="68" t="s">
        <v>374</v>
      </c>
      <c r="E210" s="69">
        <v>2550</v>
      </c>
      <c r="F210" s="389"/>
      <c r="G210" s="71">
        <v>3000</v>
      </c>
      <c r="H210" s="389"/>
      <c r="I210" s="69">
        <v>3300</v>
      </c>
      <c r="J210" s="389"/>
      <c r="K210" s="70">
        <v>2850</v>
      </c>
      <c r="L210" s="390"/>
      <c r="M210" s="70">
        <v>3000</v>
      </c>
      <c r="N210" s="390"/>
      <c r="O210" s="67">
        <v>3150</v>
      </c>
      <c r="P210" s="390"/>
      <c r="Q210" s="71">
        <v>3450</v>
      </c>
      <c r="R210" s="389"/>
      <c r="S210" s="67"/>
      <c r="T210" s="389"/>
      <c r="U210" s="67"/>
      <c r="V210" s="389"/>
      <c r="W210" s="67"/>
      <c r="X210" s="389"/>
      <c r="Y210" s="67"/>
      <c r="Z210" s="389"/>
      <c r="AA210" s="67"/>
      <c r="AB210" s="389"/>
      <c r="AC210" s="71">
        <f t="shared" si="3"/>
        <v>21300</v>
      </c>
      <c r="AD210" s="389">
        <f t="shared" si="3"/>
        <v>0</v>
      </c>
    </row>
    <row r="211" spans="1:30" ht="16" x14ac:dyDescent="0.2">
      <c r="A211" s="388">
        <v>104</v>
      </c>
      <c r="B211" s="230" t="s">
        <v>402</v>
      </c>
      <c r="C211" s="67" t="s">
        <v>183</v>
      </c>
      <c r="D211" s="68" t="s">
        <v>373</v>
      </c>
      <c r="E211" s="69">
        <v>2400</v>
      </c>
      <c r="F211" s="389">
        <v>0</v>
      </c>
      <c r="G211" s="71">
        <v>3000</v>
      </c>
      <c r="H211" s="389">
        <f>89525+83475</f>
        <v>173000</v>
      </c>
      <c r="I211" s="69">
        <v>3300</v>
      </c>
      <c r="J211" s="389">
        <v>166950</v>
      </c>
      <c r="K211" s="70">
        <v>2850</v>
      </c>
      <c r="L211" s="387">
        <v>273999</v>
      </c>
      <c r="M211" s="70">
        <v>3000</v>
      </c>
      <c r="N211" s="387">
        <v>236635.5</v>
      </c>
      <c r="O211" s="67">
        <v>3150</v>
      </c>
      <c r="P211" s="387">
        <v>249090</v>
      </c>
      <c r="Q211" s="71">
        <v>3450</v>
      </c>
      <c r="R211" s="389">
        <v>261544.5</v>
      </c>
      <c r="S211" s="67"/>
      <c r="T211" s="389"/>
      <c r="U211" s="67"/>
      <c r="V211" s="389"/>
      <c r="W211" s="67"/>
      <c r="X211" s="389"/>
      <c r="Y211" s="67"/>
      <c r="Z211" s="389"/>
      <c r="AA211" s="67"/>
      <c r="AB211" s="389"/>
      <c r="AC211" s="71">
        <f t="shared" si="3"/>
        <v>21150</v>
      </c>
      <c r="AD211" s="389">
        <f t="shared" si="3"/>
        <v>1361219</v>
      </c>
    </row>
    <row r="212" spans="1:30" ht="16" x14ac:dyDescent="0.2">
      <c r="A212" s="388"/>
      <c r="B212" s="231" t="s">
        <v>402</v>
      </c>
      <c r="C212" s="67" t="s">
        <v>183</v>
      </c>
      <c r="D212" s="68" t="s">
        <v>374</v>
      </c>
      <c r="E212" s="69">
        <v>3400</v>
      </c>
      <c r="F212" s="389"/>
      <c r="G212" s="71">
        <v>4000</v>
      </c>
      <c r="H212" s="389"/>
      <c r="I212" s="69">
        <v>4400</v>
      </c>
      <c r="J212" s="389"/>
      <c r="K212" s="70">
        <v>3800</v>
      </c>
      <c r="L212" s="390"/>
      <c r="M212" s="70">
        <v>4000</v>
      </c>
      <c r="N212" s="390"/>
      <c r="O212" s="67">
        <v>4200</v>
      </c>
      <c r="P212" s="390"/>
      <c r="Q212" s="71">
        <v>4573</v>
      </c>
      <c r="R212" s="389"/>
      <c r="S212" s="67"/>
      <c r="T212" s="389"/>
      <c r="U212" s="67"/>
      <c r="V212" s="389"/>
      <c r="W212" s="67"/>
      <c r="X212" s="389"/>
      <c r="Y212" s="67"/>
      <c r="Z212" s="389"/>
      <c r="AA212" s="67"/>
      <c r="AB212" s="389"/>
      <c r="AC212" s="71">
        <f t="shared" si="3"/>
        <v>28373</v>
      </c>
      <c r="AD212" s="389">
        <f t="shared" si="3"/>
        <v>0</v>
      </c>
    </row>
    <row r="213" spans="1:30" ht="16" x14ac:dyDescent="0.2">
      <c r="A213" s="388">
        <v>105</v>
      </c>
      <c r="B213" s="230" t="s">
        <v>402</v>
      </c>
      <c r="C213" s="67" t="s">
        <v>184</v>
      </c>
      <c r="D213" s="68" t="s">
        <v>373</v>
      </c>
      <c r="E213" s="69">
        <v>2400</v>
      </c>
      <c r="F213" s="389">
        <v>0</v>
      </c>
      <c r="G213" s="71">
        <v>3000</v>
      </c>
      <c r="H213" s="389">
        <f>89525+83475</f>
        <v>173000</v>
      </c>
      <c r="I213" s="69">
        <v>3300</v>
      </c>
      <c r="J213" s="389">
        <v>166950</v>
      </c>
      <c r="K213" s="70">
        <v>2850</v>
      </c>
      <c r="L213" s="387">
        <v>273999</v>
      </c>
      <c r="M213" s="70">
        <v>3000</v>
      </c>
      <c r="N213" s="387">
        <v>236635.5</v>
      </c>
      <c r="O213" s="67">
        <v>3150</v>
      </c>
      <c r="P213" s="387">
        <v>249090</v>
      </c>
      <c r="Q213" s="71">
        <v>3450</v>
      </c>
      <c r="R213" s="389">
        <v>261544.5</v>
      </c>
      <c r="S213" s="67"/>
      <c r="T213" s="389"/>
      <c r="U213" s="67"/>
      <c r="V213" s="389"/>
      <c r="W213" s="67"/>
      <c r="X213" s="389"/>
      <c r="Y213" s="67"/>
      <c r="Z213" s="389"/>
      <c r="AA213" s="67"/>
      <c r="AB213" s="389"/>
      <c r="AC213" s="71">
        <f t="shared" si="3"/>
        <v>21150</v>
      </c>
      <c r="AD213" s="389">
        <f t="shared" si="3"/>
        <v>1361219</v>
      </c>
    </row>
    <row r="214" spans="1:30" ht="16" x14ac:dyDescent="0.2">
      <c r="A214" s="388"/>
      <c r="B214" s="231" t="s">
        <v>402</v>
      </c>
      <c r="C214" s="67" t="s">
        <v>184</v>
      </c>
      <c r="D214" s="68" t="s">
        <v>374</v>
      </c>
      <c r="E214" s="69">
        <v>3400</v>
      </c>
      <c r="F214" s="389"/>
      <c r="G214" s="71">
        <v>4000</v>
      </c>
      <c r="H214" s="389"/>
      <c r="I214" s="69">
        <v>4400</v>
      </c>
      <c r="J214" s="389"/>
      <c r="K214" s="70">
        <v>3800</v>
      </c>
      <c r="L214" s="390"/>
      <c r="M214" s="70">
        <v>4000</v>
      </c>
      <c r="N214" s="390"/>
      <c r="O214" s="67">
        <v>4200</v>
      </c>
      <c r="P214" s="390"/>
      <c r="Q214" s="71">
        <v>4600</v>
      </c>
      <c r="R214" s="389"/>
      <c r="S214" s="67"/>
      <c r="T214" s="389"/>
      <c r="U214" s="67"/>
      <c r="V214" s="389"/>
      <c r="W214" s="67"/>
      <c r="X214" s="389"/>
      <c r="Y214" s="67"/>
      <c r="Z214" s="389"/>
      <c r="AA214" s="67"/>
      <c r="AB214" s="389"/>
      <c r="AC214" s="71">
        <f t="shared" si="3"/>
        <v>28400</v>
      </c>
      <c r="AD214" s="389">
        <f t="shared" si="3"/>
        <v>0</v>
      </c>
    </row>
    <row r="215" spans="1:30" ht="16" x14ac:dyDescent="0.2">
      <c r="A215" s="388">
        <v>106</v>
      </c>
      <c r="B215" s="230" t="s">
        <v>402</v>
      </c>
      <c r="C215" s="67" t="s">
        <v>186</v>
      </c>
      <c r="D215" s="68" t="s">
        <v>373</v>
      </c>
      <c r="E215" s="69">
        <v>1600</v>
      </c>
      <c r="F215" s="389">
        <v>0</v>
      </c>
      <c r="G215" s="67">
        <v>2000</v>
      </c>
      <c r="H215" s="389">
        <f>75000+63675</f>
        <v>138675</v>
      </c>
      <c r="I215" s="67">
        <v>2200</v>
      </c>
      <c r="J215" s="389">
        <v>127350</v>
      </c>
      <c r="K215" s="67">
        <v>2250</v>
      </c>
      <c r="L215" s="387">
        <v>196251</v>
      </c>
      <c r="M215" s="67">
        <v>2500</v>
      </c>
      <c r="N215" s="389">
        <v>194227.5</v>
      </c>
      <c r="O215" s="67">
        <v>2625</v>
      </c>
      <c r="P215" s="389">
        <v>213750</v>
      </c>
      <c r="Q215" s="71">
        <v>2875</v>
      </c>
      <c r="R215" s="389">
        <v>224437.5</v>
      </c>
      <c r="S215" s="67"/>
      <c r="T215" s="389"/>
      <c r="U215" s="67"/>
      <c r="V215" s="389"/>
      <c r="W215" s="67"/>
      <c r="X215" s="389"/>
      <c r="Y215" s="67"/>
      <c r="Z215" s="389"/>
      <c r="AA215" s="67"/>
      <c r="AB215" s="389"/>
      <c r="AC215" s="71">
        <f t="shared" si="3"/>
        <v>16050</v>
      </c>
      <c r="AD215" s="389">
        <f t="shared" si="3"/>
        <v>1094691</v>
      </c>
    </row>
    <row r="216" spans="1:30" ht="16" x14ac:dyDescent="0.2">
      <c r="A216" s="388"/>
      <c r="B216" s="231" t="s">
        <v>402</v>
      </c>
      <c r="C216" s="67" t="s">
        <v>186</v>
      </c>
      <c r="D216" s="68" t="s">
        <v>374</v>
      </c>
      <c r="E216" s="69">
        <v>2550</v>
      </c>
      <c r="F216" s="389"/>
      <c r="G216" s="67">
        <v>3000</v>
      </c>
      <c r="H216" s="389"/>
      <c r="I216" s="67">
        <v>3300</v>
      </c>
      <c r="J216" s="389"/>
      <c r="K216" s="67">
        <v>3200</v>
      </c>
      <c r="L216" s="390"/>
      <c r="M216" s="67">
        <v>3500</v>
      </c>
      <c r="N216" s="389"/>
      <c r="O216" s="67">
        <v>3675</v>
      </c>
      <c r="P216" s="389"/>
      <c r="Q216" s="71">
        <v>4025</v>
      </c>
      <c r="R216" s="389"/>
      <c r="S216" s="67"/>
      <c r="T216" s="389"/>
      <c r="U216" s="67"/>
      <c r="V216" s="389"/>
      <c r="W216" s="67"/>
      <c r="X216" s="389"/>
      <c r="Y216" s="67"/>
      <c r="Z216" s="389"/>
      <c r="AA216" s="67"/>
      <c r="AB216" s="389"/>
      <c r="AC216" s="71">
        <f t="shared" si="3"/>
        <v>23250</v>
      </c>
      <c r="AD216" s="389">
        <f t="shared" si="3"/>
        <v>0</v>
      </c>
    </row>
    <row r="217" spans="1:30" ht="16" x14ac:dyDescent="0.2">
      <c r="A217" s="388">
        <v>107</v>
      </c>
      <c r="B217" s="230" t="s">
        <v>402</v>
      </c>
      <c r="C217" s="67" t="s">
        <v>188</v>
      </c>
      <c r="D217" s="68" t="s">
        <v>373</v>
      </c>
      <c r="E217" s="69">
        <v>0</v>
      </c>
      <c r="F217" s="389">
        <v>0</v>
      </c>
      <c r="G217" s="67">
        <v>0</v>
      </c>
      <c r="H217" s="389">
        <v>0</v>
      </c>
      <c r="I217" s="67">
        <v>1600</v>
      </c>
      <c r="J217" s="389">
        <v>0</v>
      </c>
      <c r="K217" s="67">
        <v>1900</v>
      </c>
      <c r="L217" s="387">
        <v>139365</v>
      </c>
      <c r="M217" s="67">
        <v>2000</v>
      </c>
      <c r="N217" s="389">
        <v>169489.5</v>
      </c>
      <c r="O217" s="67">
        <v>2100</v>
      </c>
      <c r="P217" s="389">
        <v>178410</v>
      </c>
      <c r="Q217" s="71">
        <v>2273</v>
      </c>
      <c r="R217" s="389">
        <v>187330.5</v>
      </c>
      <c r="S217" s="67"/>
      <c r="T217" s="389"/>
      <c r="U217" s="67"/>
      <c r="V217" s="389"/>
      <c r="W217" s="67"/>
      <c r="X217" s="389"/>
      <c r="Y217" s="67"/>
      <c r="Z217" s="389"/>
      <c r="AA217" s="67"/>
      <c r="AB217" s="389"/>
      <c r="AC217" s="71">
        <f t="shared" si="3"/>
        <v>9873</v>
      </c>
      <c r="AD217" s="389">
        <f t="shared" si="3"/>
        <v>674595</v>
      </c>
    </row>
    <row r="218" spans="1:30" ht="16" x14ac:dyDescent="0.2">
      <c r="A218" s="388"/>
      <c r="B218" s="231" t="s">
        <v>402</v>
      </c>
      <c r="C218" s="67" t="s">
        <v>188</v>
      </c>
      <c r="D218" s="68" t="s">
        <v>374</v>
      </c>
      <c r="E218" s="69">
        <v>0</v>
      </c>
      <c r="F218" s="389"/>
      <c r="G218" s="67">
        <v>0</v>
      </c>
      <c r="H218" s="389"/>
      <c r="I218" s="67">
        <v>2400</v>
      </c>
      <c r="J218" s="389"/>
      <c r="K218" s="67">
        <v>2850</v>
      </c>
      <c r="L218" s="390"/>
      <c r="M218" s="67">
        <v>3000</v>
      </c>
      <c r="N218" s="389"/>
      <c r="O218" s="67">
        <v>3150</v>
      </c>
      <c r="P218" s="389"/>
      <c r="Q218" s="71">
        <v>3450</v>
      </c>
      <c r="R218" s="389"/>
      <c r="S218" s="67"/>
      <c r="T218" s="389"/>
      <c r="U218" s="67"/>
      <c r="V218" s="389"/>
      <c r="W218" s="67"/>
      <c r="X218" s="389"/>
      <c r="Y218" s="67"/>
      <c r="Z218" s="389"/>
      <c r="AA218" s="67"/>
      <c r="AB218" s="389"/>
      <c r="AC218" s="71">
        <f t="shared" si="3"/>
        <v>14850</v>
      </c>
      <c r="AD218" s="389">
        <f t="shared" si="3"/>
        <v>0</v>
      </c>
    </row>
    <row r="219" spans="1:30" ht="16" x14ac:dyDescent="0.2">
      <c r="A219" s="388">
        <v>108</v>
      </c>
      <c r="B219" s="230" t="s">
        <v>402</v>
      </c>
      <c r="C219" s="67" t="s">
        <v>189</v>
      </c>
      <c r="D219" s="68" t="s">
        <v>373</v>
      </c>
      <c r="E219" s="69">
        <v>0</v>
      </c>
      <c r="F219" s="389">
        <v>0</v>
      </c>
      <c r="G219" s="67">
        <v>0</v>
      </c>
      <c r="H219" s="389">
        <v>0</v>
      </c>
      <c r="I219" s="67">
        <v>0</v>
      </c>
      <c r="J219" s="389">
        <v>0</v>
      </c>
      <c r="K219" s="67">
        <v>0</v>
      </c>
      <c r="L219" s="389">
        <v>0</v>
      </c>
      <c r="M219" s="67">
        <v>1800</v>
      </c>
      <c r="N219" s="389">
        <v>0</v>
      </c>
      <c r="O219" s="67">
        <v>2100</v>
      </c>
      <c r="P219" s="389">
        <v>160569</v>
      </c>
      <c r="Q219" s="71">
        <v>2300</v>
      </c>
      <c r="R219" s="389">
        <v>187330.5</v>
      </c>
      <c r="S219" s="67"/>
      <c r="T219" s="389"/>
      <c r="U219" s="67"/>
      <c r="V219" s="389"/>
      <c r="W219" s="67"/>
      <c r="X219" s="389"/>
      <c r="Y219" s="67"/>
      <c r="Z219" s="389"/>
      <c r="AA219" s="67"/>
      <c r="AB219" s="389"/>
      <c r="AC219" s="71">
        <f t="shared" si="3"/>
        <v>6200</v>
      </c>
      <c r="AD219" s="389">
        <f t="shared" si="3"/>
        <v>347899.5</v>
      </c>
    </row>
    <row r="220" spans="1:30" ht="16" x14ac:dyDescent="0.2">
      <c r="A220" s="388"/>
      <c r="B220" s="231" t="s">
        <v>402</v>
      </c>
      <c r="C220" s="67" t="s">
        <v>189</v>
      </c>
      <c r="D220" s="68" t="s">
        <v>374</v>
      </c>
      <c r="E220" s="69">
        <v>0</v>
      </c>
      <c r="F220" s="389"/>
      <c r="G220" s="67">
        <v>0</v>
      </c>
      <c r="H220" s="389"/>
      <c r="I220" s="67">
        <v>0</v>
      </c>
      <c r="J220" s="389"/>
      <c r="K220" s="67">
        <v>0</v>
      </c>
      <c r="L220" s="389"/>
      <c r="M220" s="67">
        <v>2700</v>
      </c>
      <c r="N220" s="389"/>
      <c r="O220" s="67">
        <v>3150</v>
      </c>
      <c r="P220" s="389"/>
      <c r="Q220" s="71">
        <v>3450</v>
      </c>
      <c r="R220" s="389"/>
      <c r="S220" s="67"/>
      <c r="T220" s="389"/>
      <c r="U220" s="67"/>
      <c r="V220" s="389"/>
      <c r="W220" s="67"/>
      <c r="X220" s="389"/>
      <c r="Y220" s="67"/>
      <c r="Z220" s="389"/>
      <c r="AA220" s="67"/>
      <c r="AB220" s="389"/>
      <c r="AC220" s="71">
        <f t="shared" si="3"/>
        <v>9300</v>
      </c>
      <c r="AD220" s="389">
        <f t="shared" si="3"/>
        <v>0</v>
      </c>
    </row>
    <row r="221" spans="1:30" ht="16" x14ac:dyDescent="0.2">
      <c r="A221" s="388">
        <v>109</v>
      </c>
      <c r="B221" s="230" t="s">
        <v>402</v>
      </c>
      <c r="C221" s="67" t="s">
        <v>185</v>
      </c>
      <c r="D221" s="68" t="s">
        <v>373</v>
      </c>
      <c r="E221" s="69">
        <v>0</v>
      </c>
      <c r="F221" s="389">
        <v>0</v>
      </c>
      <c r="G221" s="67">
        <v>0</v>
      </c>
      <c r="H221" s="389">
        <v>0</v>
      </c>
      <c r="I221" s="67">
        <v>0</v>
      </c>
      <c r="J221" s="389">
        <v>0</v>
      </c>
      <c r="K221" s="67">
        <v>0</v>
      </c>
      <c r="L221" s="389">
        <v>0</v>
      </c>
      <c r="M221" s="67">
        <v>300</v>
      </c>
      <c r="N221" s="389">
        <v>0</v>
      </c>
      <c r="O221" s="67">
        <v>2400</v>
      </c>
      <c r="P221" s="389">
        <v>0</v>
      </c>
      <c r="Q221" s="71">
        <v>2300</v>
      </c>
      <c r="R221" s="389">
        <v>214092</v>
      </c>
      <c r="S221" s="67"/>
      <c r="T221" s="389"/>
      <c r="U221" s="67"/>
      <c r="V221" s="389"/>
      <c r="W221" s="67"/>
      <c r="X221" s="389"/>
      <c r="Y221" s="67"/>
      <c r="Z221" s="389"/>
      <c r="AA221" s="67"/>
      <c r="AB221" s="389"/>
      <c r="AC221" s="71">
        <f t="shared" si="3"/>
        <v>5000</v>
      </c>
      <c r="AD221" s="389">
        <f t="shared" si="3"/>
        <v>214092</v>
      </c>
    </row>
    <row r="222" spans="1:30" ht="16" x14ac:dyDescent="0.2">
      <c r="A222" s="388"/>
      <c r="B222" s="231" t="s">
        <v>402</v>
      </c>
      <c r="C222" s="67" t="s">
        <v>185</v>
      </c>
      <c r="D222" s="68" t="s">
        <v>374</v>
      </c>
      <c r="E222" s="69">
        <v>0</v>
      </c>
      <c r="F222" s="389"/>
      <c r="G222" s="67">
        <v>0</v>
      </c>
      <c r="H222" s="389"/>
      <c r="I222" s="67">
        <v>0</v>
      </c>
      <c r="J222" s="389"/>
      <c r="K222" s="67">
        <v>0</v>
      </c>
      <c r="L222" s="389"/>
      <c r="M222" s="67">
        <v>450</v>
      </c>
      <c r="N222" s="389"/>
      <c r="O222" s="67">
        <v>3600</v>
      </c>
      <c r="P222" s="389"/>
      <c r="Q222" s="71">
        <v>3450</v>
      </c>
      <c r="R222" s="389"/>
      <c r="S222" s="67"/>
      <c r="T222" s="389"/>
      <c r="U222" s="67"/>
      <c r="V222" s="389"/>
      <c r="W222" s="67"/>
      <c r="X222" s="389"/>
      <c r="Y222" s="67"/>
      <c r="Z222" s="389"/>
      <c r="AA222" s="67"/>
      <c r="AB222" s="389"/>
      <c r="AC222" s="71">
        <f t="shared" si="3"/>
        <v>7500</v>
      </c>
      <c r="AD222" s="389">
        <f t="shared" si="3"/>
        <v>0</v>
      </c>
    </row>
    <row r="223" spans="1:30" ht="16" x14ac:dyDescent="0.2">
      <c r="A223" s="388">
        <v>110</v>
      </c>
      <c r="B223" s="230" t="s">
        <v>402</v>
      </c>
      <c r="C223" s="67" t="s">
        <v>187</v>
      </c>
      <c r="D223" s="68" t="s">
        <v>373</v>
      </c>
      <c r="E223" s="69">
        <v>0</v>
      </c>
      <c r="F223" s="389">
        <v>0</v>
      </c>
      <c r="G223" s="67">
        <v>0</v>
      </c>
      <c r="H223" s="389">
        <v>0</v>
      </c>
      <c r="I223" s="67">
        <v>0</v>
      </c>
      <c r="J223" s="389">
        <v>0</v>
      </c>
      <c r="K223" s="67">
        <v>0</v>
      </c>
      <c r="L223" s="389">
        <v>0</v>
      </c>
      <c r="M223" s="67">
        <v>800</v>
      </c>
      <c r="N223" s="389">
        <v>0</v>
      </c>
      <c r="O223" s="67">
        <v>2100</v>
      </c>
      <c r="P223" s="389">
        <v>71364</v>
      </c>
      <c r="Q223" s="71">
        <v>2300</v>
      </c>
      <c r="R223" s="389">
        <v>187330.5</v>
      </c>
      <c r="S223" s="67"/>
      <c r="T223" s="389"/>
      <c r="U223" s="67"/>
      <c r="V223" s="389"/>
      <c r="W223" s="67"/>
      <c r="X223" s="389"/>
      <c r="Y223" s="67"/>
      <c r="Z223" s="389"/>
      <c r="AA223" s="67"/>
      <c r="AB223" s="389"/>
      <c r="AC223" s="71">
        <f t="shared" si="3"/>
        <v>5200</v>
      </c>
      <c r="AD223" s="389">
        <f t="shared" si="3"/>
        <v>258694.5</v>
      </c>
    </row>
    <row r="224" spans="1:30" ht="16" x14ac:dyDescent="0.2">
      <c r="A224" s="388"/>
      <c r="B224" s="231" t="s">
        <v>402</v>
      </c>
      <c r="C224" s="67" t="s">
        <v>187</v>
      </c>
      <c r="D224" s="68" t="s">
        <v>374</v>
      </c>
      <c r="E224" s="69">
        <v>0</v>
      </c>
      <c r="F224" s="389"/>
      <c r="G224" s="67">
        <v>0</v>
      </c>
      <c r="H224" s="389"/>
      <c r="I224" s="67">
        <v>0</v>
      </c>
      <c r="J224" s="389"/>
      <c r="K224" s="67">
        <v>0</v>
      </c>
      <c r="L224" s="389"/>
      <c r="M224" s="67">
        <v>1200</v>
      </c>
      <c r="N224" s="389"/>
      <c r="O224" s="67">
        <v>3150</v>
      </c>
      <c r="P224" s="389"/>
      <c r="Q224" s="71">
        <v>3450</v>
      </c>
      <c r="R224" s="389"/>
      <c r="S224" s="67"/>
      <c r="T224" s="389"/>
      <c r="U224" s="67"/>
      <c r="V224" s="389"/>
      <c r="W224" s="67"/>
      <c r="X224" s="389"/>
      <c r="Y224" s="67"/>
      <c r="Z224" s="389"/>
      <c r="AA224" s="67"/>
      <c r="AB224" s="389"/>
      <c r="AC224" s="71">
        <f t="shared" si="3"/>
        <v>7800</v>
      </c>
      <c r="AD224" s="389">
        <f t="shared" si="3"/>
        <v>0</v>
      </c>
    </row>
    <row r="225" spans="1:30" ht="16" x14ac:dyDescent="0.2">
      <c r="A225" s="388">
        <v>111</v>
      </c>
      <c r="B225" s="230" t="s">
        <v>191</v>
      </c>
      <c r="C225" s="67" t="s">
        <v>194</v>
      </c>
      <c r="D225" s="68" t="s">
        <v>373</v>
      </c>
      <c r="E225" s="69">
        <v>2700</v>
      </c>
      <c r="F225" s="389">
        <v>0</v>
      </c>
      <c r="G225" s="71">
        <v>2750</v>
      </c>
      <c r="H225" s="389">
        <v>0</v>
      </c>
      <c r="I225" s="69">
        <v>2200</v>
      </c>
      <c r="J225" s="389">
        <v>472948</v>
      </c>
      <c r="K225" s="70">
        <v>1900</v>
      </c>
      <c r="L225" s="387">
        <v>171450</v>
      </c>
      <c r="M225" s="70">
        <v>2000</v>
      </c>
      <c r="N225" s="387">
        <v>120650</v>
      </c>
      <c r="O225" s="67">
        <v>2100</v>
      </c>
      <c r="P225" s="387">
        <v>127000</v>
      </c>
      <c r="Q225" s="71">
        <v>2300</v>
      </c>
      <c r="R225" s="389">
        <v>133350</v>
      </c>
      <c r="S225" s="67"/>
      <c r="T225" s="389"/>
      <c r="U225" s="67"/>
      <c r="V225" s="389"/>
      <c r="W225" s="67"/>
      <c r="X225" s="389"/>
      <c r="Y225" s="67"/>
      <c r="Z225" s="389"/>
      <c r="AA225" s="67"/>
      <c r="AB225" s="389"/>
      <c r="AC225" s="71">
        <f t="shared" si="3"/>
        <v>15950</v>
      </c>
      <c r="AD225" s="389">
        <f t="shared" si="3"/>
        <v>1025398</v>
      </c>
    </row>
    <row r="226" spans="1:30" ht="16" x14ac:dyDescent="0.2">
      <c r="A226" s="388"/>
      <c r="B226" s="231" t="s">
        <v>191</v>
      </c>
      <c r="C226" s="67" t="s">
        <v>194</v>
      </c>
      <c r="D226" s="68" t="s">
        <v>374</v>
      </c>
      <c r="E226" s="69">
        <v>4750</v>
      </c>
      <c r="F226" s="389"/>
      <c r="G226" s="71">
        <v>4500</v>
      </c>
      <c r="H226" s="389"/>
      <c r="I226" s="69">
        <v>3300</v>
      </c>
      <c r="J226" s="389"/>
      <c r="K226" s="70">
        <v>2850</v>
      </c>
      <c r="L226" s="390"/>
      <c r="M226" s="70">
        <v>3000</v>
      </c>
      <c r="N226" s="390"/>
      <c r="O226" s="67">
        <v>3150</v>
      </c>
      <c r="P226" s="390"/>
      <c r="Q226" s="71">
        <v>3450</v>
      </c>
      <c r="R226" s="389"/>
      <c r="S226" s="67"/>
      <c r="T226" s="389"/>
      <c r="U226" s="67"/>
      <c r="V226" s="389"/>
      <c r="W226" s="67"/>
      <c r="X226" s="389"/>
      <c r="Y226" s="67"/>
      <c r="Z226" s="389"/>
      <c r="AA226" s="67"/>
      <c r="AB226" s="389"/>
      <c r="AC226" s="71">
        <f t="shared" si="3"/>
        <v>25000</v>
      </c>
      <c r="AD226" s="389">
        <f t="shared" si="3"/>
        <v>0</v>
      </c>
    </row>
    <row r="227" spans="1:30" ht="16" x14ac:dyDescent="0.2">
      <c r="A227" s="393">
        <v>112</v>
      </c>
      <c r="B227" s="232" t="s">
        <v>191</v>
      </c>
      <c r="C227" s="73" t="s">
        <v>652</v>
      </c>
      <c r="D227" s="74" t="s">
        <v>373</v>
      </c>
      <c r="E227" s="75">
        <v>0</v>
      </c>
      <c r="F227" s="394">
        <v>0</v>
      </c>
      <c r="G227" s="233">
        <v>0</v>
      </c>
      <c r="H227" s="394">
        <v>0</v>
      </c>
      <c r="I227" s="233">
        <v>0</v>
      </c>
      <c r="J227" s="394">
        <v>0</v>
      </c>
      <c r="K227" s="233">
        <v>0</v>
      </c>
      <c r="L227" s="394">
        <v>0</v>
      </c>
      <c r="M227" s="233">
        <v>0</v>
      </c>
      <c r="N227" s="394">
        <v>0</v>
      </c>
      <c r="O227" s="73">
        <v>0</v>
      </c>
      <c r="P227" s="394">
        <v>0</v>
      </c>
      <c r="Q227" s="76">
        <v>2366</v>
      </c>
      <c r="R227" s="396">
        <v>0</v>
      </c>
      <c r="S227" s="73"/>
      <c r="T227" s="396"/>
      <c r="U227" s="73"/>
      <c r="V227" s="396"/>
      <c r="W227" s="73"/>
      <c r="X227" s="396"/>
      <c r="Y227" s="73"/>
      <c r="Z227" s="396"/>
      <c r="AA227" s="73"/>
      <c r="AB227" s="396"/>
      <c r="AC227" s="76">
        <f t="shared" si="3"/>
        <v>2366</v>
      </c>
      <c r="AD227" s="396">
        <f t="shared" si="3"/>
        <v>0</v>
      </c>
    </row>
    <row r="228" spans="1:30" ht="16" x14ac:dyDescent="0.2">
      <c r="A228" s="393"/>
      <c r="B228" s="234" t="s">
        <v>191</v>
      </c>
      <c r="C228" s="73" t="s">
        <v>652</v>
      </c>
      <c r="D228" s="74" t="s">
        <v>374</v>
      </c>
      <c r="E228" s="75">
        <v>0</v>
      </c>
      <c r="F228" s="395"/>
      <c r="G228" s="233">
        <v>0</v>
      </c>
      <c r="H228" s="395"/>
      <c r="I228" s="233">
        <v>0</v>
      </c>
      <c r="J228" s="395"/>
      <c r="K228" s="233">
        <v>0</v>
      </c>
      <c r="L228" s="395"/>
      <c r="M228" s="233">
        <v>0</v>
      </c>
      <c r="N228" s="395"/>
      <c r="O228" s="73">
        <v>0</v>
      </c>
      <c r="P228" s="395"/>
      <c r="Q228" s="76">
        <v>2850</v>
      </c>
      <c r="R228" s="396"/>
      <c r="S228" s="73"/>
      <c r="T228" s="396"/>
      <c r="U228" s="73"/>
      <c r="V228" s="396"/>
      <c r="W228" s="73"/>
      <c r="X228" s="396"/>
      <c r="Y228" s="73"/>
      <c r="Z228" s="396"/>
      <c r="AA228" s="73"/>
      <c r="AB228" s="396"/>
      <c r="AC228" s="76">
        <f t="shared" si="3"/>
        <v>2850</v>
      </c>
      <c r="AD228" s="396">
        <f t="shared" si="3"/>
        <v>0</v>
      </c>
    </row>
    <row r="229" spans="1:30" ht="16" x14ac:dyDescent="0.2">
      <c r="A229" s="393">
        <v>113</v>
      </c>
      <c r="B229" s="232" t="s">
        <v>191</v>
      </c>
      <c r="C229" s="73" t="s">
        <v>653</v>
      </c>
      <c r="D229" s="74" t="s">
        <v>373</v>
      </c>
      <c r="E229" s="75">
        <v>0</v>
      </c>
      <c r="F229" s="394">
        <v>0</v>
      </c>
      <c r="G229" s="233">
        <v>0</v>
      </c>
      <c r="H229" s="394">
        <v>0</v>
      </c>
      <c r="I229" s="233">
        <v>0</v>
      </c>
      <c r="J229" s="394">
        <v>0</v>
      </c>
      <c r="K229" s="233">
        <v>0</v>
      </c>
      <c r="L229" s="394">
        <v>0</v>
      </c>
      <c r="M229" s="233">
        <v>0</v>
      </c>
      <c r="N229" s="394">
        <v>0</v>
      </c>
      <c r="O229" s="73">
        <v>0</v>
      </c>
      <c r="P229" s="394">
        <v>0</v>
      </c>
      <c r="Q229" s="76">
        <v>2387</v>
      </c>
      <c r="R229" s="396">
        <v>0</v>
      </c>
      <c r="S229" s="73"/>
      <c r="T229" s="396"/>
      <c r="U229" s="73"/>
      <c r="V229" s="396"/>
      <c r="W229" s="73"/>
      <c r="X229" s="396"/>
      <c r="Y229" s="73"/>
      <c r="Z229" s="396"/>
      <c r="AA229" s="73"/>
      <c r="AB229" s="396"/>
      <c r="AC229" s="76">
        <f t="shared" si="3"/>
        <v>2387</v>
      </c>
      <c r="AD229" s="396">
        <f t="shared" si="3"/>
        <v>0</v>
      </c>
    </row>
    <row r="230" spans="1:30" ht="16" x14ac:dyDescent="0.2">
      <c r="A230" s="393"/>
      <c r="B230" s="234" t="s">
        <v>191</v>
      </c>
      <c r="C230" s="73" t="s">
        <v>653</v>
      </c>
      <c r="D230" s="74" t="s">
        <v>374</v>
      </c>
      <c r="E230" s="75">
        <v>0</v>
      </c>
      <c r="F230" s="395"/>
      <c r="G230" s="233">
        <v>0</v>
      </c>
      <c r="H230" s="395"/>
      <c r="I230" s="233">
        <v>0</v>
      </c>
      <c r="J230" s="395"/>
      <c r="K230" s="233">
        <v>0</v>
      </c>
      <c r="L230" s="395"/>
      <c r="M230" s="233">
        <v>0</v>
      </c>
      <c r="N230" s="395"/>
      <c r="O230" s="73">
        <v>0</v>
      </c>
      <c r="P230" s="395"/>
      <c r="Q230" s="76">
        <v>3200</v>
      </c>
      <c r="R230" s="396"/>
      <c r="S230" s="73"/>
      <c r="T230" s="396"/>
      <c r="U230" s="73"/>
      <c r="V230" s="396"/>
      <c r="W230" s="73"/>
      <c r="X230" s="396"/>
      <c r="Y230" s="73"/>
      <c r="Z230" s="396"/>
      <c r="AA230" s="73"/>
      <c r="AB230" s="396"/>
      <c r="AC230" s="76">
        <f t="shared" si="3"/>
        <v>3200</v>
      </c>
      <c r="AD230" s="396">
        <f t="shared" si="3"/>
        <v>0</v>
      </c>
    </row>
    <row r="231" spans="1:30" ht="16" x14ac:dyDescent="0.2">
      <c r="A231" s="393">
        <v>114</v>
      </c>
      <c r="B231" s="232" t="s">
        <v>215</v>
      </c>
      <c r="C231" s="73" t="s">
        <v>654</v>
      </c>
      <c r="D231" s="74" t="s">
        <v>373</v>
      </c>
      <c r="E231" s="75">
        <v>0</v>
      </c>
      <c r="F231" s="394">
        <v>0</v>
      </c>
      <c r="G231" s="233">
        <v>0</v>
      </c>
      <c r="H231" s="394">
        <v>0</v>
      </c>
      <c r="I231" s="233">
        <v>0</v>
      </c>
      <c r="J231" s="394">
        <v>0</v>
      </c>
      <c r="K231" s="233">
        <v>0</v>
      </c>
      <c r="L231" s="394">
        <v>0</v>
      </c>
      <c r="M231" s="233">
        <v>0</v>
      </c>
      <c r="N231" s="394">
        <v>0</v>
      </c>
      <c r="O231" s="73">
        <v>0</v>
      </c>
      <c r="P231" s="394">
        <v>0</v>
      </c>
      <c r="Q231" s="75">
        <v>1488</v>
      </c>
      <c r="R231" s="396">
        <v>0</v>
      </c>
      <c r="S231" s="75"/>
      <c r="T231" s="396"/>
      <c r="U231" s="73"/>
      <c r="V231" s="396"/>
      <c r="W231" s="73"/>
      <c r="X231" s="396"/>
      <c r="Y231" s="73"/>
      <c r="Z231" s="396"/>
      <c r="AA231" s="73"/>
      <c r="AB231" s="396"/>
      <c r="AC231" s="76">
        <f t="shared" si="3"/>
        <v>1488</v>
      </c>
      <c r="AD231" s="396">
        <f t="shared" si="3"/>
        <v>0</v>
      </c>
    </row>
    <row r="232" spans="1:30" ht="16" x14ac:dyDescent="0.2">
      <c r="A232" s="393"/>
      <c r="B232" s="234" t="s">
        <v>215</v>
      </c>
      <c r="C232" s="73" t="s">
        <v>654</v>
      </c>
      <c r="D232" s="74" t="s">
        <v>374</v>
      </c>
      <c r="E232" s="75">
        <v>0</v>
      </c>
      <c r="F232" s="395"/>
      <c r="G232" s="233">
        <v>0</v>
      </c>
      <c r="H232" s="395"/>
      <c r="I232" s="233">
        <v>0</v>
      </c>
      <c r="J232" s="395"/>
      <c r="K232" s="233">
        <v>0</v>
      </c>
      <c r="L232" s="395"/>
      <c r="M232" s="233">
        <v>0</v>
      </c>
      <c r="N232" s="395"/>
      <c r="O232" s="73">
        <v>0</v>
      </c>
      <c r="P232" s="395"/>
      <c r="Q232" s="75">
        <v>1976</v>
      </c>
      <c r="R232" s="396"/>
      <c r="S232" s="75"/>
      <c r="T232" s="396"/>
      <c r="U232" s="73"/>
      <c r="V232" s="396"/>
      <c r="W232" s="73"/>
      <c r="X232" s="396"/>
      <c r="Y232" s="73"/>
      <c r="Z232" s="396"/>
      <c r="AA232" s="73"/>
      <c r="AB232" s="396"/>
      <c r="AC232" s="76">
        <f t="shared" si="3"/>
        <v>1976</v>
      </c>
      <c r="AD232" s="396">
        <f t="shared" si="3"/>
        <v>0</v>
      </c>
    </row>
    <row r="233" spans="1:30" ht="16" x14ac:dyDescent="0.2">
      <c r="A233" s="388">
        <v>115</v>
      </c>
      <c r="B233" s="230" t="s">
        <v>215</v>
      </c>
      <c r="C233" s="67" t="s">
        <v>403</v>
      </c>
      <c r="D233" s="68" t="s">
        <v>373</v>
      </c>
      <c r="E233" s="69">
        <v>0</v>
      </c>
      <c r="F233" s="389">
        <v>0</v>
      </c>
      <c r="G233" s="69">
        <v>0</v>
      </c>
      <c r="H233" s="389">
        <v>0</v>
      </c>
      <c r="I233" s="69">
        <v>2400</v>
      </c>
      <c r="J233" s="389">
        <v>0</v>
      </c>
      <c r="K233" s="69">
        <v>2850</v>
      </c>
      <c r="L233" s="387">
        <v>192617.82</v>
      </c>
      <c r="M233" s="69">
        <v>2462</v>
      </c>
      <c r="N233" s="389">
        <v>235968.6</v>
      </c>
      <c r="O233" s="69">
        <v>2625</v>
      </c>
      <c r="P233" s="389">
        <v>230997.06</v>
      </c>
      <c r="Q233" s="69">
        <v>2475</v>
      </c>
      <c r="R233" s="389">
        <v>234626.25</v>
      </c>
      <c r="S233" s="69"/>
      <c r="T233" s="389"/>
      <c r="U233" s="67"/>
      <c r="V233" s="389"/>
      <c r="W233" s="67"/>
      <c r="X233" s="389"/>
      <c r="Y233" s="67"/>
      <c r="Z233" s="389"/>
      <c r="AA233" s="67"/>
      <c r="AB233" s="389"/>
      <c r="AC233" s="71">
        <f t="shared" si="3"/>
        <v>12812</v>
      </c>
      <c r="AD233" s="389">
        <f t="shared" si="3"/>
        <v>894209.73</v>
      </c>
    </row>
    <row r="234" spans="1:30" ht="16" x14ac:dyDescent="0.2">
      <c r="A234" s="388"/>
      <c r="B234" s="231" t="s">
        <v>215</v>
      </c>
      <c r="C234" s="67" t="s">
        <v>403</v>
      </c>
      <c r="D234" s="68" t="s">
        <v>374</v>
      </c>
      <c r="E234" s="69">
        <v>0</v>
      </c>
      <c r="F234" s="389"/>
      <c r="G234" s="69">
        <v>0</v>
      </c>
      <c r="H234" s="389"/>
      <c r="I234" s="69">
        <v>3200</v>
      </c>
      <c r="J234" s="389"/>
      <c r="K234" s="69">
        <v>3782</v>
      </c>
      <c r="L234" s="390"/>
      <c r="M234" s="69">
        <v>4000</v>
      </c>
      <c r="N234" s="389"/>
      <c r="O234" s="69">
        <v>3950</v>
      </c>
      <c r="P234" s="389"/>
      <c r="Q234" s="69">
        <v>3425</v>
      </c>
      <c r="R234" s="389"/>
      <c r="S234" s="69"/>
      <c r="T234" s="389"/>
      <c r="U234" s="67"/>
      <c r="V234" s="389"/>
      <c r="W234" s="67"/>
      <c r="X234" s="389"/>
      <c r="Y234" s="67"/>
      <c r="Z234" s="389"/>
      <c r="AA234" s="67"/>
      <c r="AB234" s="389"/>
      <c r="AC234" s="71">
        <f t="shared" si="3"/>
        <v>18357</v>
      </c>
      <c r="AD234" s="389">
        <f t="shared" si="3"/>
        <v>0</v>
      </c>
    </row>
    <row r="235" spans="1:30" ht="16" x14ac:dyDescent="0.2">
      <c r="A235" s="393">
        <v>116</v>
      </c>
      <c r="B235" s="232" t="s">
        <v>215</v>
      </c>
      <c r="C235" s="73" t="s">
        <v>228</v>
      </c>
      <c r="D235" s="74" t="s">
        <v>373</v>
      </c>
      <c r="E235" s="75">
        <v>0</v>
      </c>
      <c r="F235" s="394">
        <v>0</v>
      </c>
      <c r="G235" s="233">
        <v>0</v>
      </c>
      <c r="H235" s="394">
        <v>0</v>
      </c>
      <c r="I235" s="233">
        <v>0</v>
      </c>
      <c r="J235" s="394">
        <v>0</v>
      </c>
      <c r="K235" s="233">
        <v>0</v>
      </c>
      <c r="L235" s="394">
        <v>0</v>
      </c>
      <c r="M235" s="233">
        <v>0</v>
      </c>
      <c r="N235" s="394">
        <v>0</v>
      </c>
      <c r="O235" s="73">
        <v>0</v>
      </c>
      <c r="P235" s="394">
        <v>0</v>
      </c>
      <c r="Q235" s="75">
        <v>3000</v>
      </c>
      <c r="R235" s="396">
        <v>0</v>
      </c>
      <c r="S235" s="75"/>
      <c r="T235" s="396"/>
      <c r="U235" s="73"/>
      <c r="V235" s="396"/>
      <c r="W235" s="73"/>
      <c r="X235" s="396"/>
      <c r="Y235" s="73"/>
      <c r="Z235" s="396"/>
      <c r="AA235" s="73"/>
      <c r="AB235" s="396"/>
      <c r="AC235" s="76">
        <f t="shared" si="3"/>
        <v>3000</v>
      </c>
      <c r="AD235" s="396">
        <f t="shared" si="3"/>
        <v>0</v>
      </c>
    </row>
    <row r="236" spans="1:30" ht="16" x14ac:dyDescent="0.2">
      <c r="A236" s="393"/>
      <c r="B236" s="234" t="s">
        <v>215</v>
      </c>
      <c r="C236" s="73" t="s">
        <v>228</v>
      </c>
      <c r="D236" s="74" t="s">
        <v>374</v>
      </c>
      <c r="E236" s="75">
        <v>0</v>
      </c>
      <c r="F236" s="395"/>
      <c r="G236" s="233">
        <v>0</v>
      </c>
      <c r="H236" s="395"/>
      <c r="I236" s="233">
        <v>0</v>
      </c>
      <c r="J236" s="395"/>
      <c r="K236" s="233">
        <v>0</v>
      </c>
      <c r="L236" s="395"/>
      <c r="M236" s="233">
        <v>0</v>
      </c>
      <c r="N236" s="395"/>
      <c r="O236" s="73">
        <v>0</v>
      </c>
      <c r="P236" s="395"/>
      <c r="Q236" s="75">
        <v>4000</v>
      </c>
      <c r="R236" s="396"/>
      <c r="S236" s="75"/>
      <c r="T236" s="396"/>
      <c r="U236" s="73"/>
      <c r="V236" s="396"/>
      <c r="W236" s="73"/>
      <c r="X236" s="396"/>
      <c r="Y236" s="73"/>
      <c r="Z236" s="396"/>
      <c r="AA236" s="73"/>
      <c r="AB236" s="396"/>
      <c r="AC236" s="76">
        <f t="shared" si="3"/>
        <v>4000</v>
      </c>
      <c r="AD236" s="396">
        <f t="shared" si="3"/>
        <v>0</v>
      </c>
    </row>
    <row r="237" spans="1:30" ht="16" x14ac:dyDescent="0.2">
      <c r="A237" s="388">
        <v>117</v>
      </c>
      <c r="B237" s="230" t="s">
        <v>215</v>
      </c>
      <c r="C237" s="67" t="s">
        <v>404</v>
      </c>
      <c r="D237" s="68" t="s">
        <v>373</v>
      </c>
      <c r="E237" s="69">
        <v>2250</v>
      </c>
      <c r="F237" s="389">
        <v>0</v>
      </c>
      <c r="G237" s="69">
        <v>2500</v>
      </c>
      <c r="H237" s="389">
        <v>0</v>
      </c>
      <c r="I237" s="69">
        <v>2750</v>
      </c>
      <c r="J237" s="389">
        <v>412608.75</v>
      </c>
      <c r="K237" s="69">
        <v>2125</v>
      </c>
      <c r="L237" s="387">
        <v>232976.09999999998</v>
      </c>
      <c r="M237" s="69">
        <v>2000</v>
      </c>
      <c r="N237" s="389">
        <v>185392.5</v>
      </c>
      <c r="O237" s="69">
        <v>2100</v>
      </c>
      <c r="P237" s="389">
        <v>178410</v>
      </c>
      <c r="Q237" s="69">
        <v>2300</v>
      </c>
      <c r="R237" s="389">
        <v>187330.50000000012</v>
      </c>
      <c r="S237" s="69"/>
      <c r="T237" s="389"/>
      <c r="U237" s="67"/>
      <c r="V237" s="389"/>
      <c r="W237" s="67"/>
      <c r="X237" s="389"/>
      <c r="Y237" s="67"/>
      <c r="Z237" s="389"/>
      <c r="AA237" s="67"/>
      <c r="AB237" s="389"/>
      <c r="AC237" s="71">
        <f t="shared" si="3"/>
        <v>16025</v>
      </c>
      <c r="AD237" s="389">
        <f t="shared" si="3"/>
        <v>1196717.8500000001</v>
      </c>
    </row>
    <row r="238" spans="1:30" ht="16" x14ac:dyDescent="0.2">
      <c r="A238" s="388"/>
      <c r="B238" s="231" t="s">
        <v>215</v>
      </c>
      <c r="C238" s="67" t="s">
        <v>404</v>
      </c>
      <c r="D238" s="68" t="s">
        <v>374</v>
      </c>
      <c r="E238" s="69">
        <v>3325</v>
      </c>
      <c r="F238" s="389"/>
      <c r="G238" s="69">
        <v>3500</v>
      </c>
      <c r="H238" s="389"/>
      <c r="I238" s="69">
        <v>3850</v>
      </c>
      <c r="J238" s="389"/>
      <c r="K238" s="69">
        <v>3075</v>
      </c>
      <c r="L238" s="390"/>
      <c r="M238" s="69">
        <v>3000</v>
      </c>
      <c r="N238" s="389"/>
      <c r="O238" s="69">
        <v>3750</v>
      </c>
      <c r="P238" s="389"/>
      <c r="Q238" s="69">
        <v>3200</v>
      </c>
      <c r="R238" s="389"/>
      <c r="S238" s="69"/>
      <c r="T238" s="389"/>
      <c r="U238" s="67"/>
      <c r="V238" s="389"/>
      <c r="W238" s="67"/>
      <c r="X238" s="389"/>
      <c r="Y238" s="67"/>
      <c r="Z238" s="389"/>
      <c r="AA238" s="67"/>
      <c r="AB238" s="389"/>
      <c r="AC238" s="71">
        <f t="shared" si="3"/>
        <v>23700</v>
      </c>
      <c r="AD238" s="389">
        <f t="shared" si="3"/>
        <v>0</v>
      </c>
    </row>
    <row r="239" spans="1:30" ht="16" x14ac:dyDescent="0.2">
      <c r="A239" s="393">
        <v>118</v>
      </c>
      <c r="B239" s="232" t="s">
        <v>215</v>
      </c>
      <c r="C239" s="73" t="s">
        <v>655</v>
      </c>
      <c r="D239" s="74" t="s">
        <v>373</v>
      </c>
      <c r="E239" s="75">
        <v>0</v>
      </c>
      <c r="F239" s="394">
        <v>0</v>
      </c>
      <c r="G239" s="233">
        <v>0</v>
      </c>
      <c r="H239" s="394">
        <v>0</v>
      </c>
      <c r="I239" s="233">
        <v>0</v>
      </c>
      <c r="J239" s="394">
        <v>0</v>
      </c>
      <c r="K239" s="233">
        <v>0</v>
      </c>
      <c r="L239" s="394">
        <v>0</v>
      </c>
      <c r="M239" s="233">
        <v>0</v>
      </c>
      <c r="N239" s="394">
        <v>0</v>
      </c>
      <c r="O239" s="73">
        <v>0</v>
      </c>
      <c r="P239" s="394">
        <v>0</v>
      </c>
      <c r="Q239" s="75">
        <v>1500</v>
      </c>
      <c r="R239" s="396">
        <v>0</v>
      </c>
      <c r="S239" s="75"/>
      <c r="T239" s="396"/>
      <c r="U239" s="73"/>
      <c r="V239" s="396"/>
      <c r="W239" s="73"/>
      <c r="X239" s="396"/>
      <c r="Y239" s="73"/>
      <c r="Z239" s="396"/>
      <c r="AA239" s="73"/>
      <c r="AB239" s="396"/>
      <c r="AC239" s="76">
        <f t="shared" si="3"/>
        <v>1500</v>
      </c>
      <c r="AD239" s="396">
        <f t="shared" si="3"/>
        <v>0</v>
      </c>
    </row>
    <row r="240" spans="1:30" ht="16" x14ac:dyDescent="0.2">
      <c r="A240" s="393"/>
      <c r="B240" s="234" t="s">
        <v>215</v>
      </c>
      <c r="C240" s="73" t="s">
        <v>655</v>
      </c>
      <c r="D240" s="74" t="s">
        <v>374</v>
      </c>
      <c r="E240" s="75">
        <v>0</v>
      </c>
      <c r="F240" s="395"/>
      <c r="G240" s="233">
        <v>0</v>
      </c>
      <c r="H240" s="395"/>
      <c r="I240" s="233">
        <v>0</v>
      </c>
      <c r="J240" s="395"/>
      <c r="K240" s="233">
        <v>0</v>
      </c>
      <c r="L240" s="395"/>
      <c r="M240" s="233">
        <v>0</v>
      </c>
      <c r="N240" s="395"/>
      <c r="O240" s="73">
        <v>0</v>
      </c>
      <c r="P240" s="395"/>
      <c r="Q240" s="75">
        <v>2000</v>
      </c>
      <c r="R240" s="396"/>
      <c r="S240" s="75"/>
      <c r="T240" s="396"/>
      <c r="U240" s="73"/>
      <c r="V240" s="396"/>
      <c r="W240" s="73"/>
      <c r="X240" s="396"/>
      <c r="Y240" s="73"/>
      <c r="Z240" s="396"/>
      <c r="AA240" s="73"/>
      <c r="AB240" s="396"/>
      <c r="AC240" s="76">
        <f t="shared" si="3"/>
        <v>2000</v>
      </c>
      <c r="AD240" s="396">
        <f t="shared" si="3"/>
        <v>0</v>
      </c>
    </row>
    <row r="241" spans="1:30" ht="16" x14ac:dyDescent="0.2">
      <c r="A241" s="388">
        <v>119</v>
      </c>
      <c r="B241" s="230" t="s">
        <v>215</v>
      </c>
      <c r="C241" s="67" t="s">
        <v>405</v>
      </c>
      <c r="D241" s="68" t="s">
        <v>373</v>
      </c>
      <c r="E241" s="69">
        <v>2608</v>
      </c>
      <c r="F241" s="389">
        <v>0</v>
      </c>
      <c r="G241" s="69">
        <v>3000</v>
      </c>
      <c r="H241" s="389">
        <v>0</v>
      </c>
      <c r="I241" s="69">
        <v>3300</v>
      </c>
      <c r="J241" s="389">
        <v>477587.04</v>
      </c>
      <c r="K241" s="69">
        <v>2350</v>
      </c>
      <c r="L241" s="387">
        <v>273999.00000000006</v>
      </c>
      <c r="M241" s="69">
        <v>2000</v>
      </c>
      <c r="N241" s="389">
        <v>201295.5</v>
      </c>
      <c r="O241" s="69">
        <v>2000</v>
      </c>
      <c r="P241" s="389">
        <v>178410</v>
      </c>
      <c r="Q241" s="69">
        <v>2200</v>
      </c>
      <c r="R241" s="389">
        <v>183967.5</v>
      </c>
      <c r="S241" s="69"/>
      <c r="T241" s="389"/>
      <c r="U241" s="67"/>
      <c r="V241" s="389"/>
      <c r="W241" s="67"/>
      <c r="X241" s="389"/>
      <c r="Y241" s="67"/>
      <c r="Z241" s="389"/>
      <c r="AA241" s="67"/>
      <c r="AB241" s="389"/>
      <c r="AC241" s="71">
        <f t="shared" si="3"/>
        <v>17458</v>
      </c>
      <c r="AD241" s="389">
        <f t="shared" si="3"/>
        <v>1315259.04</v>
      </c>
    </row>
    <row r="242" spans="1:30" ht="16" x14ac:dyDescent="0.2">
      <c r="A242" s="388"/>
      <c r="B242" s="231" t="s">
        <v>215</v>
      </c>
      <c r="C242" s="67" t="s">
        <v>405</v>
      </c>
      <c r="D242" s="68" t="s">
        <v>374</v>
      </c>
      <c r="E242" s="69">
        <v>3726</v>
      </c>
      <c r="F242" s="389"/>
      <c r="G242" s="69">
        <v>4050</v>
      </c>
      <c r="H242" s="389"/>
      <c r="I242" s="69">
        <v>4400</v>
      </c>
      <c r="J242" s="389"/>
      <c r="K242" s="69">
        <v>3300</v>
      </c>
      <c r="L242" s="390"/>
      <c r="M242" s="69">
        <v>3000</v>
      </c>
      <c r="N242" s="389"/>
      <c r="O242" s="69">
        <v>3150</v>
      </c>
      <c r="P242" s="389"/>
      <c r="Q242" s="69">
        <v>3450</v>
      </c>
      <c r="R242" s="389"/>
      <c r="S242" s="69"/>
      <c r="T242" s="389"/>
      <c r="U242" s="67"/>
      <c r="V242" s="389"/>
      <c r="W242" s="67"/>
      <c r="X242" s="389"/>
      <c r="Y242" s="67"/>
      <c r="Z242" s="389"/>
      <c r="AA242" s="67"/>
      <c r="AB242" s="389"/>
      <c r="AC242" s="71">
        <f t="shared" si="3"/>
        <v>25076</v>
      </c>
      <c r="AD242" s="389">
        <f t="shared" si="3"/>
        <v>0</v>
      </c>
    </row>
    <row r="243" spans="1:30" ht="16" x14ac:dyDescent="0.2">
      <c r="A243" s="388">
        <v>120</v>
      </c>
      <c r="B243" s="230" t="s">
        <v>215</v>
      </c>
      <c r="C243" s="67" t="s">
        <v>406</v>
      </c>
      <c r="D243" s="68" t="s">
        <v>373</v>
      </c>
      <c r="E243" s="69">
        <v>2240</v>
      </c>
      <c r="F243" s="389">
        <v>0</v>
      </c>
      <c r="G243" s="69">
        <v>2500</v>
      </c>
      <c r="H243" s="389">
        <v>0</v>
      </c>
      <c r="I243" s="69">
        <v>2750</v>
      </c>
      <c r="J243" s="389">
        <v>358834.95</v>
      </c>
      <c r="K243" s="70">
        <v>2375</v>
      </c>
      <c r="L243" s="387">
        <v>203309.99999999994</v>
      </c>
      <c r="M243" s="70">
        <v>2500</v>
      </c>
      <c r="N243" s="387">
        <v>144184</v>
      </c>
      <c r="O243" s="67">
        <v>2625</v>
      </c>
      <c r="P243" s="387">
        <v>152000</v>
      </c>
      <c r="Q243" s="71">
        <v>2875</v>
      </c>
      <c r="R243" s="389">
        <v>159600</v>
      </c>
      <c r="S243" s="67"/>
      <c r="T243" s="389"/>
      <c r="U243" s="67"/>
      <c r="V243" s="389"/>
      <c r="W243" s="67"/>
      <c r="X243" s="389"/>
      <c r="Y243" s="67"/>
      <c r="Z243" s="389"/>
      <c r="AA243" s="67"/>
      <c r="AB243" s="389"/>
      <c r="AC243" s="71">
        <f t="shared" si="3"/>
        <v>17865</v>
      </c>
      <c r="AD243" s="389">
        <f t="shared" si="3"/>
        <v>1017928.95</v>
      </c>
    </row>
    <row r="244" spans="1:30" ht="16" x14ac:dyDescent="0.2">
      <c r="A244" s="388"/>
      <c r="B244" s="231" t="s">
        <v>215</v>
      </c>
      <c r="C244" s="67" t="s">
        <v>406</v>
      </c>
      <c r="D244" s="68" t="s">
        <v>374</v>
      </c>
      <c r="E244" s="69">
        <v>3325</v>
      </c>
      <c r="F244" s="389"/>
      <c r="G244" s="69">
        <v>3500</v>
      </c>
      <c r="H244" s="389"/>
      <c r="I244" s="69">
        <v>3850</v>
      </c>
      <c r="J244" s="389"/>
      <c r="K244" s="70">
        <v>3317</v>
      </c>
      <c r="L244" s="390"/>
      <c r="M244" s="70">
        <v>3500</v>
      </c>
      <c r="N244" s="390"/>
      <c r="O244" s="67">
        <v>3675</v>
      </c>
      <c r="P244" s="390"/>
      <c r="Q244" s="71">
        <v>4025</v>
      </c>
      <c r="R244" s="389"/>
      <c r="S244" s="67"/>
      <c r="T244" s="389"/>
      <c r="U244" s="67"/>
      <c r="V244" s="389"/>
      <c r="W244" s="67"/>
      <c r="X244" s="389"/>
      <c r="Y244" s="67"/>
      <c r="Z244" s="389"/>
      <c r="AA244" s="67"/>
      <c r="AB244" s="389"/>
      <c r="AC244" s="71">
        <f t="shared" si="3"/>
        <v>25192</v>
      </c>
      <c r="AD244" s="389">
        <f t="shared" si="3"/>
        <v>0</v>
      </c>
    </row>
    <row r="245" spans="1:30" ht="16" x14ac:dyDescent="0.2">
      <c r="A245" s="388">
        <v>121</v>
      </c>
      <c r="B245" s="230" t="s">
        <v>237</v>
      </c>
      <c r="C245" s="67" t="s">
        <v>238</v>
      </c>
      <c r="D245" s="68" t="s">
        <v>373</v>
      </c>
      <c r="E245" s="69">
        <v>0</v>
      </c>
      <c r="F245" s="389">
        <v>0</v>
      </c>
      <c r="G245" s="69">
        <v>0</v>
      </c>
      <c r="H245" s="389">
        <v>0</v>
      </c>
      <c r="I245" s="69">
        <v>0</v>
      </c>
      <c r="J245" s="389">
        <v>0</v>
      </c>
      <c r="K245" s="69">
        <v>0</v>
      </c>
      <c r="L245" s="389">
        <v>0</v>
      </c>
      <c r="M245" s="69">
        <v>1800</v>
      </c>
      <c r="N245" s="389">
        <v>0</v>
      </c>
      <c r="O245" s="69">
        <v>2081</v>
      </c>
      <c r="P245" s="389">
        <v>146291.4</v>
      </c>
      <c r="Q245" s="69">
        <v>2300</v>
      </c>
      <c r="R245" s="389">
        <v>175461.66</v>
      </c>
      <c r="S245" s="69"/>
      <c r="T245" s="389"/>
      <c r="U245" s="67"/>
      <c r="V245" s="389"/>
      <c r="W245" s="67"/>
      <c r="X245" s="389"/>
      <c r="Y245" s="67"/>
      <c r="Z245" s="389"/>
      <c r="AA245" s="67"/>
      <c r="AB245" s="389"/>
      <c r="AC245" s="71">
        <f t="shared" si="3"/>
        <v>6181</v>
      </c>
      <c r="AD245" s="389">
        <f t="shared" si="3"/>
        <v>321753.06</v>
      </c>
    </row>
    <row r="246" spans="1:30" ht="16" x14ac:dyDescent="0.2">
      <c r="A246" s="388"/>
      <c r="B246" s="231" t="s">
        <v>237</v>
      </c>
      <c r="C246" s="67" t="s">
        <v>238</v>
      </c>
      <c r="D246" s="68" t="s">
        <v>374</v>
      </c>
      <c r="E246" s="69">
        <v>0</v>
      </c>
      <c r="F246" s="389"/>
      <c r="G246" s="69">
        <v>0</v>
      </c>
      <c r="H246" s="389"/>
      <c r="I246" s="69">
        <v>0</v>
      </c>
      <c r="J246" s="389"/>
      <c r="K246" s="69">
        <v>0</v>
      </c>
      <c r="L246" s="389"/>
      <c r="M246" s="69">
        <v>2534</v>
      </c>
      <c r="N246" s="389"/>
      <c r="O246" s="69">
        <v>3110</v>
      </c>
      <c r="P246" s="389"/>
      <c r="Q246" s="69">
        <v>3377</v>
      </c>
      <c r="R246" s="389"/>
      <c r="S246" s="69"/>
      <c r="T246" s="389"/>
      <c r="U246" s="67"/>
      <c r="V246" s="389"/>
      <c r="W246" s="67"/>
      <c r="X246" s="389"/>
      <c r="Y246" s="67"/>
      <c r="Z246" s="389"/>
      <c r="AA246" s="67"/>
      <c r="AB246" s="389"/>
      <c r="AC246" s="71">
        <f t="shared" si="3"/>
        <v>9021</v>
      </c>
      <c r="AD246" s="389">
        <f t="shared" si="3"/>
        <v>0</v>
      </c>
    </row>
    <row r="247" spans="1:30" ht="16" x14ac:dyDescent="0.2">
      <c r="A247" s="388">
        <v>122</v>
      </c>
      <c r="B247" s="230" t="s">
        <v>237</v>
      </c>
      <c r="C247" s="67" t="s">
        <v>407</v>
      </c>
      <c r="D247" s="68" t="s">
        <v>373</v>
      </c>
      <c r="E247" s="69">
        <v>0</v>
      </c>
      <c r="F247" s="389">
        <v>0</v>
      </c>
      <c r="G247" s="69">
        <v>0</v>
      </c>
      <c r="H247" s="389">
        <v>0</v>
      </c>
      <c r="I247" s="69">
        <v>0</v>
      </c>
      <c r="J247" s="389">
        <v>0</v>
      </c>
      <c r="K247" s="69">
        <v>0</v>
      </c>
      <c r="L247" s="389">
        <v>0</v>
      </c>
      <c r="M247" s="69">
        <v>0</v>
      </c>
      <c r="N247" s="389">
        <v>0</v>
      </c>
      <c r="O247" s="69">
        <v>853</v>
      </c>
      <c r="P247" s="389">
        <v>0</v>
      </c>
      <c r="Q247" s="69">
        <v>2230</v>
      </c>
      <c r="R247" s="389">
        <v>74561.58</v>
      </c>
      <c r="S247" s="69"/>
      <c r="T247" s="389"/>
      <c r="U247" s="67"/>
      <c r="V247" s="389"/>
      <c r="W247" s="67"/>
      <c r="X247" s="389"/>
      <c r="Y247" s="67"/>
      <c r="Z247" s="389"/>
      <c r="AA247" s="67"/>
      <c r="AB247" s="389"/>
      <c r="AC247" s="71">
        <f t="shared" si="3"/>
        <v>3083</v>
      </c>
      <c r="AD247" s="389">
        <f t="shared" si="3"/>
        <v>74561.58</v>
      </c>
    </row>
    <row r="248" spans="1:30" ht="16" x14ac:dyDescent="0.2">
      <c r="A248" s="388"/>
      <c r="B248" s="231" t="s">
        <v>237</v>
      </c>
      <c r="C248" s="67" t="s">
        <v>407</v>
      </c>
      <c r="D248" s="68" t="s">
        <v>374</v>
      </c>
      <c r="E248" s="69">
        <v>0</v>
      </c>
      <c r="F248" s="389"/>
      <c r="G248" s="69">
        <v>0</v>
      </c>
      <c r="H248" s="389"/>
      <c r="I248" s="69">
        <v>0</v>
      </c>
      <c r="J248" s="389"/>
      <c r="K248" s="69">
        <v>0</v>
      </c>
      <c r="L248" s="389"/>
      <c r="M248" s="69">
        <v>0</v>
      </c>
      <c r="N248" s="389"/>
      <c r="O248" s="69">
        <v>1350</v>
      </c>
      <c r="P248" s="389"/>
      <c r="Q248" s="69">
        <v>3436</v>
      </c>
      <c r="R248" s="389"/>
      <c r="S248" s="69"/>
      <c r="T248" s="389"/>
      <c r="U248" s="67"/>
      <c r="V248" s="389"/>
      <c r="W248" s="67"/>
      <c r="X248" s="389"/>
      <c r="Y248" s="67"/>
      <c r="Z248" s="389"/>
      <c r="AA248" s="67"/>
      <c r="AB248" s="389"/>
      <c r="AC248" s="71">
        <f t="shared" si="3"/>
        <v>4786</v>
      </c>
      <c r="AD248" s="389">
        <f t="shared" si="3"/>
        <v>0</v>
      </c>
    </row>
    <row r="249" spans="1:30" ht="16" x14ac:dyDescent="0.2">
      <c r="A249" s="388">
        <v>123</v>
      </c>
      <c r="B249" s="230" t="s">
        <v>237</v>
      </c>
      <c r="C249" s="67" t="s">
        <v>240</v>
      </c>
      <c r="D249" s="68" t="s">
        <v>373</v>
      </c>
      <c r="E249" s="69">
        <v>0</v>
      </c>
      <c r="F249" s="389">
        <v>0</v>
      </c>
      <c r="G249" s="69">
        <v>0</v>
      </c>
      <c r="H249" s="389">
        <v>0</v>
      </c>
      <c r="I249" s="69">
        <v>0</v>
      </c>
      <c r="J249" s="389">
        <v>0</v>
      </c>
      <c r="K249" s="69">
        <v>0</v>
      </c>
      <c r="L249" s="389">
        <v>0</v>
      </c>
      <c r="M249" s="69">
        <v>680</v>
      </c>
      <c r="N249" s="389">
        <v>0</v>
      </c>
      <c r="O249" s="69">
        <v>2100</v>
      </c>
      <c r="P249" s="389">
        <v>63784.800000000003</v>
      </c>
      <c r="Q249" s="69">
        <v>2298</v>
      </c>
      <c r="R249" s="389">
        <v>174285</v>
      </c>
      <c r="S249" s="69"/>
      <c r="T249" s="389"/>
      <c r="U249" s="67"/>
      <c r="V249" s="389"/>
      <c r="W249" s="67"/>
      <c r="X249" s="389"/>
      <c r="Y249" s="67"/>
      <c r="Z249" s="389"/>
      <c r="AA249" s="67"/>
      <c r="AB249" s="389"/>
      <c r="AC249" s="71">
        <f t="shared" si="3"/>
        <v>5078</v>
      </c>
      <c r="AD249" s="389">
        <f t="shared" si="3"/>
        <v>238069.8</v>
      </c>
    </row>
    <row r="250" spans="1:30" ht="16" x14ac:dyDescent="0.2">
      <c r="A250" s="388"/>
      <c r="B250" s="231" t="s">
        <v>237</v>
      </c>
      <c r="C250" s="67" t="s">
        <v>240</v>
      </c>
      <c r="D250" s="68" t="s">
        <v>374</v>
      </c>
      <c r="E250" s="69">
        <v>0</v>
      </c>
      <c r="F250" s="389"/>
      <c r="G250" s="69">
        <v>0</v>
      </c>
      <c r="H250" s="389"/>
      <c r="I250" s="69">
        <v>0</v>
      </c>
      <c r="J250" s="389"/>
      <c r="K250" s="69">
        <v>0</v>
      </c>
      <c r="L250" s="389"/>
      <c r="M250" s="69">
        <v>1200</v>
      </c>
      <c r="N250" s="389"/>
      <c r="O250" s="69">
        <v>3150</v>
      </c>
      <c r="P250" s="389"/>
      <c r="Q250" s="69">
        <v>3415</v>
      </c>
      <c r="R250" s="389"/>
      <c r="S250" s="69"/>
      <c r="T250" s="389"/>
      <c r="U250" s="67"/>
      <c r="V250" s="389"/>
      <c r="W250" s="67"/>
      <c r="X250" s="389"/>
      <c r="Y250" s="67"/>
      <c r="Z250" s="389"/>
      <c r="AA250" s="67"/>
      <c r="AB250" s="389"/>
      <c r="AC250" s="71">
        <f t="shared" si="3"/>
        <v>7765</v>
      </c>
      <c r="AD250" s="389">
        <f t="shared" si="3"/>
        <v>0</v>
      </c>
    </row>
    <row r="251" spans="1:30" ht="16" x14ac:dyDescent="0.2">
      <c r="A251" s="393">
        <v>124</v>
      </c>
      <c r="B251" s="232" t="s">
        <v>237</v>
      </c>
      <c r="C251" s="73" t="s">
        <v>656</v>
      </c>
      <c r="D251" s="74" t="s">
        <v>373</v>
      </c>
      <c r="E251" s="75">
        <v>0</v>
      </c>
      <c r="F251" s="394">
        <v>0</v>
      </c>
      <c r="G251" s="233">
        <v>0</v>
      </c>
      <c r="H251" s="394">
        <v>0</v>
      </c>
      <c r="I251" s="233">
        <v>0</v>
      </c>
      <c r="J251" s="394">
        <v>0</v>
      </c>
      <c r="K251" s="233">
        <v>0</v>
      </c>
      <c r="L251" s="394">
        <v>0</v>
      </c>
      <c r="M251" s="233">
        <v>0</v>
      </c>
      <c r="N251" s="394">
        <v>0</v>
      </c>
      <c r="O251" s="73">
        <v>0</v>
      </c>
      <c r="P251" s="394">
        <v>0</v>
      </c>
      <c r="Q251" s="75">
        <v>3000</v>
      </c>
      <c r="R251" s="396">
        <v>0</v>
      </c>
      <c r="S251" s="75"/>
      <c r="T251" s="396"/>
      <c r="U251" s="73"/>
      <c r="V251" s="396"/>
      <c r="W251" s="73"/>
      <c r="X251" s="396"/>
      <c r="Y251" s="73"/>
      <c r="Z251" s="396"/>
      <c r="AA251" s="73"/>
      <c r="AB251" s="396"/>
      <c r="AC251" s="76">
        <f t="shared" si="3"/>
        <v>3000</v>
      </c>
      <c r="AD251" s="396">
        <f t="shared" si="3"/>
        <v>0</v>
      </c>
    </row>
    <row r="252" spans="1:30" ht="16" x14ac:dyDescent="0.2">
      <c r="A252" s="393"/>
      <c r="B252" s="234" t="s">
        <v>237</v>
      </c>
      <c r="C252" s="73" t="s">
        <v>656</v>
      </c>
      <c r="D252" s="74" t="s">
        <v>374</v>
      </c>
      <c r="E252" s="75">
        <v>0</v>
      </c>
      <c r="F252" s="395"/>
      <c r="G252" s="233">
        <v>0</v>
      </c>
      <c r="H252" s="395"/>
      <c r="I252" s="233">
        <v>0</v>
      </c>
      <c r="J252" s="395"/>
      <c r="K252" s="233">
        <v>0</v>
      </c>
      <c r="L252" s="395"/>
      <c r="M252" s="233">
        <v>0</v>
      </c>
      <c r="N252" s="395"/>
      <c r="O252" s="73">
        <v>0</v>
      </c>
      <c r="P252" s="395"/>
      <c r="Q252" s="75">
        <v>3800</v>
      </c>
      <c r="R252" s="396"/>
      <c r="S252" s="75"/>
      <c r="T252" s="396"/>
      <c r="U252" s="73"/>
      <c r="V252" s="396"/>
      <c r="W252" s="73"/>
      <c r="X252" s="396"/>
      <c r="Y252" s="73"/>
      <c r="Z252" s="396"/>
      <c r="AA252" s="73"/>
      <c r="AB252" s="396"/>
      <c r="AC252" s="76">
        <f t="shared" si="3"/>
        <v>3800</v>
      </c>
      <c r="AD252" s="396">
        <f t="shared" si="3"/>
        <v>0</v>
      </c>
    </row>
    <row r="253" spans="1:30" ht="16" x14ac:dyDescent="0.2">
      <c r="A253" s="393">
        <v>125</v>
      </c>
      <c r="B253" s="232" t="s">
        <v>237</v>
      </c>
      <c r="C253" s="73" t="s">
        <v>657</v>
      </c>
      <c r="D253" s="74" t="s">
        <v>373</v>
      </c>
      <c r="E253" s="75">
        <v>0</v>
      </c>
      <c r="F253" s="394">
        <v>0</v>
      </c>
      <c r="G253" s="233">
        <v>0</v>
      </c>
      <c r="H253" s="394">
        <v>0</v>
      </c>
      <c r="I253" s="233">
        <v>0</v>
      </c>
      <c r="J253" s="394">
        <v>0</v>
      </c>
      <c r="K253" s="233">
        <v>0</v>
      </c>
      <c r="L253" s="394">
        <v>0</v>
      </c>
      <c r="M253" s="233">
        <v>0</v>
      </c>
      <c r="N253" s="394">
        <v>0</v>
      </c>
      <c r="O253" s="73">
        <v>0</v>
      </c>
      <c r="P253" s="394">
        <v>0</v>
      </c>
      <c r="Q253" s="75">
        <v>2960</v>
      </c>
      <c r="R253" s="396">
        <v>0</v>
      </c>
      <c r="S253" s="75"/>
      <c r="T253" s="396"/>
      <c r="U253" s="73"/>
      <c r="V253" s="396"/>
      <c r="W253" s="73"/>
      <c r="X253" s="396"/>
      <c r="Y253" s="73"/>
      <c r="Z253" s="396"/>
      <c r="AA253" s="73"/>
      <c r="AB253" s="396"/>
      <c r="AC253" s="76">
        <f t="shared" si="3"/>
        <v>2960</v>
      </c>
      <c r="AD253" s="396">
        <f t="shared" si="3"/>
        <v>0</v>
      </c>
    </row>
    <row r="254" spans="1:30" ht="16" x14ac:dyDescent="0.2">
      <c r="A254" s="393"/>
      <c r="B254" s="234" t="s">
        <v>237</v>
      </c>
      <c r="C254" s="73" t="s">
        <v>657</v>
      </c>
      <c r="D254" s="74" t="s">
        <v>374</v>
      </c>
      <c r="E254" s="75">
        <v>0</v>
      </c>
      <c r="F254" s="395"/>
      <c r="G254" s="233">
        <v>0</v>
      </c>
      <c r="H254" s="395"/>
      <c r="I254" s="233">
        <v>0</v>
      </c>
      <c r="J254" s="395"/>
      <c r="K254" s="233">
        <v>0</v>
      </c>
      <c r="L254" s="395"/>
      <c r="M254" s="233">
        <v>0</v>
      </c>
      <c r="N254" s="395"/>
      <c r="O254" s="73">
        <v>0</v>
      </c>
      <c r="P254" s="395"/>
      <c r="Q254" s="75">
        <v>4000</v>
      </c>
      <c r="R254" s="396"/>
      <c r="S254" s="75"/>
      <c r="T254" s="396"/>
      <c r="U254" s="73"/>
      <c r="V254" s="396"/>
      <c r="W254" s="73"/>
      <c r="X254" s="396"/>
      <c r="Y254" s="73"/>
      <c r="Z254" s="396"/>
      <c r="AA254" s="73"/>
      <c r="AB254" s="396"/>
      <c r="AC254" s="76">
        <f t="shared" si="3"/>
        <v>4000</v>
      </c>
      <c r="AD254" s="396">
        <f t="shared" si="3"/>
        <v>0</v>
      </c>
    </row>
    <row r="255" spans="1:30" ht="16" x14ac:dyDescent="0.2">
      <c r="A255" s="388">
        <v>126</v>
      </c>
      <c r="B255" s="230" t="s">
        <v>237</v>
      </c>
      <c r="C255" s="67" t="s">
        <v>243</v>
      </c>
      <c r="D255" s="68" t="s">
        <v>373</v>
      </c>
      <c r="E255" s="69">
        <v>0</v>
      </c>
      <c r="F255" s="389">
        <v>0</v>
      </c>
      <c r="G255" s="69">
        <v>0</v>
      </c>
      <c r="H255" s="389">
        <v>0</v>
      </c>
      <c r="I255" s="69">
        <v>0</v>
      </c>
      <c r="J255" s="389">
        <v>0</v>
      </c>
      <c r="K255" s="69">
        <v>0</v>
      </c>
      <c r="L255" s="389">
        <v>0</v>
      </c>
      <c r="M255" s="69">
        <v>100</v>
      </c>
      <c r="N255" s="389">
        <v>0</v>
      </c>
      <c r="O255" s="69">
        <v>2200</v>
      </c>
      <c r="P255" s="389">
        <v>0</v>
      </c>
      <c r="Q255" s="69">
        <v>2300</v>
      </c>
      <c r="R255" s="389">
        <v>176418</v>
      </c>
      <c r="S255" s="69"/>
      <c r="T255" s="389"/>
      <c r="U255" s="67"/>
      <c r="V255" s="389"/>
      <c r="W255" s="67"/>
      <c r="X255" s="389"/>
      <c r="Y255" s="67"/>
      <c r="Z255" s="389"/>
      <c r="AA255" s="67"/>
      <c r="AB255" s="389"/>
      <c r="AC255" s="71">
        <f t="shared" si="3"/>
        <v>4600</v>
      </c>
      <c r="AD255" s="389">
        <f t="shared" si="3"/>
        <v>176418</v>
      </c>
    </row>
    <row r="256" spans="1:30" ht="16" x14ac:dyDescent="0.2">
      <c r="A256" s="388"/>
      <c r="B256" s="231" t="s">
        <v>237</v>
      </c>
      <c r="C256" s="67" t="s">
        <v>243</v>
      </c>
      <c r="D256" s="68" t="s">
        <v>374</v>
      </c>
      <c r="E256" s="69">
        <v>0</v>
      </c>
      <c r="F256" s="389"/>
      <c r="G256" s="69">
        <v>0</v>
      </c>
      <c r="H256" s="389"/>
      <c r="I256" s="69">
        <v>0</v>
      </c>
      <c r="J256" s="389"/>
      <c r="K256" s="69">
        <v>0</v>
      </c>
      <c r="L256" s="389"/>
      <c r="M256" s="69">
        <v>150</v>
      </c>
      <c r="N256" s="389"/>
      <c r="O256" s="69">
        <v>3270</v>
      </c>
      <c r="P256" s="389"/>
      <c r="Q256" s="69">
        <v>3420</v>
      </c>
      <c r="R256" s="389"/>
      <c r="S256" s="69"/>
      <c r="T256" s="389"/>
      <c r="U256" s="67"/>
      <c r="V256" s="389"/>
      <c r="W256" s="67"/>
      <c r="X256" s="389"/>
      <c r="Y256" s="67"/>
      <c r="Z256" s="389"/>
      <c r="AA256" s="67"/>
      <c r="AB256" s="389"/>
      <c r="AC256" s="71">
        <f t="shared" si="3"/>
        <v>6840</v>
      </c>
      <c r="AD256" s="389">
        <f t="shared" si="3"/>
        <v>0</v>
      </c>
    </row>
    <row r="257" spans="1:30" ht="16" x14ac:dyDescent="0.2">
      <c r="A257" s="393">
        <v>127</v>
      </c>
      <c r="B257" s="232" t="s">
        <v>246</v>
      </c>
      <c r="C257" s="73" t="s">
        <v>658</v>
      </c>
      <c r="D257" s="74" t="s">
        <v>373</v>
      </c>
      <c r="E257" s="75">
        <v>0</v>
      </c>
      <c r="F257" s="394">
        <v>0</v>
      </c>
      <c r="G257" s="233">
        <v>0</v>
      </c>
      <c r="H257" s="394">
        <v>0</v>
      </c>
      <c r="I257" s="233">
        <v>0</v>
      </c>
      <c r="J257" s="394">
        <v>0</v>
      </c>
      <c r="K257" s="233">
        <v>0</v>
      </c>
      <c r="L257" s="394">
        <v>0</v>
      </c>
      <c r="M257" s="233">
        <v>0</v>
      </c>
      <c r="N257" s="394">
        <v>0</v>
      </c>
      <c r="O257" s="73">
        <v>0</v>
      </c>
      <c r="P257" s="394">
        <v>0</v>
      </c>
      <c r="Q257" s="76">
        <v>2000</v>
      </c>
      <c r="R257" s="396">
        <v>0</v>
      </c>
      <c r="S257" s="73"/>
      <c r="T257" s="396"/>
      <c r="U257" s="73"/>
      <c r="V257" s="396"/>
      <c r="W257" s="73"/>
      <c r="X257" s="396"/>
      <c r="Y257" s="73"/>
      <c r="Z257" s="396"/>
      <c r="AA257" s="73"/>
      <c r="AB257" s="396"/>
      <c r="AC257" s="76">
        <f t="shared" si="3"/>
        <v>2000</v>
      </c>
      <c r="AD257" s="396">
        <f t="shared" si="3"/>
        <v>0</v>
      </c>
    </row>
    <row r="258" spans="1:30" ht="16" x14ac:dyDescent="0.2">
      <c r="A258" s="393"/>
      <c r="B258" s="234" t="s">
        <v>246</v>
      </c>
      <c r="C258" s="73" t="s">
        <v>658</v>
      </c>
      <c r="D258" s="74" t="s">
        <v>374</v>
      </c>
      <c r="E258" s="75">
        <v>0</v>
      </c>
      <c r="F258" s="395"/>
      <c r="G258" s="233">
        <v>0</v>
      </c>
      <c r="H258" s="395"/>
      <c r="I258" s="233">
        <v>0</v>
      </c>
      <c r="J258" s="395"/>
      <c r="K258" s="233">
        <v>0</v>
      </c>
      <c r="L258" s="395"/>
      <c r="M258" s="233">
        <v>0</v>
      </c>
      <c r="N258" s="395"/>
      <c r="O258" s="73">
        <v>0</v>
      </c>
      <c r="P258" s="395"/>
      <c r="Q258" s="76">
        <v>3000</v>
      </c>
      <c r="R258" s="396"/>
      <c r="S258" s="73"/>
      <c r="T258" s="396"/>
      <c r="U258" s="73"/>
      <c r="V258" s="396"/>
      <c r="W258" s="73"/>
      <c r="X258" s="396"/>
      <c r="Y258" s="73"/>
      <c r="Z258" s="396"/>
      <c r="AA258" s="73"/>
      <c r="AB258" s="396"/>
      <c r="AC258" s="76">
        <f t="shared" si="3"/>
        <v>3000</v>
      </c>
      <c r="AD258" s="396">
        <f t="shared" si="3"/>
        <v>0</v>
      </c>
    </row>
    <row r="259" spans="1:30" ht="16" x14ac:dyDescent="0.2">
      <c r="A259" s="388">
        <v>128</v>
      </c>
      <c r="B259" s="230" t="s">
        <v>246</v>
      </c>
      <c r="C259" s="67" t="s">
        <v>408</v>
      </c>
      <c r="D259" s="68" t="s">
        <v>373</v>
      </c>
      <c r="E259" s="69">
        <v>2629</v>
      </c>
      <c r="F259" s="389">
        <v>0</v>
      </c>
      <c r="G259" s="69">
        <v>3000</v>
      </c>
      <c r="H259" s="389">
        <v>0</v>
      </c>
      <c r="I259" s="69">
        <v>3300</v>
      </c>
      <c r="J259" s="389">
        <v>427946.61</v>
      </c>
      <c r="K259" s="69">
        <v>2850</v>
      </c>
      <c r="L259" s="387">
        <v>244726.05000000005</v>
      </c>
      <c r="M259" s="69">
        <v>3000</v>
      </c>
      <c r="N259" s="389">
        <v>211726.5</v>
      </c>
      <c r="O259" s="69">
        <v>3150</v>
      </c>
      <c r="P259" s="389">
        <v>222869.99999999988</v>
      </c>
      <c r="Q259" s="69">
        <v>3450</v>
      </c>
      <c r="R259" s="389">
        <v>234013.5</v>
      </c>
      <c r="S259" s="69"/>
      <c r="T259" s="389"/>
      <c r="U259" s="67"/>
      <c r="V259" s="389"/>
      <c r="W259" s="67"/>
      <c r="X259" s="389"/>
      <c r="Y259" s="67"/>
      <c r="Z259" s="389"/>
      <c r="AA259" s="67"/>
      <c r="AB259" s="389"/>
      <c r="AC259" s="71">
        <f t="shared" si="3"/>
        <v>21379</v>
      </c>
      <c r="AD259" s="389">
        <f t="shared" si="3"/>
        <v>1341282.6599999999</v>
      </c>
    </row>
    <row r="260" spans="1:30" ht="16" x14ac:dyDescent="0.2">
      <c r="A260" s="388"/>
      <c r="B260" s="231" t="s">
        <v>246</v>
      </c>
      <c r="C260" s="67" t="s">
        <v>408</v>
      </c>
      <c r="D260" s="68" t="s">
        <v>374</v>
      </c>
      <c r="E260" s="69">
        <v>3800</v>
      </c>
      <c r="F260" s="389"/>
      <c r="G260" s="69">
        <v>4000</v>
      </c>
      <c r="H260" s="389"/>
      <c r="I260" s="69">
        <v>4400</v>
      </c>
      <c r="J260" s="389"/>
      <c r="K260" s="69">
        <v>3800</v>
      </c>
      <c r="L260" s="390"/>
      <c r="M260" s="69">
        <v>4000</v>
      </c>
      <c r="N260" s="389"/>
      <c r="O260" s="69">
        <v>4200</v>
      </c>
      <c r="P260" s="389"/>
      <c r="Q260" s="69">
        <v>4600</v>
      </c>
      <c r="R260" s="389"/>
      <c r="S260" s="69"/>
      <c r="T260" s="389"/>
      <c r="U260" s="67"/>
      <c r="V260" s="389"/>
      <c r="W260" s="67"/>
      <c r="X260" s="389"/>
      <c r="Y260" s="67"/>
      <c r="Z260" s="389"/>
      <c r="AA260" s="67"/>
      <c r="AB260" s="389"/>
      <c r="AC260" s="71">
        <f t="shared" si="3"/>
        <v>28800</v>
      </c>
      <c r="AD260" s="389">
        <f t="shared" si="3"/>
        <v>0</v>
      </c>
    </row>
    <row r="261" spans="1:30" ht="16" x14ac:dyDescent="0.2">
      <c r="A261" s="388">
        <v>129</v>
      </c>
      <c r="B261" s="230" t="s">
        <v>263</v>
      </c>
      <c r="C261" s="67" t="s">
        <v>267</v>
      </c>
      <c r="D261" s="68" t="s">
        <v>373</v>
      </c>
      <c r="E261" s="69">
        <v>1080</v>
      </c>
      <c r="F261" s="389">
        <v>0</v>
      </c>
      <c r="G261" s="71">
        <v>1200</v>
      </c>
      <c r="H261" s="389">
        <v>0</v>
      </c>
      <c r="I261" s="69">
        <v>1320</v>
      </c>
      <c r="J261" s="389">
        <v>252781.2</v>
      </c>
      <c r="K261" s="70">
        <v>1140</v>
      </c>
      <c r="L261" s="387">
        <v>143712.79999999999</v>
      </c>
      <c r="M261" s="70">
        <v>1200</v>
      </c>
      <c r="N261" s="387">
        <v>124115.6</v>
      </c>
      <c r="O261" s="67">
        <v>1260</v>
      </c>
      <c r="P261" s="387">
        <v>130648</v>
      </c>
      <c r="Q261" s="71">
        <v>1380</v>
      </c>
      <c r="R261" s="389">
        <v>137180.39999999991</v>
      </c>
      <c r="S261" s="67"/>
      <c r="T261" s="389"/>
      <c r="U261" s="67"/>
      <c r="V261" s="389"/>
      <c r="W261" s="67"/>
      <c r="X261" s="389"/>
      <c r="Y261" s="67"/>
      <c r="Z261" s="389"/>
      <c r="AA261" s="67"/>
      <c r="AB261" s="389"/>
      <c r="AC261" s="71">
        <f t="shared" si="3"/>
        <v>8580</v>
      </c>
      <c r="AD261" s="389">
        <f t="shared" si="3"/>
        <v>788438</v>
      </c>
    </row>
    <row r="262" spans="1:30" ht="16" x14ac:dyDescent="0.2">
      <c r="A262" s="388"/>
      <c r="B262" s="231" t="s">
        <v>263</v>
      </c>
      <c r="C262" s="67" t="s">
        <v>267</v>
      </c>
      <c r="D262" s="68" t="s">
        <v>374</v>
      </c>
      <c r="E262" s="69">
        <v>2375</v>
      </c>
      <c r="F262" s="389"/>
      <c r="G262" s="71">
        <v>2500</v>
      </c>
      <c r="H262" s="389"/>
      <c r="I262" s="69">
        <v>2750</v>
      </c>
      <c r="J262" s="389"/>
      <c r="K262" s="70">
        <v>2375</v>
      </c>
      <c r="L262" s="390"/>
      <c r="M262" s="70">
        <v>2500</v>
      </c>
      <c r="N262" s="390"/>
      <c r="O262" s="67">
        <v>2625</v>
      </c>
      <c r="P262" s="390"/>
      <c r="Q262" s="71">
        <v>2875</v>
      </c>
      <c r="R262" s="389"/>
      <c r="S262" s="67"/>
      <c r="T262" s="389"/>
      <c r="U262" s="67"/>
      <c r="V262" s="389"/>
      <c r="W262" s="67"/>
      <c r="X262" s="389"/>
      <c r="Y262" s="67"/>
      <c r="Z262" s="389"/>
      <c r="AA262" s="67"/>
      <c r="AB262" s="389"/>
      <c r="AC262" s="71">
        <f t="shared" si="3"/>
        <v>18000</v>
      </c>
      <c r="AD262" s="389">
        <f t="shared" si="3"/>
        <v>0</v>
      </c>
    </row>
    <row r="263" spans="1:30" ht="16" x14ac:dyDescent="0.2">
      <c r="A263" s="388">
        <v>130</v>
      </c>
      <c r="B263" s="230" t="s">
        <v>263</v>
      </c>
      <c r="C263" s="67" t="s">
        <v>271</v>
      </c>
      <c r="D263" s="68" t="s">
        <v>373</v>
      </c>
      <c r="E263" s="69">
        <v>0</v>
      </c>
      <c r="F263" s="389">
        <v>0</v>
      </c>
      <c r="G263" s="71">
        <v>0</v>
      </c>
      <c r="H263" s="389">
        <v>0</v>
      </c>
      <c r="I263" s="69">
        <v>0</v>
      </c>
      <c r="J263" s="389">
        <v>0</v>
      </c>
      <c r="K263" s="70">
        <v>900</v>
      </c>
      <c r="L263" s="387">
        <v>0</v>
      </c>
      <c r="M263" s="70">
        <v>2000</v>
      </c>
      <c r="N263" s="387">
        <v>78876</v>
      </c>
      <c r="O263" s="67">
        <v>2100</v>
      </c>
      <c r="P263" s="387">
        <v>175280</v>
      </c>
      <c r="Q263" s="71">
        <v>2300</v>
      </c>
      <c r="R263" s="389">
        <v>184044</v>
      </c>
      <c r="S263" s="67"/>
      <c r="T263" s="389"/>
      <c r="U263" s="67"/>
      <c r="V263" s="389"/>
      <c r="W263" s="67"/>
      <c r="X263" s="389"/>
      <c r="Y263" s="67"/>
      <c r="Z263" s="389"/>
      <c r="AA263" s="67"/>
      <c r="AB263" s="389"/>
      <c r="AC263" s="71">
        <f t="shared" si="3"/>
        <v>7300</v>
      </c>
      <c r="AD263" s="389">
        <f t="shared" si="3"/>
        <v>438200</v>
      </c>
    </row>
    <row r="264" spans="1:30" ht="16" x14ac:dyDescent="0.2">
      <c r="A264" s="388"/>
      <c r="B264" s="231" t="s">
        <v>263</v>
      </c>
      <c r="C264" s="67" t="s">
        <v>271</v>
      </c>
      <c r="D264" s="68" t="s">
        <v>374</v>
      </c>
      <c r="E264" s="69">
        <v>0</v>
      </c>
      <c r="F264" s="389"/>
      <c r="G264" s="71">
        <v>0</v>
      </c>
      <c r="H264" s="389"/>
      <c r="I264" s="69">
        <v>0</v>
      </c>
      <c r="J264" s="389"/>
      <c r="K264" s="70">
        <v>1350</v>
      </c>
      <c r="L264" s="390"/>
      <c r="M264" s="70">
        <v>3000</v>
      </c>
      <c r="N264" s="390"/>
      <c r="O264" s="67">
        <v>3150</v>
      </c>
      <c r="P264" s="390"/>
      <c r="Q264" s="71">
        <v>3436</v>
      </c>
      <c r="R264" s="389"/>
      <c r="S264" s="67"/>
      <c r="T264" s="389"/>
      <c r="U264" s="67"/>
      <c r="V264" s="389"/>
      <c r="W264" s="67"/>
      <c r="X264" s="389"/>
      <c r="Y264" s="67"/>
      <c r="Z264" s="389"/>
      <c r="AA264" s="67"/>
      <c r="AB264" s="389"/>
      <c r="AC264" s="71">
        <f t="shared" si="3"/>
        <v>10936</v>
      </c>
      <c r="AD264" s="389">
        <f t="shared" si="3"/>
        <v>0</v>
      </c>
    </row>
    <row r="265" spans="1:30" ht="16" x14ac:dyDescent="0.2">
      <c r="A265" s="388">
        <v>131</v>
      </c>
      <c r="B265" s="230" t="s">
        <v>263</v>
      </c>
      <c r="C265" s="67" t="s">
        <v>273</v>
      </c>
      <c r="D265" s="68" t="s">
        <v>373</v>
      </c>
      <c r="E265" s="69">
        <v>1800</v>
      </c>
      <c r="F265" s="389">
        <v>0</v>
      </c>
      <c r="G265" s="71">
        <v>2000</v>
      </c>
      <c r="H265" s="389">
        <v>0</v>
      </c>
      <c r="I265" s="71">
        <v>2200</v>
      </c>
      <c r="J265" s="389">
        <v>338492</v>
      </c>
      <c r="K265" s="71">
        <v>1000</v>
      </c>
      <c r="L265" s="387">
        <v>187348</v>
      </c>
      <c r="M265" s="71">
        <v>0</v>
      </c>
      <c r="N265" s="389">
        <v>82180</v>
      </c>
      <c r="O265" s="71">
        <v>0</v>
      </c>
      <c r="P265" s="389">
        <v>0</v>
      </c>
      <c r="Q265" s="71">
        <v>0</v>
      </c>
      <c r="R265" s="389">
        <v>0</v>
      </c>
      <c r="S265" s="71"/>
      <c r="T265" s="389"/>
      <c r="U265" s="71"/>
      <c r="V265" s="389"/>
      <c r="W265" s="67"/>
      <c r="X265" s="389"/>
      <c r="Y265" s="67"/>
      <c r="Z265" s="389"/>
      <c r="AA265" s="67"/>
      <c r="AB265" s="389"/>
      <c r="AC265" s="71">
        <f t="shared" si="3"/>
        <v>7000</v>
      </c>
      <c r="AD265" s="389">
        <f t="shared" si="3"/>
        <v>608020</v>
      </c>
    </row>
    <row r="266" spans="1:30" ht="16" x14ac:dyDescent="0.2">
      <c r="A266" s="388"/>
      <c r="B266" s="231" t="s">
        <v>263</v>
      </c>
      <c r="C266" s="67" t="s">
        <v>273</v>
      </c>
      <c r="D266" s="68" t="s">
        <v>374</v>
      </c>
      <c r="E266" s="69">
        <v>2850</v>
      </c>
      <c r="F266" s="389"/>
      <c r="G266" s="71">
        <v>3000</v>
      </c>
      <c r="H266" s="389"/>
      <c r="I266" s="71">
        <v>3300</v>
      </c>
      <c r="J266" s="389"/>
      <c r="K266" s="71">
        <v>1350</v>
      </c>
      <c r="L266" s="390"/>
      <c r="M266" s="71">
        <v>0</v>
      </c>
      <c r="N266" s="389"/>
      <c r="O266" s="71">
        <v>0</v>
      </c>
      <c r="P266" s="389"/>
      <c r="Q266" s="71">
        <v>0</v>
      </c>
      <c r="R266" s="389"/>
      <c r="S266" s="71"/>
      <c r="T266" s="389"/>
      <c r="U266" s="71"/>
      <c r="V266" s="389"/>
      <c r="W266" s="67"/>
      <c r="X266" s="389"/>
      <c r="Y266" s="67"/>
      <c r="Z266" s="389"/>
      <c r="AA266" s="67"/>
      <c r="AB266" s="389"/>
      <c r="AC266" s="71">
        <f t="shared" si="3"/>
        <v>10500</v>
      </c>
      <c r="AD266" s="389">
        <f t="shared" si="3"/>
        <v>0</v>
      </c>
    </row>
    <row r="267" spans="1:30" ht="16" x14ac:dyDescent="0.2">
      <c r="A267" s="388">
        <v>132</v>
      </c>
      <c r="B267" s="230" t="s">
        <v>263</v>
      </c>
      <c r="C267" s="67" t="s">
        <v>274</v>
      </c>
      <c r="D267" s="68" t="s">
        <v>373</v>
      </c>
      <c r="E267" s="69">
        <v>3600</v>
      </c>
      <c r="F267" s="389">
        <v>0</v>
      </c>
      <c r="G267" s="71">
        <v>4000</v>
      </c>
      <c r="H267" s="389">
        <v>0</v>
      </c>
      <c r="I267" s="69">
        <v>4400</v>
      </c>
      <c r="J267" s="389">
        <v>596904</v>
      </c>
      <c r="K267" s="70">
        <v>3800</v>
      </c>
      <c r="L267" s="387">
        <v>329868</v>
      </c>
      <c r="M267" s="70">
        <v>3800</v>
      </c>
      <c r="N267" s="387">
        <v>294994</v>
      </c>
      <c r="O267" s="67">
        <v>4185</v>
      </c>
      <c r="P267" s="387">
        <v>307552</v>
      </c>
      <c r="Q267" s="71">
        <v>4600</v>
      </c>
      <c r="R267" s="389">
        <v>329372.39999999991</v>
      </c>
      <c r="S267" s="67"/>
      <c r="T267" s="389"/>
      <c r="U267" s="67"/>
      <c r="V267" s="389"/>
      <c r="W267" s="67"/>
      <c r="X267" s="389"/>
      <c r="Y267" s="67"/>
      <c r="Z267" s="389"/>
      <c r="AA267" s="67"/>
      <c r="AB267" s="389"/>
      <c r="AC267" s="71">
        <f t="shared" si="3"/>
        <v>28385</v>
      </c>
      <c r="AD267" s="389">
        <f t="shared" si="3"/>
        <v>1858690.4</v>
      </c>
    </row>
    <row r="268" spans="1:30" ht="16" x14ac:dyDescent="0.2">
      <c r="A268" s="388"/>
      <c r="B268" s="231" t="s">
        <v>263</v>
      </c>
      <c r="C268" s="67" t="s">
        <v>274</v>
      </c>
      <c r="D268" s="68" t="s">
        <v>374</v>
      </c>
      <c r="E268" s="69">
        <v>4500</v>
      </c>
      <c r="F268" s="389"/>
      <c r="G268" s="71">
        <v>5000</v>
      </c>
      <c r="H268" s="389"/>
      <c r="I268" s="69">
        <v>5500</v>
      </c>
      <c r="J268" s="389"/>
      <c r="K268" s="70">
        <v>4655</v>
      </c>
      <c r="L268" s="390"/>
      <c r="M268" s="70">
        <v>5000</v>
      </c>
      <c r="N268" s="390"/>
      <c r="O268" s="67">
        <v>5250</v>
      </c>
      <c r="P268" s="390"/>
      <c r="Q268" s="71">
        <v>5750</v>
      </c>
      <c r="R268" s="389"/>
      <c r="S268" s="67"/>
      <c r="T268" s="389"/>
      <c r="U268" s="67"/>
      <c r="V268" s="389"/>
      <c r="W268" s="67"/>
      <c r="X268" s="389"/>
      <c r="Y268" s="67"/>
      <c r="Z268" s="389"/>
      <c r="AA268" s="67"/>
      <c r="AB268" s="389"/>
      <c r="AC268" s="71">
        <f t="shared" ref="AC268:AD345" si="4">AA268+Y268+W268+U268+S268+Q268+O268+K268+M268+I268+G268+E268</f>
        <v>35655</v>
      </c>
      <c r="AD268" s="389">
        <f t="shared" si="4"/>
        <v>0</v>
      </c>
    </row>
    <row r="269" spans="1:30" ht="16" x14ac:dyDescent="0.2">
      <c r="A269" s="388">
        <v>133</v>
      </c>
      <c r="B269" s="230" t="s">
        <v>263</v>
      </c>
      <c r="C269" s="67" t="s">
        <v>409</v>
      </c>
      <c r="D269" s="68" t="s">
        <v>373</v>
      </c>
      <c r="E269" s="69">
        <v>1800</v>
      </c>
      <c r="F269" s="389">
        <v>0</v>
      </c>
      <c r="G269" s="71">
        <v>2000</v>
      </c>
      <c r="H269" s="389">
        <v>0</v>
      </c>
      <c r="I269" s="71">
        <v>2200</v>
      </c>
      <c r="J269" s="389">
        <v>336417.2</v>
      </c>
      <c r="K269" s="71">
        <v>1800</v>
      </c>
      <c r="L269" s="387">
        <v>190077.99999999994</v>
      </c>
      <c r="M269" s="71">
        <v>2000</v>
      </c>
      <c r="N269" s="389">
        <v>157242.4</v>
      </c>
      <c r="O269" s="71">
        <v>2100</v>
      </c>
      <c r="P269" s="389">
        <v>167672.40000000002</v>
      </c>
      <c r="Q269" s="71">
        <v>1100</v>
      </c>
      <c r="R269" s="389">
        <v>172250.40000000002</v>
      </c>
      <c r="S269" s="71"/>
      <c r="T269" s="389"/>
      <c r="U269" s="71"/>
      <c r="V269" s="389"/>
      <c r="W269" s="67"/>
      <c r="X269" s="389"/>
      <c r="Y269" s="67"/>
      <c r="Z269" s="389"/>
      <c r="AA269" s="67"/>
      <c r="AB269" s="389"/>
      <c r="AC269" s="71">
        <f t="shared" si="4"/>
        <v>13000</v>
      </c>
      <c r="AD269" s="389">
        <f t="shared" si="4"/>
        <v>1023660.4000000001</v>
      </c>
    </row>
    <row r="270" spans="1:30" ht="16" x14ac:dyDescent="0.2">
      <c r="A270" s="388"/>
      <c r="B270" s="231" t="s">
        <v>263</v>
      </c>
      <c r="C270" s="67" t="s">
        <v>409</v>
      </c>
      <c r="D270" s="68" t="s">
        <v>374</v>
      </c>
      <c r="E270" s="69">
        <v>2850</v>
      </c>
      <c r="F270" s="389"/>
      <c r="G270" s="71">
        <v>3000</v>
      </c>
      <c r="H270" s="389"/>
      <c r="I270" s="71">
        <v>3300</v>
      </c>
      <c r="J270" s="389"/>
      <c r="K270" s="71">
        <v>2686</v>
      </c>
      <c r="L270" s="390"/>
      <c r="M270" s="71">
        <v>2791</v>
      </c>
      <c r="N270" s="389"/>
      <c r="O270" s="71">
        <v>2826</v>
      </c>
      <c r="P270" s="389"/>
      <c r="Q270" s="71">
        <v>1650</v>
      </c>
      <c r="R270" s="389"/>
      <c r="S270" s="71"/>
      <c r="T270" s="389"/>
      <c r="U270" s="71"/>
      <c r="V270" s="389"/>
      <c r="W270" s="67"/>
      <c r="X270" s="389"/>
      <c r="Y270" s="67"/>
      <c r="Z270" s="389"/>
      <c r="AA270" s="67"/>
      <c r="AB270" s="389"/>
      <c r="AC270" s="71">
        <f t="shared" si="4"/>
        <v>19103</v>
      </c>
      <c r="AD270" s="389">
        <f t="shared" si="4"/>
        <v>0</v>
      </c>
    </row>
    <row r="271" spans="1:30" ht="16" x14ac:dyDescent="0.2">
      <c r="A271" s="393">
        <v>134</v>
      </c>
      <c r="B271" s="232" t="s">
        <v>263</v>
      </c>
      <c r="C271" s="73" t="s">
        <v>659</v>
      </c>
      <c r="D271" s="74" t="s">
        <v>373</v>
      </c>
      <c r="E271" s="75">
        <v>0</v>
      </c>
      <c r="F271" s="394">
        <v>0</v>
      </c>
      <c r="G271" s="233">
        <v>0</v>
      </c>
      <c r="H271" s="394">
        <v>0</v>
      </c>
      <c r="I271" s="233">
        <v>0</v>
      </c>
      <c r="J271" s="394">
        <v>0</v>
      </c>
      <c r="K271" s="233">
        <v>0</v>
      </c>
      <c r="L271" s="394">
        <v>0</v>
      </c>
      <c r="M271" s="233">
        <v>0</v>
      </c>
      <c r="N271" s="394">
        <v>0</v>
      </c>
      <c r="O271" s="73">
        <v>0</v>
      </c>
      <c r="P271" s="394">
        <v>0</v>
      </c>
      <c r="Q271" s="76">
        <v>1500</v>
      </c>
      <c r="R271" s="396">
        <v>0</v>
      </c>
      <c r="S271" s="73"/>
      <c r="T271" s="396"/>
      <c r="U271" s="73"/>
      <c r="V271" s="396"/>
      <c r="W271" s="73"/>
      <c r="X271" s="396"/>
      <c r="Y271" s="73"/>
      <c r="Z271" s="396"/>
      <c r="AA271" s="73"/>
      <c r="AB271" s="396"/>
      <c r="AC271" s="76">
        <f t="shared" si="4"/>
        <v>1500</v>
      </c>
      <c r="AD271" s="396">
        <f t="shared" si="4"/>
        <v>0</v>
      </c>
    </row>
    <row r="272" spans="1:30" ht="16" x14ac:dyDescent="0.2">
      <c r="A272" s="393"/>
      <c r="B272" s="234" t="s">
        <v>263</v>
      </c>
      <c r="C272" s="73" t="s">
        <v>659</v>
      </c>
      <c r="D272" s="74" t="s">
        <v>374</v>
      </c>
      <c r="E272" s="75">
        <v>0</v>
      </c>
      <c r="F272" s="395"/>
      <c r="G272" s="233">
        <v>0</v>
      </c>
      <c r="H272" s="395"/>
      <c r="I272" s="233">
        <v>0</v>
      </c>
      <c r="J272" s="395"/>
      <c r="K272" s="233">
        <v>0</v>
      </c>
      <c r="L272" s="395"/>
      <c r="M272" s="233">
        <v>0</v>
      </c>
      <c r="N272" s="395"/>
      <c r="O272" s="73">
        <v>0</v>
      </c>
      <c r="P272" s="395"/>
      <c r="Q272" s="76">
        <v>2000</v>
      </c>
      <c r="R272" s="396"/>
      <c r="S272" s="73"/>
      <c r="T272" s="396"/>
      <c r="U272" s="73"/>
      <c r="V272" s="396"/>
      <c r="W272" s="73"/>
      <c r="X272" s="396"/>
      <c r="Y272" s="73"/>
      <c r="Z272" s="396"/>
      <c r="AA272" s="73"/>
      <c r="AB272" s="396"/>
      <c r="AC272" s="76">
        <f t="shared" si="4"/>
        <v>2000</v>
      </c>
      <c r="AD272" s="396">
        <f t="shared" si="4"/>
        <v>0</v>
      </c>
    </row>
    <row r="273" spans="1:30" ht="16" x14ac:dyDescent="0.2">
      <c r="A273" s="393">
        <v>135</v>
      </c>
      <c r="B273" s="232" t="s">
        <v>263</v>
      </c>
      <c r="C273" s="73" t="s">
        <v>660</v>
      </c>
      <c r="D273" s="74" t="s">
        <v>373</v>
      </c>
      <c r="E273" s="75">
        <v>0</v>
      </c>
      <c r="F273" s="394">
        <v>0</v>
      </c>
      <c r="G273" s="233">
        <v>0</v>
      </c>
      <c r="H273" s="394">
        <v>0</v>
      </c>
      <c r="I273" s="233">
        <v>0</v>
      </c>
      <c r="J273" s="394">
        <v>0</v>
      </c>
      <c r="K273" s="233">
        <v>0</v>
      </c>
      <c r="L273" s="394">
        <v>0</v>
      </c>
      <c r="M273" s="233">
        <v>0</v>
      </c>
      <c r="N273" s="394">
        <v>0</v>
      </c>
      <c r="O273" s="73">
        <v>0</v>
      </c>
      <c r="P273" s="394">
        <v>0</v>
      </c>
      <c r="Q273" s="76">
        <v>1500</v>
      </c>
      <c r="R273" s="396">
        <v>0</v>
      </c>
      <c r="S273" s="73"/>
      <c r="T273" s="396"/>
      <c r="U273" s="73"/>
      <c r="V273" s="396"/>
      <c r="W273" s="73"/>
      <c r="X273" s="396"/>
      <c r="Y273" s="73"/>
      <c r="Z273" s="396"/>
      <c r="AA273" s="73"/>
      <c r="AB273" s="396"/>
      <c r="AC273" s="76">
        <f t="shared" si="4"/>
        <v>1500</v>
      </c>
      <c r="AD273" s="396">
        <f t="shared" si="4"/>
        <v>0</v>
      </c>
    </row>
    <row r="274" spans="1:30" ht="16" x14ac:dyDescent="0.2">
      <c r="A274" s="393"/>
      <c r="B274" s="234" t="s">
        <v>263</v>
      </c>
      <c r="C274" s="73" t="s">
        <v>660</v>
      </c>
      <c r="D274" s="74" t="s">
        <v>374</v>
      </c>
      <c r="E274" s="75">
        <v>0</v>
      </c>
      <c r="F274" s="395"/>
      <c r="G274" s="233">
        <v>0</v>
      </c>
      <c r="H274" s="395"/>
      <c r="I274" s="233">
        <v>0</v>
      </c>
      <c r="J274" s="395"/>
      <c r="K274" s="233">
        <v>0</v>
      </c>
      <c r="L274" s="395"/>
      <c r="M274" s="233">
        <v>0</v>
      </c>
      <c r="N274" s="395"/>
      <c r="O274" s="73">
        <v>0</v>
      </c>
      <c r="P274" s="395"/>
      <c r="Q274" s="76">
        <v>2000</v>
      </c>
      <c r="R274" s="396"/>
      <c r="S274" s="73"/>
      <c r="T274" s="396"/>
      <c r="U274" s="73"/>
      <c r="V274" s="396"/>
      <c r="W274" s="73"/>
      <c r="X274" s="396"/>
      <c r="Y274" s="73"/>
      <c r="Z274" s="396"/>
      <c r="AA274" s="73"/>
      <c r="AB274" s="396"/>
      <c r="AC274" s="76">
        <f t="shared" si="4"/>
        <v>2000</v>
      </c>
      <c r="AD274" s="396">
        <f t="shared" si="4"/>
        <v>0</v>
      </c>
    </row>
    <row r="275" spans="1:30" ht="16" x14ac:dyDescent="0.2">
      <c r="A275" s="388">
        <v>136</v>
      </c>
      <c r="B275" s="230" t="s">
        <v>263</v>
      </c>
      <c r="C275" s="67" t="s">
        <v>410</v>
      </c>
      <c r="D275" s="68" t="s">
        <v>373</v>
      </c>
      <c r="E275" s="69">
        <v>0</v>
      </c>
      <c r="F275" s="389">
        <v>0</v>
      </c>
      <c r="G275" s="71">
        <v>0</v>
      </c>
      <c r="H275" s="389">
        <v>0</v>
      </c>
      <c r="I275" s="69">
        <v>0</v>
      </c>
      <c r="J275" s="389">
        <v>0</v>
      </c>
      <c r="K275" s="70">
        <v>873</v>
      </c>
      <c r="L275" s="387">
        <v>0</v>
      </c>
      <c r="M275" s="70">
        <v>2000</v>
      </c>
      <c r="N275" s="387">
        <v>77983.92</v>
      </c>
      <c r="O275" s="67">
        <v>2100</v>
      </c>
      <c r="P275" s="387">
        <v>175280</v>
      </c>
      <c r="Q275" s="71">
        <v>2300</v>
      </c>
      <c r="R275" s="389">
        <v>184044</v>
      </c>
      <c r="S275" s="67"/>
      <c r="T275" s="389"/>
      <c r="U275" s="67"/>
      <c r="V275" s="389"/>
      <c r="W275" s="67"/>
      <c r="X275" s="389"/>
      <c r="Y275" s="67"/>
      <c r="Z275" s="389"/>
      <c r="AA275" s="67"/>
      <c r="AB275" s="389"/>
      <c r="AC275" s="71">
        <f t="shared" si="4"/>
        <v>7273</v>
      </c>
      <c r="AD275" s="389">
        <f t="shared" si="4"/>
        <v>437307.92</v>
      </c>
    </row>
    <row r="276" spans="1:30" ht="16" x14ac:dyDescent="0.2">
      <c r="A276" s="388"/>
      <c r="B276" s="231" t="s">
        <v>263</v>
      </c>
      <c r="C276" s="67" t="s">
        <v>410</v>
      </c>
      <c r="D276" s="68" t="s">
        <v>374</v>
      </c>
      <c r="E276" s="69">
        <v>0</v>
      </c>
      <c r="F276" s="389"/>
      <c r="G276" s="71">
        <v>0</v>
      </c>
      <c r="H276" s="389"/>
      <c r="I276" s="69">
        <v>0</v>
      </c>
      <c r="J276" s="389"/>
      <c r="K276" s="70">
        <v>1350</v>
      </c>
      <c r="L276" s="390"/>
      <c r="M276" s="70">
        <v>3000</v>
      </c>
      <c r="N276" s="390"/>
      <c r="O276" s="67">
        <v>3150</v>
      </c>
      <c r="P276" s="390"/>
      <c r="Q276" s="71">
        <v>3436</v>
      </c>
      <c r="R276" s="389"/>
      <c r="S276" s="67"/>
      <c r="T276" s="389"/>
      <c r="U276" s="67"/>
      <c r="V276" s="389"/>
      <c r="W276" s="67"/>
      <c r="X276" s="389"/>
      <c r="Y276" s="67"/>
      <c r="Z276" s="389"/>
      <c r="AA276" s="67"/>
      <c r="AB276" s="389"/>
      <c r="AC276" s="71">
        <f t="shared" si="4"/>
        <v>10936</v>
      </c>
      <c r="AD276" s="389">
        <f t="shared" si="4"/>
        <v>0</v>
      </c>
    </row>
    <row r="277" spans="1:30" ht="16" x14ac:dyDescent="0.2">
      <c r="A277" s="388">
        <v>137</v>
      </c>
      <c r="B277" s="230" t="s">
        <v>263</v>
      </c>
      <c r="C277" s="67" t="s">
        <v>283</v>
      </c>
      <c r="D277" s="68" t="s">
        <v>373</v>
      </c>
      <c r="E277" s="69">
        <v>1350</v>
      </c>
      <c r="F277" s="389">
        <v>0</v>
      </c>
      <c r="G277" s="71">
        <v>1500</v>
      </c>
      <c r="H277" s="389">
        <v>0</v>
      </c>
      <c r="I277" s="69">
        <v>1650</v>
      </c>
      <c r="J277" s="389">
        <v>271614</v>
      </c>
      <c r="K277" s="70">
        <v>1425</v>
      </c>
      <c r="L277" s="387">
        <v>147588</v>
      </c>
      <c r="M277" s="70">
        <v>1500</v>
      </c>
      <c r="N277" s="387">
        <v>124432</v>
      </c>
      <c r="O277" s="67">
        <v>1575</v>
      </c>
      <c r="P277" s="387">
        <v>122360</v>
      </c>
      <c r="Q277" s="71">
        <v>1725</v>
      </c>
      <c r="R277" s="389">
        <v>128478</v>
      </c>
      <c r="S277" s="67"/>
      <c r="T277" s="389"/>
      <c r="U277" s="67"/>
      <c r="V277" s="389"/>
      <c r="W277" s="67"/>
      <c r="X277" s="389"/>
      <c r="Y277" s="67"/>
      <c r="Z277" s="389"/>
      <c r="AA277" s="67"/>
      <c r="AB277" s="389"/>
      <c r="AC277" s="71">
        <f t="shared" si="4"/>
        <v>10725</v>
      </c>
      <c r="AD277" s="389">
        <f t="shared" si="4"/>
        <v>794472</v>
      </c>
    </row>
    <row r="278" spans="1:30" ht="16" x14ac:dyDescent="0.2">
      <c r="A278" s="388"/>
      <c r="B278" s="231" t="s">
        <v>263</v>
      </c>
      <c r="C278" s="67" t="s">
        <v>283</v>
      </c>
      <c r="D278" s="68" t="s">
        <v>374</v>
      </c>
      <c r="E278" s="69">
        <v>2375</v>
      </c>
      <c r="F278" s="389"/>
      <c r="G278" s="71">
        <v>2500</v>
      </c>
      <c r="H278" s="389"/>
      <c r="I278" s="69">
        <v>2750</v>
      </c>
      <c r="J278" s="389"/>
      <c r="K278" s="70">
        <v>2125</v>
      </c>
      <c r="L278" s="390"/>
      <c r="M278" s="70">
        <v>2000</v>
      </c>
      <c r="N278" s="390"/>
      <c r="O278" s="67">
        <v>2100</v>
      </c>
      <c r="P278" s="390"/>
      <c r="Q278" s="71">
        <v>2300</v>
      </c>
      <c r="R278" s="389"/>
      <c r="S278" s="67"/>
      <c r="T278" s="389"/>
      <c r="U278" s="67"/>
      <c r="V278" s="389"/>
      <c r="W278" s="67"/>
      <c r="X278" s="389"/>
      <c r="Y278" s="67"/>
      <c r="Z278" s="389"/>
      <c r="AA278" s="67"/>
      <c r="AB278" s="389"/>
      <c r="AC278" s="71">
        <f t="shared" si="4"/>
        <v>16150</v>
      </c>
      <c r="AD278" s="389">
        <f t="shared" si="4"/>
        <v>0</v>
      </c>
    </row>
    <row r="279" spans="1:30" ht="16" x14ac:dyDescent="0.2">
      <c r="A279" s="388">
        <v>138</v>
      </c>
      <c r="B279" s="230" t="s">
        <v>263</v>
      </c>
      <c r="C279" s="67" t="s">
        <v>263</v>
      </c>
      <c r="D279" s="68" t="s">
        <v>373</v>
      </c>
      <c r="E279" s="69">
        <v>2700</v>
      </c>
      <c r="F279" s="389">
        <v>0</v>
      </c>
      <c r="G279" s="71">
        <v>3000</v>
      </c>
      <c r="H279" s="389">
        <v>0</v>
      </c>
      <c r="I279" s="69">
        <v>3300</v>
      </c>
      <c r="J279" s="389">
        <v>472248</v>
      </c>
      <c r="K279" s="70">
        <v>2850</v>
      </c>
      <c r="L279" s="387">
        <v>256956</v>
      </c>
      <c r="M279" s="70">
        <v>3000</v>
      </c>
      <c r="N279" s="387">
        <v>232484</v>
      </c>
      <c r="O279" s="67">
        <v>3150</v>
      </c>
      <c r="P279" s="387">
        <v>244720</v>
      </c>
      <c r="Q279" s="71">
        <v>3450</v>
      </c>
      <c r="R279" s="389">
        <v>256956</v>
      </c>
      <c r="S279" s="67"/>
      <c r="T279" s="389"/>
      <c r="U279" s="67"/>
      <c r="V279" s="389"/>
      <c r="W279" s="67"/>
      <c r="X279" s="389"/>
      <c r="Y279" s="67"/>
      <c r="Z279" s="389"/>
      <c r="AA279" s="67"/>
      <c r="AB279" s="389"/>
      <c r="AC279" s="71">
        <f t="shared" si="4"/>
        <v>21450</v>
      </c>
      <c r="AD279" s="389">
        <f t="shared" si="4"/>
        <v>1463364</v>
      </c>
    </row>
    <row r="280" spans="1:30" ht="16" x14ac:dyDescent="0.2">
      <c r="A280" s="388"/>
      <c r="B280" s="231" t="s">
        <v>263</v>
      </c>
      <c r="C280" s="67" t="s">
        <v>263</v>
      </c>
      <c r="D280" s="68" t="s">
        <v>374</v>
      </c>
      <c r="E280" s="69">
        <v>3800</v>
      </c>
      <c r="F280" s="389"/>
      <c r="G280" s="71">
        <v>4000</v>
      </c>
      <c r="H280" s="389"/>
      <c r="I280" s="69">
        <v>4400</v>
      </c>
      <c r="J280" s="389"/>
      <c r="K280" s="70">
        <v>3800</v>
      </c>
      <c r="L280" s="390"/>
      <c r="M280" s="70">
        <v>4000</v>
      </c>
      <c r="N280" s="390"/>
      <c r="O280" s="67">
        <v>4200</v>
      </c>
      <c r="P280" s="390"/>
      <c r="Q280" s="71">
        <v>4600</v>
      </c>
      <c r="R280" s="389"/>
      <c r="S280" s="67"/>
      <c r="T280" s="389"/>
      <c r="U280" s="67"/>
      <c r="V280" s="389"/>
      <c r="W280" s="67"/>
      <c r="X280" s="389"/>
      <c r="Y280" s="67"/>
      <c r="Z280" s="389"/>
      <c r="AA280" s="67"/>
      <c r="AB280" s="389"/>
      <c r="AC280" s="71">
        <f t="shared" si="4"/>
        <v>28800</v>
      </c>
      <c r="AD280" s="389">
        <f t="shared" si="4"/>
        <v>0</v>
      </c>
    </row>
    <row r="281" spans="1:30" ht="16" x14ac:dyDescent="0.2">
      <c r="A281" s="388">
        <v>139</v>
      </c>
      <c r="B281" s="230" t="s">
        <v>263</v>
      </c>
      <c r="C281" s="67" t="s">
        <v>411</v>
      </c>
      <c r="D281" s="68" t="s">
        <v>373</v>
      </c>
      <c r="E281" s="69">
        <v>0</v>
      </c>
      <c r="F281" s="389">
        <v>0</v>
      </c>
      <c r="G281" s="71">
        <v>0</v>
      </c>
      <c r="H281" s="389">
        <v>0</v>
      </c>
      <c r="I281" s="69">
        <v>0</v>
      </c>
      <c r="J281" s="389">
        <v>0</v>
      </c>
      <c r="K281" s="70">
        <v>996</v>
      </c>
      <c r="L281" s="387">
        <v>0</v>
      </c>
      <c r="M281" s="70">
        <v>1863</v>
      </c>
      <c r="N281" s="387">
        <v>86525.04</v>
      </c>
      <c r="O281" s="67">
        <v>2100</v>
      </c>
      <c r="P281" s="387">
        <v>158195.52000000002</v>
      </c>
      <c r="Q281" s="71">
        <v>1100</v>
      </c>
      <c r="R281" s="389">
        <v>178584</v>
      </c>
      <c r="S281" s="67"/>
      <c r="T281" s="389"/>
      <c r="U281" s="67"/>
      <c r="V281" s="389"/>
      <c r="W281" s="67"/>
      <c r="X281" s="389"/>
      <c r="Y281" s="67"/>
      <c r="Z281" s="389"/>
      <c r="AA281" s="67"/>
      <c r="AB281" s="389"/>
      <c r="AC281" s="71">
        <f t="shared" si="4"/>
        <v>6059</v>
      </c>
      <c r="AD281" s="389">
        <f t="shared" si="4"/>
        <v>423304.56</v>
      </c>
    </row>
    <row r="282" spans="1:30" ht="16" x14ac:dyDescent="0.2">
      <c r="A282" s="388"/>
      <c r="B282" s="231" t="s">
        <v>263</v>
      </c>
      <c r="C282" s="67" t="s">
        <v>285</v>
      </c>
      <c r="D282" s="68" t="s">
        <v>374</v>
      </c>
      <c r="E282" s="69">
        <v>0</v>
      </c>
      <c r="F282" s="389"/>
      <c r="G282" s="71">
        <v>0</v>
      </c>
      <c r="H282" s="389"/>
      <c r="I282" s="69">
        <v>0</v>
      </c>
      <c r="J282" s="389"/>
      <c r="K282" s="70">
        <v>1473</v>
      </c>
      <c r="L282" s="390"/>
      <c r="M282" s="70">
        <v>2655</v>
      </c>
      <c r="N282" s="390"/>
      <c r="O282" s="67">
        <v>3000</v>
      </c>
      <c r="P282" s="390"/>
      <c r="Q282" s="71">
        <v>1650</v>
      </c>
      <c r="R282" s="389"/>
      <c r="S282" s="67"/>
      <c r="T282" s="389"/>
      <c r="U282" s="67"/>
      <c r="V282" s="389"/>
      <c r="W282" s="67"/>
      <c r="X282" s="389"/>
      <c r="Y282" s="67"/>
      <c r="Z282" s="389"/>
      <c r="AA282" s="67"/>
      <c r="AB282" s="389"/>
      <c r="AC282" s="71">
        <f t="shared" si="4"/>
        <v>8778</v>
      </c>
      <c r="AD282" s="389">
        <f t="shared" si="4"/>
        <v>0</v>
      </c>
    </row>
    <row r="283" spans="1:30" ht="16" x14ac:dyDescent="0.2">
      <c r="A283" s="388">
        <v>140</v>
      </c>
      <c r="B283" s="230" t="s">
        <v>263</v>
      </c>
      <c r="C283" s="67" t="s">
        <v>412</v>
      </c>
      <c r="D283" s="68" t="s">
        <v>373</v>
      </c>
      <c r="E283" s="69">
        <v>1800</v>
      </c>
      <c r="F283" s="389">
        <v>0</v>
      </c>
      <c r="G283" s="71">
        <v>2000</v>
      </c>
      <c r="H283" s="389">
        <v>0</v>
      </c>
      <c r="I283" s="69">
        <v>2200</v>
      </c>
      <c r="J283" s="389">
        <v>338492</v>
      </c>
      <c r="K283" s="70">
        <v>1425</v>
      </c>
      <c r="L283" s="387">
        <v>188678</v>
      </c>
      <c r="M283" s="70">
        <v>1500</v>
      </c>
      <c r="N283" s="387">
        <v>150822</v>
      </c>
      <c r="O283" s="67">
        <v>1575</v>
      </c>
      <c r="P283" s="387">
        <v>158760</v>
      </c>
      <c r="Q283" s="71">
        <v>1725</v>
      </c>
      <c r="R283" s="389">
        <v>166698</v>
      </c>
      <c r="S283" s="67"/>
      <c r="T283" s="389"/>
      <c r="U283" s="67"/>
      <c r="V283" s="389"/>
      <c r="W283" s="67"/>
      <c r="X283" s="389"/>
      <c r="Y283" s="67"/>
      <c r="Z283" s="389"/>
      <c r="AA283" s="67"/>
      <c r="AB283" s="389"/>
      <c r="AC283" s="71">
        <f t="shared" si="4"/>
        <v>12225</v>
      </c>
      <c r="AD283" s="389">
        <f t="shared" si="4"/>
        <v>1003450</v>
      </c>
    </row>
    <row r="284" spans="1:30" ht="16" x14ac:dyDescent="0.2">
      <c r="A284" s="388"/>
      <c r="B284" s="231" t="s">
        <v>263</v>
      </c>
      <c r="C284" s="67" t="s">
        <v>412</v>
      </c>
      <c r="D284" s="68" t="s">
        <v>374</v>
      </c>
      <c r="E284" s="69">
        <v>2834</v>
      </c>
      <c r="F284" s="389"/>
      <c r="G284" s="71">
        <v>3000</v>
      </c>
      <c r="H284" s="389"/>
      <c r="I284" s="69">
        <v>3300</v>
      </c>
      <c r="J284" s="389"/>
      <c r="K284" s="70">
        <v>2850</v>
      </c>
      <c r="L284" s="390"/>
      <c r="M284" s="70">
        <v>3000</v>
      </c>
      <c r="N284" s="390"/>
      <c r="O284" s="67">
        <v>3150</v>
      </c>
      <c r="P284" s="390"/>
      <c r="Q284" s="71">
        <v>3450</v>
      </c>
      <c r="R284" s="389"/>
      <c r="S284" s="67"/>
      <c r="T284" s="389"/>
      <c r="U284" s="67"/>
      <c r="V284" s="389"/>
      <c r="W284" s="67"/>
      <c r="X284" s="389"/>
      <c r="Y284" s="67"/>
      <c r="Z284" s="389"/>
      <c r="AA284" s="67"/>
      <c r="AB284" s="389"/>
      <c r="AC284" s="71">
        <f t="shared" si="4"/>
        <v>21584</v>
      </c>
      <c r="AD284" s="389">
        <f t="shared" si="4"/>
        <v>0</v>
      </c>
    </row>
    <row r="285" spans="1:30" ht="16" x14ac:dyDescent="0.2">
      <c r="A285" s="388">
        <v>141</v>
      </c>
      <c r="B285" s="230" t="s">
        <v>263</v>
      </c>
      <c r="C285" s="67" t="s">
        <v>286</v>
      </c>
      <c r="D285" s="68" t="s">
        <v>373</v>
      </c>
      <c r="E285" s="69">
        <v>0</v>
      </c>
      <c r="F285" s="389">
        <v>0</v>
      </c>
      <c r="G285" s="69">
        <v>0</v>
      </c>
      <c r="H285" s="389">
        <v>0</v>
      </c>
      <c r="I285" s="69">
        <v>0</v>
      </c>
      <c r="J285" s="389">
        <v>0</v>
      </c>
      <c r="K285" s="69">
        <v>0</v>
      </c>
      <c r="L285" s="389">
        <v>0</v>
      </c>
      <c r="M285" s="69">
        <v>0</v>
      </c>
      <c r="N285" s="389">
        <v>0</v>
      </c>
      <c r="O285" s="67">
        <v>1300</v>
      </c>
      <c r="P285" s="387">
        <v>0</v>
      </c>
      <c r="Q285" s="71">
        <v>2300</v>
      </c>
      <c r="R285" s="389">
        <v>113932</v>
      </c>
      <c r="S285" s="67"/>
      <c r="T285" s="389"/>
      <c r="U285" s="67"/>
      <c r="V285" s="389"/>
      <c r="W285" s="67"/>
      <c r="X285" s="389"/>
      <c r="Y285" s="67"/>
      <c r="Z285" s="389"/>
      <c r="AA285" s="67"/>
      <c r="AB285" s="389"/>
      <c r="AC285" s="71">
        <f t="shared" si="4"/>
        <v>3600</v>
      </c>
      <c r="AD285" s="389">
        <f t="shared" si="4"/>
        <v>113932</v>
      </c>
    </row>
    <row r="286" spans="1:30" ht="16" x14ac:dyDescent="0.2">
      <c r="A286" s="388"/>
      <c r="B286" s="231" t="s">
        <v>263</v>
      </c>
      <c r="C286" s="67" t="s">
        <v>286</v>
      </c>
      <c r="D286" s="68" t="s">
        <v>374</v>
      </c>
      <c r="E286" s="69">
        <v>0</v>
      </c>
      <c r="F286" s="389"/>
      <c r="G286" s="69">
        <v>0</v>
      </c>
      <c r="H286" s="389"/>
      <c r="I286" s="69">
        <v>0</v>
      </c>
      <c r="J286" s="389"/>
      <c r="K286" s="69">
        <v>0</v>
      </c>
      <c r="L286" s="389"/>
      <c r="M286" s="69">
        <v>0</v>
      </c>
      <c r="N286" s="389"/>
      <c r="O286" s="67">
        <v>1950</v>
      </c>
      <c r="P286" s="390"/>
      <c r="Q286" s="71">
        <v>3450</v>
      </c>
      <c r="R286" s="389"/>
      <c r="S286" s="67"/>
      <c r="T286" s="389"/>
      <c r="U286" s="67"/>
      <c r="V286" s="389"/>
      <c r="W286" s="67"/>
      <c r="X286" s="389"/>
      <c r="Y286" s="67"/>
      <c r="Z286" s="389"/>
      <c r="AA286" s="67"/>
      <c r="AB286" s="389"/>
      <c r="AC286" s="71">
        <f t="shared" si="4"/>
        <v>5400</v>
      </c>
      <c r="AD286" s="389">
        <f t="shared" si="4"/>
        <v>0</v>
      </c>
    </row>
    <row r="287" spans="1:30" ht="16" x14ac:dyDescent="0.2">
      <c r="A287" s="388">
        <v>142</v>
      </c>
      <c r="B287" s="230" t="s">
        <v>292</v>
      </c>
      <c r="C287" s="67" t="s">
        <v>293</v>
      </c>
      <c r="D287" s="68" t="s">
        <v>373</v>
      </c>
      <c r="E287" s="69">
        <v>2521</v>
      </c>
      <c r="F287" s="389">
        <v>0</v>
      </c>
      <c r="G287" s="71">
        <v>2724</v>
      </c>
      <c r="H287" s="389">
        <f>66375+70887.6</f>
        <v>137262.6</v>
      </c>
      <c r="I287" s="69">
        <v>2750</v>
      </c>
      <c r="J287" s="389">
        <v>118146</v>
      </c>
      <c r="K287" s="70">
        <v>2375</v>
      </c>
      <c r="L287" s="387">
        <v>236249.99999999997</v>
      </c>
      <c r="M287" s="70">
        <v>2500</v>
      </c>
      <c r="N287" s="387">
        <v>166250</v>
      </c>
      <c r="O287" s="67">
        <v>2625</v>
      </c>
      <c r="P287" s="387">
        <v>182562.5</v>
      </c>
      <c r="Q287" s="71">
        <v>2875</v>
      </c>
      <c r="R287" s="389">
        <v>198187.5</v>
      </c>
      <c r="S287" s="67"/>
      <c r="T287" s="389"/>
      <c r="U287" s="67"/>
      <c r="V287" s="389"/>
      <c r="W287" s="67"/>
      <c r="X287" s="389"/>
      <c r="Y287" s="67"/>
      <c r="Z287" s="389"/>
      <c r="AA287" s="67"/>
      <c r="AB287" s="389"/>
      <c r="AC287" s="71">
        <f t="shared" si="4"/>
        <v>18370</v>
      </c>
      <c r="AD287" s="389">
        <f t="shared" si="4"/>
        <v>1038658.6</v>
      </c>
    </row>
    <row r="288" spans="1:30" ht="16" x14ac:dyDescent="0.2">
      <c r="A288" s="388"/>
      <c r="B288" s="231" t="s">
        <v>292</v>
      </c>
      <c r="C288" s="67" t="s">
        <v>293</v>
      </c>
      <c r="D288" s="68" t="s">
        <v>374</v>
      </c>
      <c r="E288" s="69">
        <v>3420</v>
      </c>
      <c r="F288" s="389"/>
      <c r="G288" s="71">
        <v>3700</v>
      </c>
      <c r="H288" s="389"/>
      <c r="I288" s="69">
        <v>4400</v>
      </c>
      <c r="J288" s="389"/>
      <c r="K288" s="70">
        <v>3800</v>
      </c>
      <c r="L288" s="390"/>
      <c r="M288" s="70">
        <v>4275</v>
      </c>
      <c r="N288" s="390"/>
      <c r="O288" s="67">
        <v>4725</v>
      </c>
      <c r="P288" s="390"/>
      <c r="Q288" s="71">
        <v>5175</v>
      </c>
      <c r="R288" s="389"/>
      <c r="S288" s="67"/>
      <c r="T288" s="389"/>
      <c r="U288" s="67"/>
      <c r="V288" s="389"/>
      <c r="W288" s="67"/>
      <c r="X288" s="389"/>
      <c r="Y288" s="67"/>
      <c r="Z288" s="389"/>
      <c r="AA288" s="67"/>
      <c r="AB288" s="389"/>
      <c r="AC288" s="71">
        <f t="shared" si="4"/>
        <v>29495</v>
      </c>
      <c r="AD288" s="389">
        <f t="shared" si="4"/>
        <v>0</v>
      </c>
    </row>
    <row r="289" spans="1:30" ht="16" x14ac:dyDescent="0.2">
      <c r="A289" s="388">
        <v>143</v>
      </c>
      <c r="B289" s="230" t="s">
        <v>292</v>
      </c>
      <c r="C289" s="67" t="s">
        <v>294</v>
      </c>
      <c r="D289" s="68" t="s">
        <v>373</v>
      </c>
      <c r="E289" s="69">
        <v>1350</v>
      </c>
      <c r="F289" s="389">
        <v>0</v>
      </c>
      <c r="G289" s="71">
        <v>1500</v>
      </c>
      <c r="H289" s="389">
        <v>86493.75</v>
      </c>
      <c r="I289" s="69">
        <v>1650</v>
      </c>
      <c r="J289" s="389">
        <v>83193.75</v>
      </c>
      <c r="K289" s="70">
        <v>1425</v>
      </c>
      <c r="L289" s="387">
        <v>157950</v>
      </c>
      <c r="M289" s="70">
        <v>1500</v>
      </c>
      <c r="N289" s="387">
        <v>115425</v>
      </c>
      <c r="O289" s="67">
        <v>1575</v>
      </c>
      <c r="P289" s="387">
        <v>121500</v>
      </c>
      <c r="Q289" s="71">
        <v>1725</v>
      </c>
      <c r="R289" s="389">
        <v>127575</v>
      </c>
      <c r="S289" s="67"/>
      <c r="T289" s="389"/>
      <c r="U289" s="67"/>
      <c r="V289" s="389"/>
      <c r="W289" s="67"/>
      <c r="X289" s="389"/>
      <c r="Y289" s="67"/>
      <c r="Z289" s="389"/>
      <c r="AA289" s="67"/>
      <c r="AB289" s="389"/>
      <c r="AC289" s="71">
        <f t="shared" si="4"/>
        <v>10725</v>
      </c>
      <c r="AD289" s="389">
        <f t="shared" si="4"/>
        <v>692137.5</v>
      </c>
    </row>
    <row r="290" spans="1:30" ht="16" x14ac:dyDescent="0.2">
      <c r="A290" s="388"/>
      <c r="B290" s="231" t="s">
        <v>292</v>
      </c>
      <c r="C290" s="67" t="s">
        <v>294</v>
      </c>
      <c r="D290" s="68" t="s">
        <v>374</v>
      </c>
      <c r="E290" s="69">
        <v>2850</v>
      </c>
      <c r="F290" s="389"/>
      <c r="G290" s="71">
        <v>3000</v>
      </c>
      <c r="H290" s="389"/>
      <c r="I290" s="69">
        <v>3300</v>
      </c>
      <c r="J290" s="389"/>
      <c r="K290" s="70">
        <v>2850</v>
      </c>
      <c r="L290" s="390"/>
      <c r="M290" s="70">
        <v>3000</v>
      </c>
      <c r="N290" s="390"/>
      <c r="O290" s="67">
        <v>3150</v>
      </c>
      <c r="P290" s="390"/>
      <c r="Q290" s="71">
        <v>3450</v>
      </c>
      <c r="R290" s="389"/>
      <c r="S290" s="67"/>
      <c r="T290" s="389"/>
      <c r="U290" s="67"/>
      <c r="V290" s="389"/>
      <c r="W290" s="67"/>
      <c r="X290" s="389"/>
      <c r="Y290" s="67"/>
      <c r="Z290" s="389"/>
      <c r="AA290" s="67"/>
      <c r="AB290" s="389"/>
      <c r="AC290" s="71">
        <f t="shared" si="4"/>
        <v>21600</v>
      </c>
      <c r="AD290" s="389">
        <f t="shared" si="4"/>
        <v>0</v>
      </c>
    </row>
    <row r="291" spans="1:30" ht="16" x14ac:dyDescent="0.2">
      <c r="A291" s="388">
        <v>144</v>
      </c>
      <c r="B291" s="230" t="s">
        <v>292</v>
      </c>
      <c r="C291" s="67" t="s">
        <v>295</v>
      </c>
      <c r="D291" s="68" t="s">
        <v>373</v>
      </c>
      <c r="E291" s="69">
        <v>2075</v>
      </c>
      <c r="F291" s="389">
        <v>0</v>
      </c>
      <c r="G291" s="71">
        <v>2000</v>
      </c>
      <c r="H291" s="389">
        <v>74962.5</v>
      </c>
      <c r="I291" s="69">
        <v>2200</v>
      </c>
      <c r="J291" s="389">
        <v>146206.25</v>
      </c>
      <c r="K291" s="70">
        <v>1900</v>
      </c>
      <c r="L291" s="387">
        <v>218700</v>
      </c>
      <c r="M291" s="70">
        <v>2000</v>
      </c>
      <c r="N291" s="387">
        <v>153900</v>
      </c>
      <c r="O291" s="67">
        <v>2100</v>
      </c>
      <c r="P291" s="387">
        <v>162000</v>
      </c>
      <c r="Q291" s="71">
        <v>2300</v>
      </c>
      <c r="R291" s="389">
        <v>170100</v>
      </c>
      <c r="S291" s="67"/>
      <c r="T291" s="389"/>
      <c r="U291" s="67"/>
      <c r="V291" s="389"/>
      <c r="W291" s="67"/>
      <c r="X291" s="389"/>
      <c r="Y291" s="67"/>
      <c r="Z291" s="389"/>
      <c r="AA291" s="67"/>
      <c r="AB291" s="389"/>
      <c r="AC291" s="71">
        <f t="shared" si="4"/>
        <v>14575</v>
      </c>
      <c r="AD291" s="389">
        <f t="shared" si="4"/>
        <v>925868.75</v>
      </c>
    </row>
    <row r="292" spans="1:30" ht="16" x14ac:dyDescent="0.2">
      <c r="A292" s="388"/>
      <c r="B292" s="231" t="s">
        <v>292</v>
      </c>
      <c r="C292" s="67" t="s">
        <v>295</v>
      </c>
      <c r="D292" s="68" t="s">
        <v>374</v>
      </c>
      <c r="E292" s="69">
        <v>3600</v>
      </c>
      <c r="F292" s="389"/>
      <c r="G292" s="71">
        <v>4000</v>
      </c>
      <c r="H292" s="389"/>
      <c r="I292" s="69">
        <v>4400</v>
      </c>
      <c r="J292" s="389"/>
      <c r="K292" s="70">
        <v>3800</v>
      </c>
      <c r="L292" s="390"/>
      <c r="M292" s="70">
        <v>4000</v>
      </c>
      <c r="N292" s="390"/>
      <c r="O292" s="67">
        <v>4200</v>
      </c>
      <c r="P292" s="390"/>
      <c r="Q292" s="71">
        <v>4600</v>
      </c>
      <c r="R292" s="389"/>
      <c r="S292" s="67"/>
      <c r="T292" s="389"/>
      <c r="U292" s="67"/>
      <c r="V292" s="389"/>
      <c r="W292" s="67"/>
      <c r="X292" s="389"/>
      <c r="Y292" s="67"/>
      <c r="Z292" s="389"/>
      <c r="AA292" s="67"/>
      <c r="AB292" s="389"/>
      <c r="AC292" s="71">
        <f t="shared" si="4"/>
        <v>28600</v>
      </c>
      <c r="AD292" s="389">
        <f t="shared" si="4"/>
        <v>0</v>
      </c>
    </row>
    <row r="293" spans="1:30" ht="16" x14ac:dyDescent="0.2">
      <c r="A293" s="388">
        <v>145</v>
      </c>
      <c r="B293" s="230" t="s">
        <v>292</v>
      </c>
      <c r="C293" s="67" t="s">
        <v>296</v>
      </c>
      <c r="D293" s="68" t="s">
        <v>373</v>
      </c>
      <c r="E293" s="69">
        <v>2125</v>
      </c>
      <c r="F293" s="389">
        <v>0</v>
      </c>
      <c r="G293" s="71">
        <v>2375</v>
      </c>
      <c r="H293" s="389">
        <v>74962.5</v>
      </c>
      <c r="I293" s="69">
        <v>2200</v>
      </c>
      <c r="J293" s="389">
        <v>155237.5</v>
      </c>
      <c r="K293" s="70">
        <v>1900</v>
      </c>
      <c r="L293" s="387">
        <v>218700</v>
      </c>
      <c r="M293" s="70">
        <v>2000</v>
      </c>
      <c r="N293" s="387">
        <v>153900</v>
      </c>
      <c r="O293" s="67">
        <v>2500</v>
      </c>
      <c r="P293" s="387">
        <v>162000</v>
      </c>
      <c r="Q293" s="71">
        <v>2300</v>
      </c>
      <c r="R293" s="389">
        <v>210650</v>
      </c>
      <c r="S293" s="67"/>
      <c r="T293" s="389"/>
      <c r="U293" s="67"/>
      <c r="V293" s="389"/>
      <c r="W293" s="67"/>
      <c r="X293" s="389"/>
      <c r="Y293" s="67"/>
      <c r="Z293" s="389"/>
      <c r="AA293" s="67"/>
      <c r="AB293" s="389"/>
      <c r="AC293" s="71">
        <f t="shared" si="4"/>
        <v>15400</v>
      </c>
      <c r="AD293" s="389">
        <f t="shared" si="4"/>
        <v>975450</v>
      </c>
    </row>
    <row r="294" spans="1:30" ht="16" x14ac:dyDescent="0.2">
      <c r="A294" s="388"/>
      <c r="B294" s="231" t="s">
        <v>292</v>
      </c>
      <c r="C294" s="67" t="s">
        <v>296</v>
      </c>
      <c r="D294" s="68" t="s">
        <v>374</v>
      </c>
      <c r="E294" s="69">
        <v>3600</v>
      </c>
      <c r="F294" s="389"/>
      <c r="G294" s="71">
        <v>4000</v>
      </c>
      <c r="H294" s="389"/>
      <c r="I294" s="69">
        <v>4400</v>
      </c>
      <c r="J294" s="389"/>
      <c r="K294" s="70">
        <v>3800</v>
      </c>
      <c r="L294" s="390"/>
      <c r="M294" s="70">
        <v>4000</v>
      </c>
      <c r="N294" s="390"/>
      <c r="O294" s="67">
        <v>4800</v>
      </c>
      <c r="P294" s="390"/>
      <c r="Q294" s="71">
        <v>4600</v>
      </c>
      <c r="R294" s="389"/>
      <c r="S294" s="67"/>
      <c r="T294" s="389"/>
      <c r="U294" s="67"/>
      <c r="V294" s="389"/>
      <c r="W294" s="67"/>
      <c r="X294" s="389"/>
      <c r="Y294" s="67"/>
      <c r="Z294" s="389"/>
      <c r="AA294" s="67"/>
      <c r="AB294" s="389"/>
      <c r="AC294" s="71">
        <f t="shared" si="4"/>
        <v>29200</v>
      </c>
      <c r="AD294" s="389">
        <f t="shared" si="4"/>
        <v>0</v>
      </c>
    </row>
    <row r="295" spans="1:30" ht="16" x14ac:dyDescent="0.2">
      <c r="A295" s="388">
        <v>146</v>
      </c>
      <c r="B295" s="230" t="s">
        <v>292</v>
      </c>
      <c r="C295" s="67" t="s">
        <v>298</v>
      </c>
      <c r="D295" s="68" t="s">
        <v>373</v>
      </c>
      <c r="E295" s="69">
        <v>2700</v>
      </c>
      <c r="F295" s="389">
        <v>0</v>
      </c>
      <c r="G295" s="69">
        <v>2950</v>
      </c>
      <c r="H295" s="389">
        <v>87862.5</v>
      </c>
      <c r="I295" s="69">
        <v>2200</v>
      </c>
      <c r="J295" s="389">
        <v>166925</v>
      </c>
      <c r="K295" s="69">
        <v>1900</v>
      </c>
      <c r="L295" s="387">
        <v>230249</v>
      </c>
      <c r="M295" s="70">
        <v>2000</v>
      </c>
      <c r="N295" s="387">
        <v>183141</v>
      </c>
      <c r="O295" s="67">
        <v>2100</v>
      </c>
      <c r="P295" s="387">
        <v>192780</v>
      </c>
      <c r="Q295" s="71">
        <v>2200</v>
      </c>
      <c r="R295" s="389">
        <v>202419</v>
      </c>
      <c r="S295" s="67"/>
      <c r="T295" s="389"/>
      <c r="U295" s="67"/>
      <c r="V295" s="389"/>
      <c r="W295" s="67"/>
      <c r="X295" s="389"/>
      <c r="Y295" s="67"/>
      <c r="Z295" s="389"/>
      <c r="AA295" s="67"/>
      <c r="AB295" s="389"/>
      <c r="AC295" s="71">
        <f t="shared" si="4"/>
        <v>16050</v>
      </c>
      <c r="AD295" s="389">
        <f t="shared" si="4"/>
        <v>1063376.5</v>
      </c>
    </row>
    <row r="296" spans="1:30" ht="16" x14ac:dyDescent="0.2">
      <c r="A296" s="388"/>
      <c r="B296" s="231" t="s">
        <v>292</v>
      </c>
      <c r="C296" s="67" t="s">
        <v>298</v>
      </c>
      <c r="D296" s="68" t="s">
        <v>374</v>
      </c>
      <c r="E296" s="69">
        <v>3800</v>
      </c>
      <c r="F296" s="389"/>
      <c r="G296" s="69">
        <v>4000</v>
      </c>
      <c r="H296" s="389"/>
      <c r="I296" s="69">
        <v>4400</v>
      </c>
      <c r="J296" s="389"/>
      <c r="K296" s="69">
        <v>3800</v>
      </c>
      <c r="L296" s="390"/>
      <c r="M296" s="70">
        <v>4000</v>
      </c>
      <c r="N296" s="390"/>
      <c r="O296" s="67">
        <v>4200</v>
      </c>
      <c r="P296" s="390"/>
      <c r="Q296" s="71">
        <v>4499</v>
      </c>
      <c r="R296" s="389"/>
      <c r="S296" s="67"/>
      <c r="T296" s="389"/>
      <c r="U296" s="67"/>
      <c r="V296" s="389"/>
      <c r="W296" s="67"/>
      <c r="X296" s="389"/>
      <c r="Y296" s="67"/>
      <c r="Z296" s="389"/>
      <c r="AA296" s="67"/>
      <c r="AB296" s="389"/>
      <c r="AC296" s="71">
        <f t="shared" si="4"/>
        <v>28699</v>
      </c>
      <c r="AD296" s="389">
        <f t="shared" si="4"/>
        <v>0</v>
      </c>
    </row>
    <row r="297" spans="1:30" ht="16" x14ac:dyDescent="0.2">
      <c r="A297" s="388">
        <v>147</v>
      </c>
      <c r="B297" s="230" t="s">
        <v>292</v>
      </c>
      <c r="C297" s="67" t="s">
        <v>300</v>
      </c>
      <c r="D297" s="68" t="s">
        <v>373</v>
      </c>
      <c r="E297" s="69">
        <v>2700</v>
      </c>
      <c r="F297" s="389">
        <v>0</v>
      </c>
      <c r="G297" s="71">
        <v>3000</v>
      </c>
      <c r="H297" s="389">
        <v>87862.5</v>
      </c>
      <c r="I297" s="69">
        <v>3300</v>
      </c>
      <c r="J297" s="389">
        <v>166925</v>
      </c>
      <c r="K297" s="70">
        <v>2850</v>
      </c>
      <c r="L297" s="387">
        <v>253800</v>
      </c>
      <c r="M297" s="70">
        <v>3000</v>
      </c>
      <c r="N297" s="387">
        <v>178600</v>
      </c>
      <c r="O297" s="67">
        <v>3150</v>
      </c>
      <c r="P297" s="387">
        <v>201750</v>
      </c>
      <c r="Q297" s="71">
        <v>3450</v>
      </c>
      <c r="R297" s="389">
        <v>211837.5</v>
      </c>
      <c r="S297" s="67"/>
      <c r="T297" s="389"/>
      <c r="U297" s="67"/>
      <c r="V297" s="389"/>
      <c r="W297" s="67"/>
      <c r="X297" s="389"/>
      <c r="Y297" s="67"/>
      <c r="Z297" s="389"/>
      <c r="AA297" s="67"/>
      <c r="AB297" s="389"/>
      <c r="AC297" s="71">
        <f t="shared" si="4"/>
        <v>21450</v>
      </c>
      <c r="AD297" s="389">
        <f t="shared" si="4"/>
        <v>1100775</v>
      </c>
    </row>
    <row r="298" spans="1:30" ht="16" x14ac:dyDescent="0.2">
      <c r="A298" s="388"/>
      <c r="B298" s="231" t="s">
        <v>292</v>
      </c>
      <c r="C298" s="67" t="s">
        <v>300</v>
      </c>
      <c r="D298" s="68" t="s">
        <v>374</v>
      </c>
      <c r="E298" s="69">
        <v>3800</v>
      </c>
      <c r="F298" s="389"/>
      <c r="G298" s="71">
        <v>4000</v>
      </c>
      <c r="H298" s="389"/>
      <c r="I298" s="69">
        <v>4400</v>
      </c>
      <c r="J298" s="389"/>
      <c r="K298" s="70">
        <v>3800</v>
      </c>
      <c r="L298" s="390"/>
      <c r="M298" s="70">
        <v>4500</v>
      </c>
      <c r="N298" s="390"/>
      <c r="O298" s="67">
        <v>4725</v>
      </c>
      <c r="P298" s="390"/>
      <c r="Q298" s="71">
        <v>5175</v>
      </c>
      <c r="R298" s="389"/>
      <c r="S298" s="67"/>
      <c r="T298" s="389"/>
      <c r="U298" s="67"/>
      <c r="V298" s="389"/>
      <c r="W298" s="67"/>
      <c r="X298" s="389"/>
      <c r="Y298" s="67"/>
      <c r="Z298" s="389"/>
      <c r="AA298" s="67"/>
      <c r="AB298" s="389"/>
      <c r="AC298" s="71">
        <f t="shared" si="4"/>
        <v>30400</v>
      </c>
      <c r="AD298" s="389">
        <f t="shared" si="4"/>
        <v>0</v>
      </c>
    </row>
    <row r="299" spans="1:30" ht="16" x14ac:dyDescent="0.2">
      <c r="A299" s="388">
        <v>148</v>
      </c>
      <c r="B299" s="230" t="s">
        <v>292</v>
      </c>
      <c r="C299" s="67" t="s">
        <v>302</v>
      </c>
      <c r="D299" s="68" t="s">
        <v>373</v>
      </c>
      <c r="E299" s="69">
        <v>0</v>
      </c>
      <c r="F299" s="389">
        <v>0</v>
      </c>
      <c r="G299" s="69">
        <v>0</v>
      </c>
      <c r="H299" s="389">
        <v>0</v>
      </c>
      <c r="I299" s="69">
        <v>2125</v>
      </c>
      <c r="J299" s="389">
        <v>0</v>
      </c>
      <c r="K299" s="69">
        <v>2375</v>
      </c>
      <c r="L299" s="387">
        <v>162562.5</v>
      </c>
      <c r="M299" s="70">
        <v>2500</v>
      </c>
      <c r="N299" s="387">
        <v>181687.5</v>
      </c>
      <c r="O299" s="67">
        <v>2625</v>
      </c>
      <c r="P299" s="387">
        <v>191250</v>
      </c>
      <c r="Q299" s="71">
        <v>2875</v>
      </c>
      <c r="R299" s="389">
        <v>200812.5</v>
      </c>
      <c r="S299" s="67"/>
      <c r="T299" s="389"/>
      <c r="U299" s="67"/>
      <c r="V299" s="389"/>
      <c r="W299" s="67"/>
      <c r="X299" s="389"/>
      <c r="Y299" s="67"/>
      <c r="Z299" s="389"/>
      <c r="AA299" s="67"/>
      <c r="AB299" s="389"/>
      <c r="AC299" s="71">
        <f t="shared" si="4"/>
        <v>12500</v>
      </c>
      <c r="AD299" s="389">
        <f t="shared" si="4"/>
        <v>736312.5</v>
      </c>
    </row>
    <row r="300" spans="1:30" ht="16" x14ac:dyDescent="0.2">
      <c r="A300" s="388"/>
      <c r="B300" s="231" t="s">
        <v>292</v>
      </c>
      <c r="C300" s="67" t="s">
        <v>302</v>
      </c>
      <c r="D300" s="68" t="s">
        <v>374</v>
      </c>
      <c r="E300" s="69">
        <v>0</v>
      </c>
      <c r="F300" s="389"/>
      <c r="G300" s="69">
        <v>0</v>
      </c>
      <c r="H300" s="389"/>
      <c r="I300" s="69">
        <v>2975</v>
      </c>
      <c r="J300" s="389"/>
      <c r="K300" s="69">
        <v>3325</v>
      </c>
      <c r="L300" s="390"/>
      <c r="M300" s="70">
        <v>3500</v>
      </c>
      <c r="N300" s="390"/>
      <c r="O300" s="67">
        <v>3675</v>
      </c>
      <c r="P300" s="390"/>
      <c r="Q300" s="71">
        <v>4001</v>
      </c>
      <c r="R300" s="389"/>
      <c r="S300" s="67"/>
      <c r="T300" s="389"/>
      <c r="U300" s="67"/>
      <c r="V300" s="389"/>
      <c r="W300" s="67"/>
      <c r="X300" s="389"/>
      <c r="Y300" s="67"/>
      <c r="Z300" s="389"/>
      <c r="AA300" s="67"/>
      <c r="AB300" s="389"/>
      <c r="AC300" s="71">
        <f t="shared" si="4"/>
        <v>17476</v>
      </c>
      <c r="AD300" s="389">
        <f t="shared" si="4"/>
        <v>0</v>
      </c>
    </row>
    <row r="301" spans="1:30" ht="16" x14ac:dyDescent="0.2">
      <c r="A301" s="388">
        <v>149</v>
      </c>
      <c r="B301" s="230" t="s">
        <v>292</v>
      </c>
      <c r="C301" s="67" t="s">
        <v>303</v>
      </c>
      <c r="D301" s="68" t="s">
        <v>373</v>
      </c>
      <c r="E301" s="69">
        <v>2880</v>
      </c>
      <c r="F301" s="389">
        <v>0</v>
      </c>
      <c r="G301" s="69">
        <v>3200</v>
      </c>
      <c r="H301" s="389">
        <f>87365.4+81999.9</f>
        <v>169365.3</v>
      </c>
      <c r="I301" s="69">
        <v>3520</v>
      </c>
      <c r="J301" s="389">
        <v>136666.5</v>
      </c>
      <c r="K301" s="69">
        <v>3040</v>
      </c>
      <c r="L301" s="387">
        <v>268245.00000000006</v>
      </c>
      <c r="M301" s="70">
        <v>3200</v>
      </c>
      <c r="N301" s="387">
        <v>188765</v>
      </c>
      <c r="O301" s="67">
        <v>3360</v>
      </c>
      <c r="P301" s="387">
        <v>198700</v>
      </c>
      <c r="Q301" s="71">
        <v>3680</v>
      </c>
      <c r="R301" s="389">
        <v>208635</v>
      </c>
      <c r="S301" s="67"/>
      <c r="T301" s="389"/>
      <c r="U301" s="67"/>
      <c r="V301" s="389"/>
      <c r="W301" s="67"/>
      <c r="X301" s="389"/>
      <c r="Y301" s="67"/>
      <c r="Z301" s="389"/>
      <c r="AA301" s="67"/>
      <c r="AB301" s="389"/>
      <c r="AC301" s="71">
        <f t="shared" si="4"/>
        <v>22880</v>
      </c>
      <c r="AD301" s="389">
        <f t="shared" si="4"/>
        <v>1170376.8</v>
      </c>
    </row>
    <row r="302" spans="1:30" ht="16" x14ac:dyDescent="0.2">
      <c r="A302" s="388"/>
      <c r="B302" s="231" t="s">
        <v>292</v>
      </c>
      <c r="C302" s="67" t="s">
        <v>303</v>
      </c>
      <c r="D302" s="68" t="s">
        <v>374</v>
      </c>
      <c r="E302" s="69">
        <v>3990</v>
      </c>
      <c r="F302" s="389"/>
      <c r="G302" s="69">
        <v>4200</v>
      </c>
      <c r="H302" s="389"/>
      <c r="I302" s="69">
        <v>4620</v>
      </c>
      <c r="J302" s="389"/>
      <c r="K302" s="69">
        <v>3990</v>
      </c>
      <c r="L302" s="390"/>
      <c r="M302" s="70">
        <v>4200</v>
      </c>
      <c r="N302" s="390"/>
      <c r="O302" s="67">
        <v>4410</v>
      </c>
      <c r="P302" s="390"/>
      <c r="Q302" s="71">
        <v>4830</v>
      </c>
      <c r="R302" s="389"/>
      <c r="S302" s="67"/>
      <c r="T302" s="389"/>
      <c r="U302" s="67"/>
      <c r="V302" s="389"/>
      <c r="W302" s="67"/>
      <c r="X302" s="389"/>
      <c r="Y302" s="67"/>
      <c r="Z302" s="389"/>
      <c r="AA302" s="67"/>
      <c r="AB302" s="389"/>
      <c r="AC302" s="71">
        <f t="shared" si="4"/>
        <v>30240</v>
      </c>
      <c r="AD302" s="389">
        <f t="shared" si="4"/>
        <v>0</v>
      </c>
    </row>
    <row r="303" spans="1:30" ht="16" x14ac:dyDescent="0.2">
      <c r="A303" s="388">
        <v>150</v>
      </c>
      <c r="B303" s="230" t="s">
        <v>292</v>
      </c>
      <c r="C303" s="67" t="s">
        <v>305</v>
      </c>
      <c r="D303" s="68" t="s">
        <v>373</v>
      </c>
      <c r="E303" s="69">
        <v>0</v>
      </c>
      <c r="F303" s="389">
        <v>0</v>
      </c>
      <c r="G303" s="69">
        <v>0</v>
      </c>
      <c r="H303" s="389">
        <v>0</v>
      </c>
      <c r="I303" s="69">
        <v>0</v>
      </c>
      <c r="J303" s="389">
        <v>0</v>
      </c>
      <c r="K303" s="69">
        <v>0</v>
      </c>
      <c r="L303" s="389">
        <v>0</v>
      </c>
      <c r="M303" s="69">
        <v>0</v>
      </c>
      <c r="N303" s="389">
        <v>0</v>
      </c>
      <c r="O303" s="67">
        <v>1500</v>
      </c>
      <c r="P303" s="387">
        <v>0</v>
      </c>
      <c r="Q303" s="71">
        <v>2300</v>
      </c>
      <c r="R303" s="389">
        <v>119722.5</v>
      </c>
      <c r="S303" s="67"/>
      <c r="T303" s="389"/>
      <c r="U303" s="67"/>
      <c r="V303" s="389"/>
      <c r="W303" s="67"/>
      <c r="X303" s="389"/>
      <c r="Y303" s="67"/>
      <c r="Z303" s="389"/>
      <c r="AA303" s="67"/>
      <c r="AB303" s="389"/>
      <c r="AC303" s="71">
        <f t="shared" si="4"/>
        <v>3800</v>
      </c>
      <c r="AD303" s="389">
        <f t="shared" si="4"/>
        <v>119722.5</v>
      </c>
    </row>
    <row r="304" spans="1:30" ht="16" x14ac:dyDescent="0.2">
      <c r="A304" s="388"/>
      <c r="B304" s="231" t="s">
        <v>292</v>
      </c>
      <c r="C304" s="67" t="s">
        <v>305</v>
      </c>
      <c r="D304" s="68" t="s">
        <v>374</v>
      </c>
      <c r="E304" s="69">
        <v>0</v>
      </c>
      <c r="F304" s="389"/>
      <c r="G304" s="69">
        <v>0</v>
      </c>
      <c r="H304" s="389"/>
      <c r="I304" s="69">
        <v>0</v>
      </c>
      <c r="J304" s="389"/>
      <c r="K304" s="69">
        <v>0</v>
      </c>
      <c r="L304" s="389"/>
      <c r="M304" s="69">
        <v>0</v>
      </c>
      <c r="N304" s="389"/>
      <c r="O304" s="67">
        <v>2250</v>
      </c>
      <c r="P304" s="390"/>
      <c r="Q304" s="71">
        <v>3440</v>
      </c>
      <c r="R304" s="389"/>
      <c r="S304" s="67"/>
      <c r="T304" s="389"/>
      <c r="U304" s="67"/>
      <c r="V304" s="389"/>
      <c r="W304" s="67"/>
      <c r="X304" s="389"/>
      <c r="Y304" s="67"/>
      <c r="Z304" s="389"/>
      <c r="AA304" s="67"/>
      <c r="AB304" s="389"/>
      <c r="AC304" s="71">
        <f t="shared" si="4"/>
        <v>5690</v>
      </c>
      <c r="AD304" s="389">
        <f t="shared" si="4"/>
        <v>0</v>
      </c>
    </row>
    <row r="305" spans="1:30" ht="16" x14ac:dyDescent="0.2">
      <c r="A305" s="388">
        <v>151</v>
      </c>
      <c r="B305" s="230" t="s">
        <v>292</v>
      </c>
      <c r="C305" s="67" t="s">
        <v>306</v>
      </c>
      <c r="D305" s="68" t="s">
        <v>373</v>
      </c>
      <c r="E305" s="69">
        <v>0</v>
      </c>
      <c r="F305" s="389">
        <v>0</v>
      </c>
      <c r="G305" s="69">
        <v>0</v>
      </c>
      <c r="H305" s="389">
        <v>0</v>
      </c>
      <c r="I305" s="69">
        <v>1700</v>
      </c>
      <c r="J305" s="389">
        <v>0</v>
      </c>
      <c r="K305" s="69">
        <v>1900</v>
      </c>
      <c r="L305" s="387">
        <v>132676.5</v>
      </c>
      <c r="M305" s="70">
        <v>2000</v>
      </c>
      <c r="N305" s="387">
        <v>151648.5</v>
      </c>
      <c r="O305" s="67">
        <v>2100</v>
      </c>
      <c r="P305" s="387">
        <v>159630</v>
      </c>
      <c r="Q305" s="71">
        <v>2300</v>
      </c>
      <c r="R305" s="389">
        <v>185844</v>
      </c>
      <c r="S305" s="67"/>
      <c r="T305" s="389"/>
      <c r="U305" s="67"/>
      <c r="V305" s="389"/>
      <c r="W305" s="67"/>
      <c r="X305" s="389"/>
      <c r="Y305" s="67"/>
      <c r="Z305" s="389"/>
      <c r="AA305" s="67"/>
      <c r="AB305" s="389"/>
      <c r="AC305" s="71">
        <f t="shared" si="4"/>
        <v>10000</v>
      </c>
      <c r="AD305" s="389">
        <f t="shared" si="4"/>
        <v>629799</v>
      </c>
    </row>
    <row r="306" spans="1:30" ht="16" x14ac:dyDescent="0.2">
      <c r="A306" s="388"/>
      <c r="B306" s="231" t="s">
        <v>292</v>
      </c>
      <c r="C306" s="67" t="s">
        <v>306</v>
      </c>
      <c r="D306" s="68" t="s">
        <v>374</v>
      </c>
      <c r="E306" s="69">
        <v>0</v>
      </c>
      <c r="F306" s="389"/>
      <c r="G306" s="69">
        <v>0</v>
      </c>
      <c r="H306" s="389"/>
      <c r="I306" s="69">
        <v>2550</v>
      </c>
      <c r="J306" s="389"/>
      <c r="K306" s="69">
        <v>2850</v>
      </c>
      <c r="L306" s="390"/>
      <c r="M306" s="70">
        <v>3000</v>
      </c>
      <c r="N306" s="390"/>
      <c r="O306" s="67">
        <v>3700</v>
      </c>
      <c r="P306" s="390"/>
      <c r="Q306" s="71">
        <v>4570</v>
      </c>
      <c r="R306" s="389"/>
      <c r="S306" s="67"/>
      <c r="T306" s="389"/>
      <c r="U306" s="67"/>
      <c r="V306" s="389"/>
      <c r="W306" s="67"/>
      <c r="X306" s="389"/>
      <c r="Y306" s="67"/>
      <c r="Z306" s="389"/>
      <c r="AA306" s="67"/>
      <c r="AB306" s="389"/>
      <c r="AC306" s="71">
        <f t="shared" si="4"/>
        <v>16670</v>
      </c>
      <c r="AD306" s="389">
        <f t="shared" si="4"/>
        <v>0</v>
      </c>
    </row>
    <row r="307" spans="1:30" ht="16" x14ac:dyDescent="0.2">
      <c r="A307" s="393">
        <v>152</v>
      </c>
      <c r="B307" s="232" t="s">
        <v>307</v>
      </c>
      <c r="C307" s="73" t="s">
        <v>307</v>
      </c>
      <c r="D307" s="74" t="s">
        <v>373</v>
      </c>
      <c r="E307" s="75">
        <v>0</v>
      </c>
      <c r="F307" s="394">
        <v>0</v>
      </c>
      <c r="G307" s="233">
        <v>0</v>
      </c>
      <c r="H307" s="394">
        <v>0</v>
      </c>
      <c r="I307" s="233">
        <v>0</v>
      </c>
      <c r="J307" s="394">
        <v>0</v>
      </c>
      <c r="K307" s="233">
        <v>0</v>
      </c>
      <c r="L307" s="394">
        <v>0</v>
      </c>
      <c r="M307" s="233">
        <v>0</v>
      </c>
      <c r="N307" s="394">
        <v>0</v>
      </c>
      <c r="O307" s="73">
        <v>0</v>
      </c>
      <c r="P307" s="394">
        <v>0</v>
      </c>
      <c r="Q307" s="76">
        <v>2382</v>
      </c>
      <c r="R307" s="396">
        <v>0</v>
      </c>
      <c r="S307" s="76"/>
      <c r="T307" s="396"/>
      <c r="U307" s="76"/>
      <c r="V307" s="396"/>
      <c r="W307" s="73"/>
      <c r="X307" s="396"/>
      <c r="Y307" s="73"/>
      <c r="Z307" s="396"/>
      <c r="AA307" s="73"/>
      <c r="AB307" s="396"/>
      <c r="AC307" s="76">
        <f t="shared" si="4"/>
        <v>2382</v>
      </c>
      <c r="AD307" s="396">
        <f t="shared" si="4"/>
        <v>0</v>
      </c>
    </row>
    <row r="308" spans="1:30" ht="16" x14ac:dyDescent="0.2">
      <c r="A308" s="393"/>
      <c r="B308" s="234" t="s">
        <v>307</v>
      </c>
      <c r="C308" s="73" t="s">
        <v>307</v>
      </c>
      <c r="D308" s="74" t="s">
        <v>374</v>
      </c>
      <c r="E308" s="75">
        <v>0</v>
      </c>
      <c r="F308" s="395"/>
      <c r="G308" s="233">
        <v>0</v>
      </c>
      <c r="H308" s="395"/>
      <c r="I308" s="233">
        <v>0</v>
      </c>
      <c r="J308" s="395"/>
      <c r="K308" s="233">
        <v>0</v>
      </c>
      <c r="L308" s="395"/>
      <c r="M308" s="233">
        <v>0</v>
      </c>
      <c r="N308" s="395"/>
      <c r="O308" s="73">
        <v>0</v>
      </c>
      <c r="P308" s="395"/>
      <c r="Q308" s="76">
        <v>3200</v>
      </c>
      <c r="R308" s="396"/>
      <c r="S308" s="76"/>
      <c r="T308" s="396"/>
      <c r="U308" s="76"/>
      <c r="V308" s="396"/>
      <c r="W308" s="73"/>
      <c r="X308" s="396"/>
      <c r="Y308" s="73"/>
      <c r="Z308" s="396"/>
      <c r="AA308" s="73"/>
      <c r="AB308" s="396"/>
      <c r="AC308" s="76">
        <f t="shared" si="4"/>
        <v>3200</v>
      </c>
      <c r="AD308" s="396">
        <f t="shared" si="4"/>
        <v>0</v>
      </c>
    </row>
    <row r="309" spans="1:30" ht="16" x14ac:dyDescent="0.2">
      <c r="A309" s="388">
        <v>153</v>
      </c>
      <c r="B309" s="230" t="s">
        <v>307</v>
      </c>
      <c r="C309" s="67" t="s">
        <v>322</v>
      </c>
      <c r="D309" s="68" t="s">
        <v>373</v>
      </c>
      <c r="E309" s="69">
        <v>1800</v>
      </c>
      <c r="F309" s="389">
        <v>0</v>
      </c>
      <c r="G309" s="71">
        <v>2000</v>
      </c>
      <c r="H309" s="389">
        <v>0</v>
      </c>
      <c r="I309" s="71">
        <v>2200</v>
      </c>
      <c r="J309" s="389">
        <v>338492</v>
      </c>
      <c r="K309" s="71">
        <v>1900</v>
      </c>
      <c r="L309" s="387">
        <v>191170</v>
      </c>
      <c r="M309" s="71">
        <v>1400</v>
      </c>
      <c r="N309" s="389">
        <v>166516</v>
      </c>
      <c r="O309" s="71">
        <v>1470</v>
      </c>
      <c r="P309" s="389">
        <v>107590</v>
      </c>
      <c r="Q309" s="71">
        <v>1540</v>
      </c>
      <c r="R309" s="389">
        <v>113542.80000000005</v>
      </c>
      <c r="S309" s="71"/>
      <c r="T309" s="389"/>
      <c r="U309" s="71"/>
      <c r="V309" s="389"/>
      <c r="W309" s="67"/>
      <c r="X309" s="389"/>
      <c r="Y309" s="67"/>
      <c r="Z309" s="389"/>
      <c r="AA309" s="67"/>
      <c r="AB309" s="389"/>
      <c r="AC309" s="71">
        <f t="shared" si="4"/>
        <v>12310</v>
      </c>
      <c r="AD309" s="389">
        <f t="shared" si="4"/>
        <v>917310.8</v>
      </c>
    </row>
    <row r="310" spans="1:30" ht="16" x14ac:dyDescent="0.2">
      <c r="A310" s="388"/>
      <c r="B310" s="231" t="s">
        <v>307</v>
      </c>
      <c r="C310" s="67" t="s">
        <v>322</v>
      </c>
      <c r="D310" s="68" t="s">
        <v>374</v>
      </c>
      <c r="E310" s="69">
        <v>2850</v>
      </c>
      <c r="F310" s="389"/>
      <c r="G310" s="71">
        <v>3000</v>
      </c>
      <c r="H310" s="389"/>
      <c r="I310" s="71">
        <v>3300</v>
      </c>
      <c r="J310" s="389"/>
      <c r="K310" s="71">
        <v>2850</v>
      </c>
      <c r="L310" s="390"/>
      <c r="M310" s="71">
        <v>1685</v>
      </c>
      <c r="N310" s="389"/>
      <c r="O310" s="71">
        <v>1785</v>
      </c>
      <c r="P310" s="389"/>
      <c r="Q310" s="71">
        <v>1955</v>
      </c>
      <c r="R310" s="389"/>
      <c r="S310" s="71"/>
      <c r="T310" s="389"/>
      <c r="U310" s="71"/>
      <c r="V310" s="389"/>
      <c r="W310" s="67"/>
      <c r="X310" s="389"/>
      <c r="Y310" s="67"/>
      <c r="Z310" s="389"/>
      <c r="AA310" s="67"/>
      <c r="AB310" s="389"/>
      <c r="AC310" s="71">
        <f t="shared" si="4"/>
        <v>17425</v>
      </c>
      <c r="AD310" s="389">
        <f t="shared" si="4"/>
        <v>0</v>
      </c>
    </row>
    <row r="311" spans="1:30" ht="16" x14ac:dyDescent="0.2">
      <c r="A311" s="388">
        <v>154</v>
      </c>
      <c r="B311" s="230" t="s">
        <v>413</v>
      </c>
      <c r="C311" s="67" t="s">
        <v>328</v>
      </c>
      <c r="D311" s="68" t="s">
        <v>373</v>
      </c>
      <c r="E311" s="69">
        <v>3600</v>
      </c>
      <c r="F311" s="387">
        <v>0</v>
      </c>
      <c r="G311" s="71">
        <v>4000</v>
      </c>
      <c r="H311" s="387">
        <v>0</v>
      </c>
      <c r="I311" s="69">
        <v>4400</v>
      </c>
      <c r="J311" s="387">
        <v>584361</v>
      </c>
      <c r="K311" s="70">
        <v>3800</v>
      </c>
      <c r="L311" s="387">
        <v>333234</v>
      </c>
      <c r="M311" s="70">
        <v>4000</v>
      </c>
      <c r="N311" s="387">
        <v>287055.90000000002</v>
      </c>
      <c r="O311" s="67">
        <v>4200</v>
      </c>
      <c r="P311" s="387">
        <v>302940</v>
      </c>
      <c r="Q311" s="71">
        <v>4600</v>
      </c>
      <c r="R311" s="389">
        <v>318087</v>
      </c>
      <c r="S311" s="67"/>
      <c r="T311" s="387"/>
      <c r="U311" s="67"/>
      <c r="V311" s="387"/>
      <c r="W311" s="67"/>
      <c r="X311" s="389"/>
      <c r="Y311" s="67"/>
      <c r="Z311" s="389"/>
      <c r="AA311" s="67"/>
      <c r="AB311" s="389"/>
      <c r="AC311" s="71">
        <f t="shared" si="4"/>
        <v>28600</v>
      </c>
      <c r="AD311" s="389">
        <f t="shared" si="4"/>
        <v>1825677.9</v>
      </c>
    </row>
    <row r="312" spans="1:30" ht="16" x14ac:dyDescent="0.2">
      <c r="A312" s="388"/>
      <c r="B312" s="231" t="s">
        <v>413</v>
      </c>
      <c r="C312" s="67" t="s">
        <v>328</v>
      </c>
      <c r="D312" s="68" t="s">
        <v>374</v>
      </c>
      <c r="E312" s="69">
        <v>4750</v>
      </c>
      <c r="F312" s="390"/>
      <c r="G312" s="71">
        <v>5000</v>
      </c>
      <c r="H312" s="390"/>
      <c r="I312" s="69">
        <v>5500</v>
      </c>
      <c r="J312" s="390"/>
      <c r="K312" s="70">
        <v>4729</v>
      </c>
      <c r="L312" s="390"/>
      <c r="M312" s="70">
        <v>5000</v>
      </c>
      <c r="N312" s="390"/>
      <c r="O312" s="67">
        <v>5250</v>
      </c>
      <c r="P312" s="390"/>
      <c r="Q312" s="71">
        <v>5750</v>
      </c>
      <c r="R312" s="389"/>
      <c r="S312" s="67"/>
      <c r="T312" s="390"/>
      <c r="U312" s="67"/>
      <c r="V312" s="390"/>
      <c r="W312" s="67"/>
      <c r="X312" s="389"/>
      <c r="Y312" s="67"/>
      <c r="Z312" s="389"/>
      <c r="AA312" s="67"/>
      <c r="AB312" s="389"/>
      <c r="AC312" s="71">
        <f t="shared" si="4"/>
        <v>35979</v>
      </c>
      <c r="AD312" s="389">
        <f t="shared" si="4"/>
        <v>0</v>
      </c>
    </row>
    <row r="313" spans="1:30" ht="16" x14ac:dyDescent="0.2">
      <c r="A313" s="388">
        <v>155</v>
      </c>
      <c r="B313" s="230" t="s">
        <v>413</v>
      </c>
      <c r="C313" s="67" t="s">
        <v>331</v>
      </c>
      <c r="D313" s="68" t="s">
        <v>373</v>
      </c>
      <c r="E313" s="69">
        <v>2700</v>
      </c>
      <c r="F313" s="389">
        <v>0</v>
      </c>
      <c r="G313" s="71">
        <v>3000</v>
      </c>
      <c r="H313" s="389">
        <v>0</v>
      </c>
      <c r="I313" s="69">
        <v>3300</v>
      </c>
      <c r="J313" s="389">
        <v>511124.04</v>
      </c>
      <c r="K313" s="70">
        <v>2850</v>
      </c>
      <c r="L313" s="387">
        <v>298188.00000000006</v>
      </c>
      <c r="M313" s="70">
        <v>3000</v>
      </c>
      <c r="N313" s="387">
        <v>250786.8</v>
      </c>
      <c r="O313" s="67">
        <v>3150</v>
      </c>
      <c r="P313" s="387">
        <v>271080</v>
      </c>
      <c r="Q313" s="71">
        <v>3394</v>
      </c>
      <c r="R313" s="389">
        <v>284634</v>
      </c>
      <c r="S313" s="67"/>
      <c r="T313" s="389"/>
      <c r="U313" s="67"/>
      <c r="V313" s="389"/>
      <c r="W313" s="67"/>
      <c r="X313" s="389"/>
      <c r="Y313" s="67"/>
      <c r="Z313" s="389"/>
      <c r="AA313" s="67"/>
      <c r="AB313" s="389"/>
      <c r="AC313" s="71">
        <f t="shared" si="4"/>
        <v>21394</v>
      </c>
      <c r="AD313" s="389">
        <f t="shared" si="4"/>
        <v>1615812.84</v>
      </c>
    </row>
    <row r="314" spans="1:30" ht="16" x14ac:dyDescent="0.2">
      <c r="A314" s="388"/>
      <c r="B314" s="231" t="s">
        <v>413</v>
      </c>
      <c r="C314" s="67" t="s">
        <v>331</v>
      </c>
      <c r="D314" s="68" t="s">
        <v>374</v>
      </c>
      <c r="E314" s="69">
        <v>4500</v>
      </c>
      <c r="F314" s="389"/>
      <c r="G314" s="71">
        <v>5000</v>
      </c>
      <c r="H314" s="389"/>
      <c r="I314" s="69">
        <v>5500</v>
      </c>
      <c r="J314" s="389"/>
      <c r="K314" s="70">
        <v>4558</v>
      </c>
      <c r="L314" s="390"/>
      <c r="M314" s="70">
        <v>5000</v>
      </c>
      <c r="N314" s="390"/>
      <c r="O314" s="67">
        <v>5250</v>
      </c>
      <c r="P314" s="390"/>
      <c r="Q314" s="71">
        <v>5300</v>
      </c>
      <c r="R314" s="389"/>
      <c r="S314" s="67"/>
      <c r="T314" s="389"/>
      <c r="U314" s="67"/>
      <c r="V314" s="389"/>
      <c r="W314" s="67"/>
      <c r="X314" s="389"/>
      <c r="Y314" s="67"/>
      <c r="Z314" s="389"/>
      <c r="AA314" s="67"/>
      <c r="AB314" s="389"/>
      <c r="AC314" s="71">
        <f t="shared" si="4"/>
        <v>35108</v>
      </c>
      <c r="AD314" s="389">
        <f t="shared" si="4"/>
        <v>0</v>
      </c>
    </row>
    <row r="315" spans="1:30" ht="16" x14ac:dyDescent="0.2">
      <c r="A315" s="388">
        <v>156</v>
      </c>
      <c r="B315" s="230" t="s">
        <v>414</v>
      </c>
      <c r="C315" s="67" t="s">
        <v>333</v>
      </c>
      <c r="D315" s="68" t="s">
        <v>373</v>
      </c>
      <c r="E315" s="69">
        <v>2250</v>
      </c>
      <c r="F315" s="389">
        <v>0</v>
      </c>
      <c r="G315" s="71">
        <v>2500</v>
      </c>
      <c r="H315" s="389">
        <v>0</v>
      </c>
      <c r="I315" s="69">
        <v>2750</v>
      </c>
      <c r="J315" s="389">
        <v>423360</v>
      </c>
      <c r="K315" s="70">
        <v>2375</v>
      </c>
      <c r="L315" s="387">
        <v>240686.09999999998</v>
      </c>
      <c r="M315" s="70">
        <v>2375</v>
      </c>
      <c r="N315" s="387">
        <v>206906.4</v>
      </c>
      <c r="O315" s="67">
        <v>2625</v>
      </c>
      <c r="P315" s="387">
        <v>209047.5</v>
      </c>
      <c r="Q315" s="71">
        <v>2800</v>
      </c>
      <c r="R315" s="389">
        <v>231052.5</v>
      </c>
      <c r="S315" s="67"/>
      <c r="T315" s="389"/>
      <c r="U315" s="67"/>
      <c r="V315" s="389"/>
      <c r="W315" s="67"/>
      <c r="X315" s="389"/>
      <c r="Y315" s="67"/>
      <c r="Z315" s="389"/>
      <c r="AA315" s="67"/>
      <c r="AB315" s="389"/>
      <c r="AC315" s="71">
        <f>AA315+Y315+W315+U315+S315+Q315+O315+K315+M315+I315+G315+E315</f>
        <v>17675</v>
      </c>
      <c r="AD315" s="389">
        <f>AB315+Z315+X315+V315+T315+R315+P315+L315+N315+J315+H315+F315</f>
        <v>1311052.5</v>
      </c>
    </row>
    <row r="316" spans="1:30" ht="16" x14ac:dyDescent="0.2">
      <c r="A316" s="388"/>
      <c r="B316" s="231" t="s">
        <v>414</v>
      </c>
      <c r="C316" s="67" t="s">
        <v>333</v>
      </c>
      <c r="D316" s="68" t="s">
        <v>374</v>
      </c>
      <c r="E316" s="69">
        <v>3750</v>
      </c>
      <c r="F316" s="389"/>
      <c r="G316" s="71">
        <v>4000</v>
      </c>
      <c r="H316" s="389"/>
      <c r="I316" s="69">
        <v>4400</v>
      </c>
      <c r="J316" s="389"/>
      <c r="K316" s="70">
        <v>3739</v>
      </c>
      <c r="L316" s="390"/>
      <c r="M316" s="70">
        <v>3800</v>
      </c>
      <c r="N316" s="390"/>
      <c r="O316" s="67">
        <v>4200</v>
      </c>
      <c r="P316" s="390"/>
      <c r="Q316" s="71">
        <v>4600</v>
      </c>
      <c r="R316" s="389"/>
      <c r="S316" s="67"/>
      <c r="T316" s="389"/>
      <c r="U316" s="67"/>
      <c r="V316" s="389"/>
      <c r="W316" s="67"/>
      <c r="X316" s="389"/>
      <c r="Y316" s="67"/>
      <c r="Z316" s="389"/>
      <c r="AA316" s="67"/>
      <c r="AB316" s="389"/>
      <c r="AC316" s="71">
        <f>AA316+Y316+W316+U316+S316+Q316+O316+K316+M316+I316+G316+E316</f>
        <v>28489</v>
      </c>
      <c r="AD316" s="389">
        <f>AB316+Z316+X316+V316+T316+R316+P316+L316+N316+J316+H316+F316</f>
        <v>0</v>
      </c>
    </row>
    <row r="317" spans="1:30" ht="16" x14ac:dyDescent="0.2">
      <c r="A317" s="388">
        <v>157</v>
      </c>
      <c r="B317" s="230" t="s">
        <v>413</v>
      </c>
      <c r="C317" s="67" t="s">
        <v>334</v>
      </c>
      <c r="D317" s="68" t="s">
        <v>373</v>
      </c>
      <c r="E317" s="69">
        <v>2100</v>
      </c>
      <c r="F317" s="389">
        <v>0</v>
      </c>
      <c r="G317" s="71">
        <v>1500</v>
      </c>
      <c r="H317" s="389">
        <v>0</v>
      </c>
      <c r="I317" s="69">
        <v>1650</v>
      </c>
      <c r="J317" s="389">
        <v>290196</v>
      </c>
      <c r="K317" s="70">
        <v>1425</v>
      </c>
      <c r="L317" s="387">
        <v>129789</v>
      </c>
      <c r="M317" s="70">
        <v>1500</v>
      </c>
      <c r="N317" s="387">
        <v>112090.5</v>
      </c>
      <c r="O317" s="67">
        <v>1575</v>
      </c>
      <c r="P317" s="387">
        <v>117990</v>
      </c>
      <c r="Q317" s="71">
        <v>1725</v>
      </c>
      <c r="R317" s="389">
        <v>123889.5</v>
      </c>
      <c r="S317" s="67"/>
      <c r="T317" s="389"/>
      <c r="U317" s="67"/>
      <c r="V317" s="389"/>
      <c r="W317" s="67"/>
      <c r="X317" s="389"/>
      <c r="Y317" s="67"/>
      <c r="Z317" s="389"/>
      <c r="AA317" s="67"/>
      <c r="AB317" s="389"/>
      <c r="AC317" s="71">
        <f t="shared" si="4"/>
        <v>11475</v>
      </c>
      <c r="AD317" s="389">
        <f t="shared" si="4"/>
        <v>773955</v>
      </c>
    </row>
    <row r="318" spans="1:30" ht="16" x14ac:dyDescent="0.2">
      <c r="A318" s="388"/>
      <c r="B318" s="231" t="s">
        <v>413</v>
      </c>
      <c r="C318" s="67" t="s">
        <v>334</v>
      </c>
      <c r="D318" s="68" t="s">
        <v>374</v>
      </c>
      <c r="E318" s="69">
        <v>3000</v>
      </c>
      <c r="F318" s="389"/>
      <c r="G318" s="71">
        <v>2000</v>
      </c>
      <c r="H318" s="389"/>
      <c r="I318" s="69">
        <v>2200</v>
      </c>
      <c r="J318" s="389"/>
      <c r="K318" s="70">
        <v>1900</v>
      </c>
      <c r="L318" s="390"/>
      <c r="M318" s="70">
        <v>2000</v>
      </c>
      <c r="N318" s="390"/>
      <c r="O318" s="67">
        <v>2100</v>
      </c>
      <c r="P318" s="390"/>
      <c r="Q318" s="71">
        <v>2300</v>
      </c>
      <c r="R318" s="389"/>
      <c r="S318" s="67"/>
      <c r="T318" s="389"/>
      <c r="U318" s="67"/>
      <c r="V318" s="389"/>
      <c r="W318" s="67"/>
      <c r="X318" s="389"/>
      <c r="Y318" s="67"/>
      <c r="Z318" s="389"/>
      <c r="AA318" s="67"/>
      <c r="AB318" s="389"/>
      <c r="AC318" s="71">
        <f t="shared" si="4"/>
        <v>15500</v>
      </c>
      <c r="AD318" s="389">
        <f t="shared" si="4"/>
        <v>0</v>
      </c>
    </row>
    <row r="319" spans="1:30" ht="16" x14ac:dyDescent="0.2">
      <c r="A319" s="388">
        <v>158</v>
      </c>
      <c r="B319" s="230" t="s">
        <v>413</v>
      </c>
      <c r="C319" s="67" t="s">
        <v>335</v>
      </c>
      <c r="D319" s="68" t="s">
        <v>373</v>
      </c>
      <c r="E319" s="69">
        <v>3600</v>
      </c>
      <c r="F319" s="389">
        <v>0</v>
      </c>
      <c r="G319" s="71">
        <v>4000</v>
      </c>
      <c r="H319" s="389">
        <v>0</v>
      </c>
      <c r="I319" s="69">
        <v>4400</v>
      </c>
      <c r="J319" s="389">
        <v>584361</v>
      </c>
      <c r="K319" s="70">
        <v>3800</v>
      </c>
      <c r="L319" s="387">
        <v>333234</v>
      </c>
      <c r="M319" s="70">
        <v>4000</v>
      </c>
      <c r="N319" s="387">
        <v>287793</v>
      </c>
      <c r="O319" s="67">
        <v>4200</v>
      </c>
      <c r="P319" s="387">
        <v>302940</v>
      </c>
      <c r="Q319" s="71">
        <v>4600</v>
      </c>
      <c r="R319" s="389">
        <v>318087</v>
      </c>
      <c r="S319" s="67"/>
      <c r="T319" s="389"/>
      <c r="U319" s="67"/>
      <c r="V319" s="389"/>
      <c r="W319" s="67"/>
      <c r="X319" s="389"/>
      <c r="Y319" s="67"/>
      <c r="Z319" s="389"/>
      <c r="AA319" s="67"/>
      <c r="AB319" s="389"/>
      <c r="AC319" s="71">
        <f t="shared" si="4"/>
        <v>28600</v>
      </c>
      <c r="AD319" s="389">
        <f t="shared" si="4"/>
        <v>1826415</v>
      </c>
    </row>
    <row r="320" spans="1:30" ht="16" x14ac:dyDescent="0.2">
      <c r="A320" s="388"/>
      <c r="B320" s="231" t="s">
        <v>413</v>
      </c>
      <c r="C320" s="67" t="s">
        <v>335</v>
      </c>
      <c r="D320" s="68" t="s">
        <v>374</v>
      </c>
      <c r="E320" s="69">
        <v>4750</v>
      </c>
      <c r="F320" s="389"/>
      <c r="G320" s="71">
        <v>5000</v>
      </c>
      <c r="H320" s="389"/>
      <c r="I320" s="69">
        <v>5500</v>
      </c>
      <c r="J320" s="389"/>
      <c r="K320" s="70">
        <v>4750</v>
      </c>
      <c r="L320" s="390"/>
      <c r="M320" s="70">
        <v>5000</v>
      </c>
      <c r="N320" s="390"/>
      <c r="O320" s="67">
        <v>5250</v>
      </c>
      <c r="P320" s="390"/>
      <c r="Q320" s="71">
        <v>5750</v>
      </c>
      <c r="R320" s="389"/>
      <c r="S320" s="67"/>
      <c r="T320" s="389"/>
      <c r="U320" s="67"/>
      <c r="V320" s="389"/>
      <c r="W320" s="67"/>
      <c r="X320" s="389"/>
      <c r="Y320" s="67"/>
      <c r="Z320" s="389"/>
      <c r="AA320" s="67"/>
      <c r="AB320" s="389"/>
      <c r="AC320" s="71">
        <f t="shared" si="4"/>
        <v>36000</v>
      </c>
      <c r="AD320" s="389">
        <f t="shared" si="4"/>
        <v>0</v>
      </c>
    </row>
    <row r="321" spans="1:30" ht="16" x14ac:dyDescent="0.2">
      <c r="A321" s="388">
        <v>159</v>
      </c>
      <c r="B321" s="230" t="s">
        <v>413</v>
      </c>
      <c r="C321" s="67" t="s">
        <v>336</v>
      </c>
      <c r="D321" s="68" t="s">
        <v>373</v>
      </c>
      <c r="E321" s="69">
        <v>2300</v>
      </c>
      <c r="F321" s="389">
        <v>0</v>
      </c>
      <c r="G321" s="71">
        <v>2000</v>
      </c>
      <c r="H321" s="389">
        <v>0</v>
      </c>
      <c r="I321" s="69">
        <v>2200</v>
      </c>
      <c r="J321" s="389">
        <v>361638</v>
      </c>
      <c r="K321" s="70">
        <v>1900</v>
      </c>
      <c r="L321" s="387">
        <v>185922</v>
      </c>
      <c r="M321" s="70">
        <v>2000</v>
      </c>
      <c r="N321" s="387">
        <v>160569</v>
      </c>
      <c r="O321" s="67">
        <v>2100</v>
      </c>
      <c r="P321" s="387">
        <v>169020</v>
      </c>
      <c r="Q321" s="71">
        <v>2300</v>
      </c>
      <c r="R321" s="389">
        <v>177471</v>
      </c>
      <c r="S321" s="67"/>
      <c r="T321" s="389"/>
      <c r="U321" s="67"/>
      <c r="V321" s="389"/>
      <c r="W321" s="67"/>
      <c r="X321" s="389"/>
      <c r="Y321" s="67"/>
      <c r="Z321" s="389"/>
      <c r="AA321" s="67"/>
      <c r="AB321" s="389"/>
      <c r="AC321" s="71">
        <f t="shared" si="4"/>
        <v>14800</v>
      </c>
      <c r="AD321" s="389">
        <f t="shared" si="4"/>
        <v>1054620</v>
      </c>
    </row>
    <row r="322" spans="1:30" ht="16" x14ac:dyDescent="0.2">
      <c r="A322" s="388"/>
      <c r="B322" s="231" t="s">
        <v>413</v>
      </c>
      <c r="C322" s="67" t="s">
        <v>336</v>
      </c>
      <c r="D322" s="68" t="s">
        <v>374</v>
      </c>
      <c r="E322" s="69">
        <v>3400</v>
      </c>
      <c r="F322" s="389"/>
      <c r="G322" s="71">
        <v>3000</v>
      </c>
      <c r="H322" s="389"/>
      <c r="I322" s="69">
        <v>3300</v>
      </c>
      <c r="J322" s="389"/>
      <c r="K322" s="70">
        <v>2850</v>
      </c>
      <c r="L322" s="390"/>
      <c r="M322" s="70">
        <v>3000</v>
      </c>
      <c r="N322" s="390"/>
      <c r="O322" s="67">
        <v>3150</v>
      </c>
      <c r="P322" s="390"/>
      <c r="Q322" s="71">
        <v>3450</v>
      </c>
      <c r="R322" s="389"/>
      <c r="S322" s="67"/>
      <c r="T322" s="389"/>
      <c r="U322" s="67"/>
      <c r="V322" s="389"/>
      <c r="W322" s="67"/>
      <c r="X322" s="389"/>
      <c r="Y322" s="67"/>
      <c r="Z322" s="389"/>
      <c r="AA322" s="67"/>
      <c r="AB322" s="389"/>
      <c r="AC322" s="71">
        <f t="shared" si="4"/>
        <v>22150</v>
      </c>
      <c r="AD322" s="389">
        <f t="shared" si="4"/>
        <v>0</v>
      </c>
    </row>
    <row r="323" spans="1:30" ht="16" x14ac:dyDescent="0.2">
      <c r="A323" s="388">
        <v>160</v>
      </c>
      <c r="B323" s="230" t="s">
        <v>414</v>
      </c>
      <c r="C323" s="67" t="s">
        <v>415</v>
      </c>
      <c r="D323" s="68" t="s">
        <v>373</v>
      </c>
      <c r="E323" s="69">
        <v>0</v>
      </c>
      <c r="F323" s="387">
        <v>0</v>
      </c>
      <c r="G323" s="70">
        <v>0</v>
      </c>
      <c r="H323" s="387">
        <v>0</v>
      </c>
      <c r="I323" s="70">
        <v>0</v>
      </c>
      <c r="J323" s="387">
        <v>0</v>
      </c>
      <c r="K323" s="70">
        <v>0</v>
      </c>
      <c r="L323" s="387">
        <v>0</v>
      </c>
      <c r="M323" s="70">
        <v>1800</v>
      </c>
      <c r="N323" s="387">
        <v>0</v>
      </c>
      <c r="O323" s="67">
        <v>2100</v>
      </c>
      <c r="P323" s="387">
        <v>120603</v>
      </c>
      <c r="Q323" s="71">
        <v>2400</v>
      </c>
      <c r="R323" s="389">
        <v>133350</v>
      </c>
      <c r="S323" s="67"/>
      <c r="T323" s="389"/>
      <c r="U323" s="67"/>
      <c r="V323" s="389"/>
      <c r="W323" s="67"/>
      <c r="X323" s="389"/>
      <c r="Y323" s="67"/>
      <c r="Z323" s="389"/>
      <c r="AA323" s="67"/>
      <c r="AB323" s="389"/>
      <c r="AC323" s="71">
        <f>AA323+Y323+W323+U323+S323+Q323+O323+K323+M323+I323+G323+E323</f>
        <v>6300</v>
      </c>
      <c r="AD323" s="389">
        <f>AB323+Z323+X323+V323+T323+R323+P323+L323+N323+J323+H323+F323</f>
        <v>253953</v>
      </c>
    </row>
    <row r="324" spans="1:30" ht="16" x14ac:dyDescent="0.2">
      <c r="A324" s="388"/>
      <c r="B324" s="231" t="s">
        <v>414</v>
      </c>
      <c r="C324" s="67" t="s">
        <v>415</v>
      </c>
      <c r="D324" s="68" t="s">
        <v>374</v>
      </c>
      <c r="E324" s="69">
        <v>0</v>
      </c>
      <c r="F324" s="390"/>
      <c r="G324" s="70">
        <v>0</v>
      </c>
      <c r="H324" s="390"/>
      <c r="I324" s="70">
        <v>0</v>
      </c>
      <c r="J324" s="390"/>
      <c r="K324" s="70">
        <v>0</v>
      </c>
      <c r="L324" s="390"/>
      <c r="M324" s="70">
        <v>2700</v>
      </c>
      <c r="N324" s="390"/>
      <c r="O324" s="67">
        <v>3150</v>
      </c>
      <c r="P324" s="390"/>
      <c r="Q324" s="71">
        <v>3600</v>
      </c>
      <c r="R324" s="389"/>
      <c r="S324" s="67"/>
      <c r="T324" s="389"/>
      <c r="U324" s="67"/>
      <c r="V324" s="389"/>
      <c r="W324" s="67"/>
      <c r="X324" s="389"/>
      <c r="Y324" s="67"/>
      <c r="Z324" s="389"/>
      <c r="AA324" s="67"/>
      <c r="AB324" s="389"/>
      <c r="AC324" s="71">
        <f>AA324+Y324+W324+U324+S324+Q324+O324+K324+M324+I324+G324+E324</f>
        <v>9450</v>
      </c>
      <c r="AD324" s="389">
        <f>AB324+Z324+X324+V324+T324+R324+P324+L324+N324+J324+H324+F324</f>
        <v>0</v>
      </c>
    </row>
    <row r="325" spans="1:30" ht="16" x14ac:dyDescent="0.2">
      <c r="A325" s="388">
        <v>161</v>
      </c>
      <c r="B325" s="230" t="s">
        <v>413</v>
      </c>
      <c r="C325" s="67" t="s">
        <v>283</v>
      </c>
      <c r="D325" s="68" t="s">
        <v>373</v>
      </c>
      <c r="E325" s="69">
        <v>1800</v>
      </c>
      <c r="F325" s="389">
        <v>0</v>
      </c>
      <c r="G325" s="71">
        <v>2000</v>
      </c>
      <c r="H325" s="389">
        <v>0</v>
      </c>
      <c r="I325" s="69">
        <v>2200</v>
      </c>
      <c r="J325" s="389">
        <v>257958</v>
      </c>
      <c r="K325" s="70">
        <v>1900</v>
      </c>
      <c r="L325" s="387">
        <v>147312</v>
      </c>
      <c r="M325" s="70">
        <v>2000</v>
      </c>
      <c r="N325" s="387">
        <v>127224</v>
      </c>
      <c r="O325" s="67">
        <v>2100</v>
      </c>
      <c r="P325" s="387">
        <v>133920</v>
      </c>
      <c r="Q325" s="71">
        <v>2300</v>
      </c>
      <c r="R325" s="389">
        <v>140616</v>
      </c>
      <c r="S325" s="67"/>
      <c r="T325" s="389"/>
      <c r="U325" s="67"/>
      <c r="V325" s="389"/>
      <c r="W325" s="67"/>
      <c r="X325" s="389"/>
      <c r="Y325" s="67"/>
      <c r="Z325" s="389"/>
      <c r="AA325" s="67"/>
      <c r="AB325" s="389"/>
      <c r="AC325" s="71">
        <f t="shared" si="4"/>
        <v>14300</v>
      </c>
      <c r="AD325" s="389">
        <f t="shared" si="4"/>
        <v>807030</v>
      </c>
    </row>
    <row r="326" spans="1:30" ht="16" x14ac:dyDescent="0.2">
      <c r="A326" s="388"/>
      <c r="B326" s="231" t="s">
        <v>413</v>
      </c>
      <c r="C326" s="67" t="s">
        <v>283</v>
      </c>
      <c r="D326" s="68" t="s">
        <v>374</v>
      </c>
      <c r="E326" s="69">
        <v>1900</v>
      </c>
      <c r="F326" s="389"/>
      <c r="G326" s="71">
        <v>2000</v>
      </c>
      <c r="H326" s="389"/>
      <c r="I326" s="69">
        <v>2200</v>
      </c>
      <c r="J326" s="389"/>
      <c r="K326" s="70">
        <v>1900</v>
      </c>
      <c r="L326" s="390"/>
      <c r="M326" s="70">
        <v>2000</v>
      </c>
      <c r="N326" s="390"/>
      <c r="O326" s="67">
        <v>2100</v>
      </c>
      <c r="P326" s="390"/>
      <c r="Q326" s="71">
        <v>2300</v>
      </c>
      <c r="R326" s="389"/>
      <c r="S326" s="67"/>
      <c r="T326" s="389"/>
      <c r="U326" s="67"/>
      <c r="V326" s="389"/>
      <c r="W326" s="67"/>
      <c r="X326" s="389"/>
      <c r="Y326" s="67"/>
      <c r="Z326" s="389"/>
      <c r="AA326" s="67"/>
      <c r="AB326" s="389"/>
      <c r="AC326" s="71">
        <f t="shared" si="4"/>
        <v>14400</v>
      </c>
      <c r="AD326" s="389">
        <f t="shared" si="4"/>
        <v>0</v>
      </c>
    </row>
    <row r="327" spans="1:30" ht="16" x14ac:dyDescent="0.2">
      <c r="A327" s="388">
        <v>162</v>
      </c>
      <c r="B327" s="230" t="s">
        <v>413</v>
      </c>
      <c r="C327" s="67" t="s">
        <v>343</v>
      </c>
      <c r="D327" s="68" t="s">
        <v>373</v>
      </c>
      <c r="E327" s="69">
        <v>1350</v>
      </c>
      <c r="F327" s="389">
        <v>0</v>
      </c>
      <c r="G327" s="71">
        <v>1500</v>
      </c>
      <c r="H327" s="389">
        <v>0</v>
      </c>
      <c r="I327" s="69">
        <v>1650</v>
      </c>
      <c r="J327" s="389">
        <v>227691</v>
      </c>
      <c r="K327" s="70">
        <v>1425</v>
      </c>
      <c r="L327" s="387">
        <v>129789</v>
      </c>
      <c r="M327" s="70">
        <v>1500</v>
      </c>
      <c r="N327" s="387">
        <v>111879.9</v>
      </c>
      <c r="O327" s="67">
        <v>1575</v>
      </c>
      <c r="P327" s="387">
        <v>117990</v>
      </c>
      <c r="Q327" s="71">
        <v>1725</v>
      </c>
      <c r="R327" s="389">
        <v>123889.5</v>
      </c>
      <c r="S327" s="67"/>
      <c r="T327" s="389"/>
      <c r="U327" s="67"/>
      <c r="V327" s="389"/>
      <c r="W327" s="67"/>
      <c r="X327" s="389"/>
      <c r="Y327" s="67"/>
      <c r="Z327" s="389"/>
      <c r="AA327" s="67"/>
      <c r="AB327" s="389"/>
      <c r="AC327" s="71">
        <f t="shared" si="4"/>
        <v>10725</v>
      </c>
      <c r="AD327" s="389">
        <f t="shared" si="4"/>
        <v>711239.4</v>
      </c>
    </row>
    <row r="328" spans="1:30" ht="16" x14ac:dyDescent="0.2">
      <c r="A328" s="388"/>
      <c r="B328" s="231" t="s">
        <v>413</v>
      </c>
      <c r="C328" s="67" t="s">
        <v>343</v>
      </c>
      <c r="D328" s="68" t="s">
        <v>374</v>
      </c>
      <c r="E328" s="69">
        <v>1900</v>
      </c>
      <c r="F328" s="389"/>
      <c r="G328" s="71">
        <v>2000</v>
      </c>
      <c r="H328" s="389"/>
      <c r="I328" s="69">
        <v>2200</v>
      </c>
      <c r="J328" s="389"/>
      <c r="K328" s="70">
        <v>1894</v>
      </c>
      <c r="L328" s="390"/>
      <c r="M328" s="70">
        <v>2000</v>
      </c>
      <c r="N328" s="390"/>
      <c r="O328" s="67">
        <v>2100</v>
      </c>
      <c r="P328" s="390"/>
      <c r="Q328" s="71">
        <v>2300</v>
      </c>
      <c r="R328" s="389"/>
      <c r="S328" s="67"/>
      <c r="T328" s="389"/>
      <c r="U328" s="67"/>
      <c r="V328" s="389"/>
      <c r="W328" s="67"/>
      <c r="X328" s="389"/>
      <c r="Y328" s="67"/>
      <c r="Z328" s="389"/>
      <c r="AA328" s="67"/>
      <c r="AB328" s="389"/>
      <c r="AC328" s="71">
        <f t="shared" si="4"/>
        <v>14394</v>
      </c>
      <c r="AD328" s="389">
        <f t="shared" si="4"/>
        <v>0</v>
      </c>
    </row>
    <row r="329" spans="1:30" ht="16" x14ac:dyDescent="0.2">
      <c r="A329" s="388">
        <v>163</v>
      </c>
      <c r="B329" s="230" t="s">
        <v>413</v>
      </c>
      <c r="C329" s="67" t="s">
        <v>142</v>
      </c>
      <c r="D329" s="68" t="s">
        <v>373</v>
      </c>
      <c r="E329" s="69">
        <v>3150</v>
      </c>
      <c r="F329" s="389">
        <v>0</v>
      </c>
      <c r="G329" s="71">
        <v>3000</v>
      </c>
      <c r="H329" s="389">
        <v>0</v>
      </c>
      <c r="I329" s="69">
        <v>3300</v>
      </c>
      <c r="J329" s="389">
        <v>537972.84</v>
      </c>
      <c r="K329" s="70">
        <v>2850</v>
      </c>
      <c r="L329" s="387">
        <v>293905.80000000005</v>
      </c>
      <c r="M329" s="70">
        <v>2990</v>
      </c>
      <c r="N329" s="387">
        <v>252155.7</v>
      </c>
      <c r="O329" s="67">
        <v>3150</v>
      </c>
      <c r="P329" s="387">
        <v>272972.69999999995</v>
      </c>
      <c r="Q329" s="71">
        <v>3418</v>
      </c>
      <c r="R329" s="389">
        <v>284634</v>
      </c>
      <c r="S329" s="67"/>
      <c r="T329" s="389"/>
      <c r="U329" s="67"/>
      <c r="V329" s="389"/>
      <c r="W329" s="67"/>
      <c r="X329" s="389"/>
      <c r="Y329" s="67"/>
      <c r="Z329" s="389"/>
      <c r="AA329" s="67"/>
      <c r="AB329" s="389"/>
      <c r="AC329" s="71">
        <f t="shared" si="4"/>
        <v>21858</v>
      </c>
      <c r="AD329" s="389">
        <f t="shared" si="4"/>
        <v>1641641.04</v>
      </c>
    </row>
    <row r="330" spans="1:30" ht="16" x14ac:dyDescent="0.2">
      <c r="A330" s="388"/>
      <c r="B330" s="231" t="s">
        <v>413</v>
      </c>
      <c r="C330" s="67" t="s">
        <v>142</v>
      </c>
      <c r="D330" s="68" t="s">
        <v>374</v>
      </c>
      <c r="E330" s="69">
        <v>4750</v>
      </c>
      <c r="F330" s="389"/>
      <c r="G330" s="71">
        <v>5000</v>
      </c>
      <c r="H330" s="389"/>
      <c r="I330" s="69">
        <v>5500</v>
      </c>
      <c r="J330" s="389"/>
      <c r="K330" s="70">
        <v>4597</v>
      </c>
      <c r="L330" s="390"/>
      <c r="M330" s="70">
        <v>5063</v>
      </c>
      <c r="N330" s="390"/>
      <c r="O330" s="67">
        <v>5250</v>
      </c>
      <c r="P330" s="390"/>
      <c r="Q330" s="71">
        <v>5550</v>
      </c>
      <c r="R330" s="389"/>
      <c r="S330" s="67"/>
      <c r="T330" s="389"/>
      <c r="U330" s="67"/>
      <c r="V330" s="389"/>
      <c r="W330" s="67"/>
      <c r="X330" s="389"/>
      <c r="Y330" s="67"/>
      <c r="Z330" s="389"/>
      <c r="AA330" s="67"/>
      <c r="AB330" s="389"/>
      <c r="AC330" s="71">
        <f t="shared" si="4"/>
        <v>35710</v>
      </c>
      <c r="AD330" s="389">
        <f t="shared" si="4"/>
        <v>0</v>
      </c>
    </row>
    <row r="331" spans="1:30" ht="16" x14ac:dyDescent="0.2">
      <c r="A331" s="388">
        <v>164</v>
      </c>
      <c r="B331" s="230" t="s">
        <v>413</v>
      </c>
      <c r="C331" s="67" t="s">
        <v>345</v>
      </c>
      <c r="D331" s="68" t="s">
        <v>373</v>
      </c>
      <c r="E331" s="69">
        <v>1800</v>
      </c>
      <c r="F331" s="389">
        <v>0</v>
      </c>
      <c r="G331" s="71">
        <v>2000</v>
      </c>
      <c r="H331" s="389">
        <v>0</v>
      </c>
      <c r="I331" s="69">
        <v>2200</v>
      </c>
      <c r="J331" s="389">
        <v>292180.5</v>
      </c>
      <c r="K331" s="70">
        <v>1900</v>
      </c>
      <c r="L331" s="387">
        <v>166617</v>
      </c>
      <c r="M331" s="70">
        <v>2000</v>
      </c>
      <c r="N331" s="387">
        <v>143896.5</v>
      </c>
      <c r="O331" s="67">
        <v>1950</v>
      </c>
      <c r="P331" s="387">
        <v>151470</v>
      </c>
      <c r="Q331" s="71">
        <v>2300</v>
      </c>
      <c r="R331" s="389">
        <v>159043.5</v>
      </c>
      <c r="S331" s="67"/>
      <c r="T331" s="389"/>
      <c r="U331" s="67"/>
      <c r="V331" s="389"/>
      <c r="W331" s="67"/>
      <c r="X331" s="389"/>
      <c r="Y331" s="67"/>
      <c r="Z331" s="389"/>
      <c r="AA331" s="67"/>
      <c r="AB331" s="389"/>
      <c r="AC331" s="71">
        <f t="shared" si="4"/>
        <v>14150</v>
      </c>
      <c r="AD331" s="389">
        <f t="shared" si="4"/>
        <v>913207.5</v>
      </c>
    </row>
    <row r="332" spans="1:30" ht="16" x14ac:dyDescent="0.2">
      <c r="A332" s="388"/>
      <c r="B332" s="231" t="s">
        <v>413</v>
      </c>
      <c r="C332" s="67" t="s">
        <v>345</v>
      </c>
      <c r="D332" s="68" t="s">
        <v>374</v>
      </c>
      <c r="E332" s="69">
        <v>2375</v>
      </c>
      <c r="F332" s="389"/>
      <c r="G332" s="71">
        <v>2500</v>
      </c>
      <c r="H332" s="389"/>
      <c r="I332" s="69">
        <v>2750</v>
      </c>
      <c r="J332" s="389"/>
      <c r="K332" s="70">
        <v>2375</v>
      </c>
      <c r="L332" s="390"/>
      <c r="M332" s="70">
        <v>2500</v>
      </c>
      <c r="N332" s="390"/>
      <c r="O332" s="67">
        <v>2475</v>
      </c>
      <c r="P332" s="390"/>
      <c r="Q332" s="71">
        <v>2875</v>
      </c>
      <c r="R332" s="389"/>
      <c r="S332" s="67"/>
      <c r="T332" s="389"/>
      <c r="U332" s="67"/>
      <c r="V332" s="389"/>
      <c r="W332" s="67"/>
      <c r="X332" s="389"/>
      <c r="Y332" s="67"/>
      <c r="Z332" s="389"/>
      <c r="AA332" s="67"/>
      <c r="AB332" s="389"/>
      <c r="AC332" s="71">
        <f t="shared" si="4"/>
        <v>17850</v>
      </c>
      <c r="AD332" s="389">
        <f t="shared" si="4"/>
        <v>0</v>
      </c>
    </row>
    <row r="333" spans="1:30" ht="16" x14ac:dyDescent="0.2">
      <c r="A333" s="393">
        <v>165</v>
      </c>
      <c r="B333" s="232" t="s">
        <v>355</v>
      </c>
      <c r="C333" s="73" t="s">
        <v>348</v>
      </c>
      <c r="D333" s="74" t="s">
        <v>373</v>
      </c>
      <c r="E333" s="75">
        <v>0</v>
      </c>
      <c r="F333" s="394">
        <v>0</v>
      </c>
      <c r="G333" s="233">
        <v>0</v>
      </c>
      <c r="H333" s="394">
        <v>0</v>
      </c>
      <c r="I333" s="233">
        <v>0</v>
      </c>
      <c r="J333" s="394">
        <v>0</v>
      </c>
      <c r="K333" s="233">
        <v>0</v>
      </c>
      <c r="L333" s="394">
        <v>0</v>
      </c>
      <c r="M333" s="233">
        <v>0</v>
      </c>
      <c r="N333" s="394">
        <v>0</v>
      </c>
      <c r="O333" s="73">
        <v>0</v>
      </c>
      <c r="P333" s="394">
        <v>0</v>
      </c>
      <c r="Q333" s="76">
        <v>2382</v>
      </c>
      <c r="R333" s="396">
        <v>0</v>
      </c>
      <c r="S333" s="73"/>
      <c r="T333" s="396"/>
      <c r="U333" s="73"/>
      <c r="V333" s="396"/>
      <c r="W333" s="73"/>
      <c r="X333" s="396"/>
      <c r="Y333" s="73"/>
      <c r="Z333" s="396"/>
      <c r="AA333" s="73"/>
      <c r="AB333" s="396"/>
      <c r="AC333" s="76">
        <f t="shared" si="4"/>
        <v>2382</v>
      </c>
      <c r="AD333" s="396">
        <f t="shared" si="4"/>
        <v>0</v>
      </c>
    </row>
    <row r="334" spans="1:30" ht="16" x14ac:dyDescent="0.2">
      <c r="A334" s="393"/>
      <c r="B334" s="234" t="s">
        <v>355</v>
      </c>
      <c r="C334" s="73" t="s">
        <v>348</v>
      </c>
      <c r="D334" s="74" t="s">
        <v>374</v>
      </c>
      <c r="E334" s="75">
        <v>0</v>
      </c>
      <c r="F334" s="395"/>
      <c r="G334" s="233">
        <v>0</v>
      </c>
      <c r="H334" s="395"/>
      <c r="I334" s="233">
        <v>0</v>
      </c>
      <c r="J334" s="395"/>
      <c r="K334" s="233">
        <v>0</v>
      </c>
      <c r="L334" s="395"/>
      <c r="M334" s="233">
        <v>0</v>
      </c>
      <c r="N334" s="395"/>
      <c r="O334" s="73">
        <v>0</v>
      </c>
      <c r="P334" s="395"/>
      <c r="Q334" s="76">
        <v>3200</v>
      </c>
      <c r="R334" s="396"/>
      <c r="S334" s="73"/>
      <c r="T334" s="396"/>
      <c r="U334" s="73"/>
      <c r="V334" s="396"/>
      <c r="W334" s="73"/>
      <c r="X334" s="396"/>
      <c r="Y334" s="73"/>
      <c r="Z334" s="396"/>
      <c r="AA334" s="73"/>
      <c r="AB334" s="396"/>
      <c r="AC334" s="76">
        <f t="shared" si="4"/>
        <v>3200</v>
      </c>
      <c r="AD334" s="396">
        <f t="shared" si="4"/>
        <v>0</v>
      </c>
    </row>
    <row r="335" spans="1:30" ht="16" x14ac:dyDescent="0.2">
      <c r="A335" s="393">
        <v>166</v>
      </c>
      <c r="B335" s="232" t="s">
        <v>355</v>
      </c>
      <c r="C335" s="73" t="s">
        <v>352</v>
      </c>
      <c r="D335" s="74" t="s">
        <v>373</v>
      </c>
      <c r="E335" s="75">
        <v>0</v>
      </c>
      <c r="F335" s="394">
        <v>0</v>
      </c>
      <c r="G335" s="233">
        <v>0</v>
      </c>
      <c r="H335" s="394">
        <v>0</v>
      </c>
      <c r="I335" s="233">
        <v>0</v>
      </c>
      <c r="J335" s="394">
        <v>0</v>
      </c>
      <c r="K335" s="233">
        <v>0</v>
      </c>
      <c r="L335" s="394">
        <v>0</v>
      </c>
      <c r="M335" s="233">
        <v>0</v>
      </c>
      <c r="N335" s="394">
        <v>0</v>
      </c>
      <c r="O335" s="73">
        <v>0</v>
      </c>
      <c r="P335" s="394">
        <v>0</v>
      </c>
      <c r="Q335" s="76">
        <v>2400</v>
      </c>
      <c r="R335" s="396">
        <v>0</v>
      </c>
      <c r="S335" s="73"/>
      <c r="T335" s="396"/>
      <c r="U335" s="73"/>
      <c r="V335" s="396"/>
      <c r="W335" s="73"/>
      <c r="X335" s="396"/>
      <c r="Y335" s="73"/>
      <c r="Z335" s="396"/>
      <c r="AA335" s="73"/>
      <c r="AB335" s="396"/>
      <c r="AC335" s="76">
        <f t="shared" si="4"/>
        <v>2400</v>
      </c>
      <c r="AD335" s="396">
        <f t="shared" si="4"/>
        <v>0</v>
      </c>
    </row>
    <row r="336" spans="1:30" ht="16" x14ac:dyDescent="0.2">
      <c r="A336" s="393"/>
      <c r="B336" s="234" t="s">
        <v>355</v>
      </c>
      <c r="C336" s="73" t="s">
        <v>352</v>
      </c>
      <c r="D336" s="74" t="s">
        <v>374</v>
      </c>
      <c r="E336" s="75">
        <v>0</v>
      </c>
      <c r="F336" s="395"/>
      <c r="G336" s="233">
        <v>0</v>
      </c>
      <c r="H336" s="395"/>
      <c r="I336" s="233">
        <v>0</v>
      </c>
      <c r="J336" s="395"/>
      <c r="K336" s="233">
        <v>0</v>
      </c>
      <c r="L336" s="395"/>
      <c r="M336" s="233">
        <v>0</v>
      </c>
      <c r="N336" s="395"/>
      <c r="O336" s="73">
        <v>0</v>
      </c>
      <c r="P336" s="395"/>
      <c r="Q336" s="76">
        <v>3200</v>
      </c>
      <c r="R336" s="396"/>
      <c r="S336" s="73"/>
      <c r="T336" s="396"/>
      <c r="U336" s="73"/>
      <c r="V336" s="396"/>
      <c r="W336" s="73"/>
      <c r="X336" s="396"/>
      <c r="Y336" s="73"/>
      <c r="Z336" s="396"/>
      <c r="AA336" s="73"/>
      <c r="AB336" s="396"/>
      <c r="AC336" s="76">
        <f t="shared" si="4"/>
        <v>3200</v>
      </c>
      <c r="AD336" s="396">
        <f t="shared" si="4"/>
        <v>0</v>
      </c>
    </row>
    <row r="337" spans="1:30" ht="16" x14ac:dyDescent="0.2">
      <c r="A337" s="388">
        <v>167</v>
      </c>
      <c r="B337" s="230" t="s">
        <v>355</v>
      </c>
      <c r="C337" s="67" t="s">
        <v>416</v>
      </c>
      <c r="D337" s="68" t="s">
        <v>373</v>
      </c>
      <c r="E337" s="69">
        <v>2700</v>
      </c>
      <c r="F337" s="389">
        <v>0</v>
      </c>
      <c r="G337" s="71">
        <v>2750</v>
      </c>
      <c r="H337" s="389">
        <v>0</v>
      </c>
      <c r="I337" s="69">
        <v>2200</v>
      </c>
      <c r="J337" s="389">
        <v>411068</v>
      </c>
      <c r="K337" s="70">
        <v>1900</v>
      </c>
      <c r="L337" s="387">
        <v>210600</v>
      </c>
      <c r="M337" s="70">
        <v>2000</v>
      </c>
      <c r="N337" s="387">
        <v>148200</v>
      </c>
      <c r="O337" s="67">
        <v>2100</v>
      </c>
      <c r="P337" s="387">
        <v>156000</v>
      </c>
      <c r="Q337" s="71">
        <v>2300</v>
      </c>
      <c r="R337" s="389">
        <v>163800</v>
      </c>
      <c r="S337" s="67"/>
      <c r="T337" s="389"/>
      <c r="U337" s="67"/>
      <c r="V337" s="389"/>
      <c r="W337" s="67"/>
      <c r="X337" s="389"/>
      <c r="Y337" s="67"/>
      <c r="Z337" s="389"/>
      <c r="AA337" s="67"/>
      <c r="AB337" s="389"/>
      <c r="AC337" s="71">
        <f t="shared" si="4"/>
        <v>15950</v>
      </c>
      <c r="AD337" s="389">
        <f t="shared" si="4"/>
        <v>1089668</v>
      </c>
    </row>
    <row r="338" spans="1:30" ht="16" x14ac:dyDescent="0.2">
      <c r="A338" s="388"/>
      <c r="B338" s="231" t="s">
        <v>355</v>
      </c>
      <c r="C338" s="67" t="s">
        <v>416</v>
      </c>
      <c r="D338" s="68" t="s">
        <v>374</v>
      </c>
      <c r="E338" s="69">
        <v>3800</v>
      </c>
      <c r="F338" s="389"/>
      <c r="G338" s="71">
        <v>4000</v>
      </c>
      <c r="H338" s="389"/>
      <c r="I338" s="69">
        <v>4400</v>
      </c>
      <c r="J338" s="389"/>
      <c r="K338" s="70">
        <v>3800</v>
      </c>
      <c r="L338" s="390"/>
      <c r="M338" s="70">
        <v>4000</v>
      </c>
      <c r="N338" s="390"/>
      <c r="O338" s="67">
        <v>4200</v>
      </c>
      <c r="P338" s="390"/>
      <c r="Q338" s="71">
        <v>4600</v>
      </c>
      <c r="R338" s="389"/>
      <c r="S338" s="67"/>
      <c r="T338" s="389"/>
      <c r="U338" s="67"/>
      <c r="V338" s="389"/>
      <c r="W338" s="67"/>
      <c r="X338" s="389"/>
      <c r="Y338" s="67"/>
      <c r="Z338" s="389"/>
      <c r="AA338" s="67"/>
      <c r="AB338" s="389"/>
      <c r="AC338" s="71">
        <f t="shared" si="4"/>
        <v>28800</v>
      </c>
      <c r="AD338" s="389">
        <f t="shared" si="4"/>
        <v>0</v>
      </c>
    </row>
    <row r="339" spans="1:30" ht="16" x14ac:dyDescent="0.2">
      <c r="A339" s="388">
        <v>168</v>
      </c>
      <c r="B339" s="230" t="s">
        <v>355</v>
      </c>
      <c r="C339" s="67" t="s">
        <v>354</v>
      </c>
      <c r="D339" s="68" t="s">
        <v>373</v>
      </c>
      <c r="E339" s="69">
        <v>3600</v>
      </c>
      <c r="F339" s="389">
        <v>0</v>
      </c>
      <c r="G339" s="71">
        <v>3500</v>
      </c>
      <c r="H339" s="389">
        <v>0</v>
      </c>
      <c r="I339" s="69">
        <v>2200</v>
      </c>
      <c r="J339" s="389">
        <v>527464</v>
      </c>
      <c r="K339" s="70">
        <v>1900</v>
      </c>
      <c r="L339" s="387">
        <v>192037.5</v>
      </c>
      <c r="M339" s="70">
        <v>2000</v>
      </c>
      <c r="N339" s="387">
        <v>135137.5</v>
      </c>
      <c r="O339" s="67">
        <v>2100</v>
      </c>
      <c r="P339" s="387">
        <v>142250</v>
      </c>
      <c r="Q339" s="71">
        <v>2300</v>
      </c>
      <c r="R339" s="389">
        <v>149362.5</v>
      </c>
      <c r="S339" s="67"/>
      <c r="T339" s="389"/>
      <c r="U339" s="67"/>
      <c r="V339" s="389"/>
      <c r="W339" s="67"/>
      <c r="X339" s="389"/>
      <c r="Y339" s="67"/>
      <c r="Z339" s="389"/>
      <c r="AA339" s="67"/>
      <c r="AB339" s="389"/>
      <c r="AC339" s="71">
        <f t="shared" si="4"/>
        <v>17600</v>
      </c>
      <c r="AD339" s="389">
        <f t="shared" si="4"/>
        <v>1146251.5</v>
      </c>
    </row>
    <row r="340" spans="1:30" ht="16" x14ac:dyDescent="0.2">
      <c r="A340" s="388"/>
      <c r="B340" s="231" t="s">
        <v>355</v>
      </c>
      <c r="C340" s="67" t="s">
        <v>354</v>
      </c>
      <c r="D340" s="68" t="s">
        <v>374</v>
      </c>
      <c r="E340" s="69">
        <v>4750</v>
      </c>
      <c r="F340" s="389"/>
      <c r="G340" s="71">
        <v>4625</v>
      </c>
      <c r="H340" s="389"/>
      <c r="I340" s="69">
        <v>3850</v>
      </c>
      <c r="J340" s="389"/>
      <c r="K340" s="70">
        <v>3325</v>
      </c>
      <c r="L340" s="390"/>
      <c r="M340" s="70">
        <v>3500</v>
      </c>
      <c r="N340" s="390"/>
      <c r="O340" s="67">
        <v>3675</v>
      </c>
      <c r="P340" s="390"/>
      <c r="Q340" s="71">
        <v>4025</v>
      </c>
      <c r="R340" s="389"/>
      <c r="S340" s="67"/>
      <c r="T340" s="389"/>
      <c r="U340" s="67"/>
      <c r="V340" s="389"/>
      <c r="W340" s="67"/>
      <c r="X340" s="389"/>
      <c r="Y340" s="67"/>
      <c r="Z340" s="389"/>
      <c r="AA340" s="67"/>
      <c r="AB340" s="389"/>
      <c r="AC340" s="71">
        <f t="shared" si="4"/>
        <v>27750</v>
      </c>
      <c r="AD340" s="389">
        <f t="shared" si="4"/>
        <v>0</v>
      </c>
    </row>
    <row r="341" spans="1:30" ht="16" x14ac:dyDescent="0.2">
      <c r="A341" s="388">
        <v>169</v>
      </c>
      <c r="B341" s="230" t="s">
        <v>355</v>
      </c>
      <c r="C341" s="67" t="s">
        <v>347</v>
      </c>
      <c r="D341" s="68" t="s">
        <v>373</v>
      </c>
      <c r="E341" s="69">
        <v>2700</v>
      </c>
      <c r="F341" s="389">
        <v>0</v>
      </c>
      <c r="G341" s="71">
        <v>2750</v>
      </c>
      <c r="H341" s="389">
        <v>0</v>
      </c>
      <c r="I341" s="69">
        <v>2200</v>
      </c>
      <c r="J341" s="389">
        <v>472948</v>
      </c>
      <c r="K341" s="70">
        <v>1900</v>
      </c>
      <c r="L341" s="387">
        <v>205200</v>
      </c>
      <c r="M341" s="70">
        <v>2000</v>
      </c>
      <c r="N341" s="387">
        <v>144400</v>
      </c>
      <c r="O341" s="67">
        <v>2100</v>
      </c>
      <c r="P341" s="387">
        <v>152000</v>
      </c>
      <c r="Q341" s="71">
        <v>2300</v>
      </c>
      <c r="R341" s="389">
        <v>159600</v>
      </c>
      <c r="S341" s="67"/>
      <c r="T341" s="389"/>
      <c r="U341" s="67"/>
      <c r="V341" s="389"/>
      <c r="W341" s="67"/>
      <c r="X341" s="389"/>
      <c r="Y341" s="67"/>
      <c r="Z341" s="389"/>
      <c r="AA341" s="67"/>
      <c r="AB341" s="389"/>
      <c r="AC341" s="71">
        <f t="shared" si="4"/>
        <v>15950</v>
      </c>
      <c r="AD341" s="389">
        <f t="shared" si="4"/>
        <v>1134148</v>
      </c>
    </row>
    <row r="342" spans="1:30" ht="16" x14ac:dyDescent="0.2">
      <c r="A342" s="388"/>
      <c r="B342" s="231" t="s">
        <v>355</v>
      </c>
      <c r="C342" s="67" t="s">
        <v>347</v>
      </c>
      <c r="D342" s="68" t="s">
        <v>374</v>
      </c>
      <c r="E342" s="69">
        <v>4750</v>
      </c>
      <c r="F342" s="389"/>
      <c r="G342" s="71">
        <v>4750</v>
      </c>
      <c r="H342" s="389"/>
      <c r="I342" s="69">
        <v>4400</v>
      </c>
      <c r="J342" s="389"/>
      <c r="K342" s="70">
        <v>3800</v>
      </c>
      <c r="L342" s="390"/>
      <c r="M342" s="70">
        <v>4000</v>
      </c>
      <c r="N342" s="390"/>
      <c r="O342" s="67">
        <v>4200</v>
      </c>
      <c r="P342" s="390"/>
      <c r="Q342" s="71">
        <v>4600</v>
      </c>
      <c r="R342" s="389"/>
      <c r="S342" s="67"/>
      <c r="T342" s="389"/>
      <c r="U342" s="67"/>
      <c r="V342" s="389"/>
      <c r="W342" s="67"/>
      <c r="X342" s="389"/>
      <c r="Y342" s="67"/>
      <c r="Z342" s="389"/>
      <c r="AA342" s="67"/>
      <c r="AB342" s="389"/>
      <c r="AC342" s="71">
        <f t="shared" si="4"/>
        <v>30500</v>
      </c>
      <c r="AD342" s="389">
        <f t="shared" si="4"/>
        <v>0</v>
      </c>
    </row>
    <row r="343" spans="1:30" ht="16" x14ac:dyDescent="0.2">
      <c r="A343" s="388">
        <v>170</v>
      </c>
      <c r="B343" s="230" t="s">
        <v>356</v>
      </c>
      <c r="C343" s="67" t="s">
        <v>357</v>
      </c>
      <c r="D343" s="68" t="s">
        <v>373</v>
      </c>
      <c r="E343" s="69">
        <v>1800</v>
      </c>
      <c r="F343" s="389">
        <v>0</v>
      </c>
      <c r="G343" s="69">
        <v>1785</v>
      </c>
      <c r="H343" s="389">
        <v>0</v>
      </c>
      <c r="I343" s="69">
        <v>1650</v>
      </c>
      <c r="J343" s="389">
        <v>356491.25</v>
      </c>
      <c r="K343" s="70">
        <v>1410</v>
      </c>
      <c r="L343" s="387">
        <v>176593.34999999998</v>
      </c>
      <c r="M343" s="70">
        <v>1465</v>
      </c>
      <c r="N343" s="387">
        <v>143168.9</v>
      </c>
      <c r="O343" s="67">
        <v>1568</v>
      </c>
      <c r="P343" s="387">
        <v>154155.80000000005</v>
      </c>
      <c r="Q343" s="71">
        <v>1708</v>
      </c>
      <c r="R343" s="389">
        <v>167436.01</v>
      </c>
      <c r="S343" s="67"/>
      <c r="T343" s="389"/>
      <c r="U343" s="67"/>
      <c r="V343" s="389"/>
      <c r="W343" s="67"/>
      <c r="X343" s="389"/>
      <c r="Y343" s="67"/>
      <c r="Z343" s="389"/>
      <c r="AA343" s="67"/>
      <c r="AB343" s="389"/>
      <c r="AC343" s="71">
        <f t="shared" si="4"/>
        <v>11386</v>
      </c>
      <c r="AD343" s="389">
        <f t="shared" si="4"/>
        <v>997845.31</v>
      </c>
    </row>
    <row r="344" spans="1:30" ht="16" x14ac:dyDescent="0.2">
      <c r="A344" s="388"/>
      <c r="B344" s="231" t="s">
        <v>356</v>
      </c>
      <c r="C344" s="67" t="s">
        <v>357</v>
      </c>
      <c r="D344" s="68" t="s">
        <v>374</v>
      </c>
      <c r="E344" s="69">
        <v>3555</v>
      </c>
      <c r="F344" s="389"/>
      <c r="G344" s="69">
        <v>3539</v>
      </c>
      <c r="H344" s="389"/>
      <c r="I344" s="69">
        <v>3850</v>
      </c>
      <c r="J344" s="389"/>
      <c r="K344" s="70">
        <v>2876</v>
      </c>
      <c r="L344" s="390"/>
      <c r="M344" s="70">
        <v>3145</v>
      </c>
      <c r="N344" s="390"/>
      <c r="O344" s="67">
        <v>3437</v>
      </c>
      <c r="P344" s="390"/>
      <c r="Q344" s="71">
        <v>3657</v>
      </c>
      <c r="R344" s="389"/>
      <c r="S344" s="67"/>
      <c r="T344" s="389"/>
      <c r="U344" s="67"/>
      <c r="V344" s="389"/>
      <c r="W344" s="67"/>
      <c r="X344" s="389"/>
      <c r="Y344" s="67"/>
      <c r="Z344" s="389"/>
      <c r="AA344" s="67"/>
      <c r="AB344" s="389"/>
      <c r="AC344" s="71">
        <f t="shared" si="4"/>
        <v>24059</v>
      </c>
      <c r="AD344" s="389">
        <f t="shared" si="4"/>
        <v>0</v>
      </c>
    </row>
    <row r="345" spans="1:30" ht="16" x14ac:dyDescent="0.2">
      <c r="A345" s="388">
        <v>171</v>
      </c>
      <c r="B345" s="230" t="s">
        <v>356</v>
      </c>
      <c r="C345" s="67" t="s">
        <v>359</v>
      </c>
      <c r="D345" s="68" t="s">
        <v>373</v>
      </c>
      <c r="E345" s="69">
        <v>1800</v>
      </c>
      <c r="F345" s="389">
        <v>0</v>
      </c>
      <c r="G345" s="69">
        <v>1900</v>
      </c>
      <c r="H345" s="389">
        <v>0</v>
      </c>
      <c r="I345" s="69">
        <v>1980</v>
      </c>
      <c r="J345" s="389">
        <v>359191.6</v>
      </c>
      <c r="K345" s="70">
        <v>1677</v>
      </c>
      <c r="L345" s="387">
        <v>155763.29000000004</v>
      </c>
      <c r="M345" s="70">
        <v>1708</v>
      </c>
      <c r="N345" s="387">
        <v>138805.94</v>
      </c>
      <c r="O345" s="67">
        <v>1759</v>
      </c>
      <c r="P345" s="387">
        <v>148560.06000000006</v>
      </c>
      <c r="Q345" s="71">
        <v>2010</v>
      </c>
      <c r="R345" s="389">
        <v>155115.62999999989</v>
      </c>
      <c r="S345" s="67"/>
      <c r="T345" s="389"/>
      <c r="U345" s="67"/>
      <c r="V345" s="389"/>
      <c r="W345" s="67"/>
      <c r="X345" s="389"/>
      <c r="Y345" s="67"/>
      <c r="Z345" s="389"/>
      <c r="AA345" s="67"/>
      <c r="AB345" s="389"/>
      <c r="AC345" s="71">
        <f t="shared" si="4"/>
        <v>12834</v>
      </c>
      <c r="AD345" s="389">
        <f t="shared" si="4"/>
        <v>957436.5199999999</v>
      </c>
    </row>
    <row r="346" spans="1:30" ht="16" x14ac:dyDescent="0.2">
      <c r="A346" s="388"/>
      <c r="B346" s="231" t="s">
        <v>356</v>
      </c>
      <c r="C346" s="67" t="s">
        <v>359</v>
      </c>
      <c r="D346" s="68" t="s">
        <v>374</v>
      </c>
      <c r="E346" s="69">
        <v>3605</v>
      </c>
      <c r="F346" s="389"/>
      <c r="G346" s="69">
        <v>3500</v>
      </c>
      <c r="H346" s="389"/>
      <c r="I346" s="69">
        <v>3300</v>
      </c>
      <c r="J346" s="389"/>
      <c r="K346" s="70">
        <v>2573</v>
      </c>
      <c r="L346" s="390"/>
      <c r="M346" s="70">
        <v>2762</v>
      </c>
      <c r="N346" s="390"/>
      <c r="O346" s="67">
        <v>2906</v>
      </c>
      <c r="P346" s="390"/>
      <c r="Q346" s="71">
        <v>3146</v>
      </c>
      <c r="R346" s="389"/>
      <c r="S346" s="67"/>
      <c r="T346" s="389"/>
      <c r="U346" s="67"/>
      <c r="V346" s="389"/>
      <c r="W346" s="67"/>
      <c r="X346" s="389"/>
      <c r="Y346" s="67"/>
      <c r="Z346" s="389"/>
      <c r="AA346" s="67"/>
      <c r="AB346" s="389"/>
      <c r="AC346" s="71">
        <f t="shared" ref="AC346:AD358" si="5">AA346+Y346+W346+U346+S346+Q346+O346+K346+M346+I346+G346+E346</f>
        <v>21792</v>
      </c>
      <c r="AD346" s="389">
        <f t="shared" si="5"/>
        <v>0</v>
      </c>
    </row>
    <row r="347" spans="1:30" ht="16" x14ac:dyDescent="0.2">
      <c r="A347" s="388">
        <v>172</v>
      </c>
      <c r="B347" s="230" t="s">
        <v>356</v>
      </c>
      <c r="C347" s="67" t="s">
        <v>360</v>
      </c>
      <c r="D347" s="68" t="s">
        <v>373</v>
      </c>
      <c r="E347" s="69">
        <v>1800</v>
      </c>
      <c r="F347" s="389">
        <v>0</v>
      </c>
      <c r="G347" s="69">
        <v>1560</v>
      </c>
      <c r="H347" s="389">
        <v>0</v>
      </c>
      <c r="I347" s="69">
        <v>1760</v>
      </c>
      <c r="J347" s="389">
        <v>298946.5</v>
      </c>
      <c r="K347" s="70">
        <v>1500</v>
      </c>
      <c r="L347" s="387">
        <v>147875.83000000002</v>
      </c>
      <c r="M347" s="70">
        <v>1568</v>
      </c>
      <c r="N347" s="387">
        <v>122832.8</v>
      </c>
      <c r="O347" s="67">
        <v>1659</v>
      </c>
      <c r="P347" s="387">
        <v>133606.10999999999</v>
      </c>
      <c r="Q347" s="71">
        <v>1835</v>
      </c>
      <c r="R347" s="389">
        <v>142618.22999999998</v>
      </c>
      <c r="S347" s="67"/>
      <c r="T347" s="389"/>
      <c r="U347" s="67"/>
      <c r="V347" s="389"/>
      <c r="W347" s="67"/>
      <c r="X347" s="389"/>
      <c r="Y347" s="67"/>
      <c r="Z347" s="389"/>
      <c r="AA347" s="67"/>
      <c r="AB347" s="389"/>
      <c r="AC347" s="71">
        <f t="shared" si="5"/>
        <v>11682</v>
      </c>
      <c r="AD347" s="389">
        <f t="shared" si="5"/>
        <v>845879.47</v>
      </c>
    </row>
    <row r="348" spans="1:30" ht="16" x14ac:dyDescent="0.2">
      <c r="A348" s="388"/>
      <c r="B348" s="231" t="s">
        <v>356</v>
      </c>
      <c r="C348" s="67" t="s">
        <v>360</v>
      </c>
      <c r="D348" s="68" t="s">
        <v>374</v>
      </c>
      <c r="E348" s="69">
        <v>2786</v>
      </c>
      <c r="F348" s="389"/>
      <c r="G348" s="69">
        <v>2600</v>
      </c>
      <c r="H348" s="389"/>
      <c r="I348" s="69">
        <v>2860</v>
      </c>
      <c r="J348" s="389"/>
      <c r="K348" s="70">
        <v>2204</v>
      </c>
      <c r="L348" s="390"/>
      <c r="M348" s="70">
        <v>2455</v>
      </c>
      <c r="N348" s="390"/>
      <c r="O348" s="67">
        <v>2634</v>
      </c>
      <c r="P348" s="390"/>
      <c r="Q348" s="71">
        <v>2752</v>
      </c>
      <c r="R348" s="389"/>
      <c r="S348" s="67"/>
      <c r="T348" s="389"/>
      <c r="U348" s="67"/>
      <c r="V348" s="389"/>
      <c r="W348" s="67"/>
      <c r="X348" s="389"/>
      <c r="Y348" s="67"/>
      <c r="Z348" s="389"/>
      <c r="AA348" s="67"/>
      <c r="AB348" s="389"/>
      <c r="AC348" s="71">
        <f t="shared" si="5"/>
        <v>18291</v>
      </c>
      <c r="AD348" s="389">
        <f t="shared" si="5"/>
        <v>0</v>
      </c>
    </row>
    <row r="349" spans="1:30" ht="16" x14ac:dyDescent="0.2">
      <c r="A349" s="388">
        <v>173</v>
      </c>
      <c r="B349" s="230" t="s">
        <v>356</v>
      </c>
      <c r="C349" s="67" t="s">
        <v>361</v>
      </c>
      <c r="D349" s="68" t="s">
        <v>373</v>
      </c>
      <c r="E349" s="69">
        <v>1800</v>
      </c>
      <c r="F349" s="389">
        <v>0</v>
      </c>
      <c r="G349" s="69">
        <v>1750</v>
      </c>
      <c r="H349" s="389">
        <v>0</v>
      </c>
      <c r="I349" s="69">
        <v>1650</v>
      </c>
      <c r="J349" s="389">
        <v>302343.8</v>
      </c>
      <c r="K349" s="70">
        <v>1316</v>
      </c>
      <c r="L349" s="387">
        <v>123831.32</v>
      </c>
      <c r="M349" s="70">
        <v>1388</v>
      </c>
      <c r="N349" s="387">
        <v>110740.32</v>
      </c>
      <c r="O349" s="67">
        <v>1543</v>
      </c>
      <c r="P349" s="387">
        <v>112321.84000000008</v>
      </c>
      <c r="Q349" s="71">
        <v>1688</v>
      </c>
      <c r="R349" s="389">
        <v>133926.76</v>
      </c>
      <c r="S349" s="67"/>
      <c r="T349" s="389"/>
      <c r="U349" s="67"/>
      <c r="V349" s="389"/>
      <c r="W349" s="67"/>
      <c r="X349" s="389"/>
      <c r="Y349" s="67"/>
      <c r="Z349" s="389"/>
      <c r="AA349" s="67"/>
      <c r="AB349" s="389"/>
      <c r="AC349" s="71">
        <f t="shared" si="5"/>
        <v>11135</v>
      </c>
      <c r="AD349" s="389">
        <f t="shared" si="5"/>
        <v>783164.04</v>
      </c>
    </row>
    <row r="350" spans="1:30" ht="16" x14ac:dyDescent="0.2">
      <c r="A350" s="388"/>
      <c r="B350" s="231" t="s">
        <v>356</v>
      </c>
      <c r="C350" s="67" t="s">
        <v>361</v>
      </c>
      <c r="D350" s="68" t="s">
        <v>374</v>
      </c>
      <c r="E350" s="69">
        <v>2804</v>
      </c>
      <c r="F350" s="389"/>
      <c r="G350" s="69">
        <v>2750</v>
      </c>
      <c r="H350" s="389"/>
      <c r="I350" s="69">
        <v>2750</v>
      </c>
      <c r="J350" s="389"/>
      <c r="K350" s="70">
        <v>2020</v>
      </c>
      <c r="L350" s="390"/>
      <c r="M350" s="70">
        <v>2006</v>
      </c>
      <c r="N350" s="390"/>
      <c r="O350" s="67">
        <v>2487</v>
      </c>
      <c r="P350" s="390"/>
      <c r="Q350" s="71">
        <v>2572</v>
      </c>
      <c r="R350" s="389"/>
      <c r="S350" s="67"/>
      <c r="T350" s="389"/>
      <c r="U350" s="67"/>
      <c r="V350" s="389"/>
      <c r="W350" s="67"/>
      <c r="X350" s="389"/>
      <c r="Y350" s="67"/>
      <c r="Z350" s="389"/>
      <c r="AA350" s="67"/>
      <c r="AB350" s="389"/>
      <c r="AC350" s="71">
        <f t="shared" si="5"/>
        <v>17389</v>
      </c>
      <c r="AD350" s="389">
        <f t="shared" si="5"/>
        <v>0</v>
      </c>
    </row>
    <row r="351" spans="1:30" ht="16" x14ac:dyDescent="0.2">
      <c r="A351" s="393">
        <v>174</v>
      </c>
      <c r="B351" s="232" t="s">
        <v>356</v>
      </c>
      <c r="C351" s="73" t="s">
        <v>363</v>
      </c>
      <c r="D351" s="74" t="s">
        <v>373</v>
      </c>
      <c r="E351" s="75">
        <v>0</v>
      </c>
      <c r="F351" s="394">
        <v>0</v>
      </c>
      <c r="G351" s="233">
        <v>0</v>
      </c>
      <c r="H351" s="394">
        <v>0</v>
      </c>
      <c r="I351" s="233">
        <v>0</v>
      </c>
      <c r="J351" s="394">
        <v>0</v>
      </c>
      <c r="K351" s="233">
        <v>0</v>
      </c>
      <c r="L351" s="394">
        <v>0</v>
      </c>
      <c r="M351" s="233">
        <v>0</v>
      </c>
      <c r="N351" s="394">
        <v>0</v>
      </c>
      <c r="O351" s="73">
        <v>0</v>
      </c>
      <c r="P351" s="394">
        <v>0</v>
      </c>
      <c r="Q351" s="76">
        <v>800</v>
      </c>
      <c r="R351" s="396">
        <v>0</v>
      </c>
      <c r="S351" s="73"/>
      <c r="T351" s="396"/>
      <c r="U351" s="73"/>
      <c r="V351" s="396"/>
      <c r="W351" s="73"/>
      <c r="X351" s="396"/>
      <c r="Y351" s="73"/>
      <c r="Z351" s="396"/>
      <c r="AA351" s="73"/>
      <c r="AB351" s="396"/>
      <c r="AC351" s="76">
        <f t="shared" si="5"/>
        <v>800</v>
      </c>
      <c r="AD351" s="396">
        <f t="shared" si="5"/>
        <v>0</v>
      </c>
    </row>
    <row r="352" spans="1:30" ht="16" x14ac:dyDescent="0.2">
      <c r="A352" s="393"/>
      <c r="B352" s="234" t="s">
        <v>356</v>
      </c>
      <c r="C352" s="73" t="s">
        <v>363</v>
      </c>
      <c r="D352" s="74" t="s">
        <v>374</v>
      </c>
      <c r="E352" s="75">
        <v>0</v>
      </c>
      <c r="F352" s="395"/>
      <c r="G352" s="233">
        <v>0</v>
      </c>
      <c r="H352" s="395"/>
      <c r="I352" s="233">
        <v>0</v>
      </c>
      <c r="J352" s="395"/>
      <c r="K352" s="233">
        <v>0</v>
      </c>
      <c r="L352" s="395"/>
      <c r="M352" s="233">
        <v>0</v>
      </c>
      <c r="N352" s="395"/>
      <c r="O352" s="73">
        <v>0</v>
      </c>
      <c r="P352" s="395"/>
      <c r="Q352" s="76">
        <v>1187</v>
      </c>
      <c r="R352" s="396"/>
      <c r="S352" s="73"/>
      <c r="T352" s="396"/>
      <c r="U352" s="73"/>
      <c r="V352" s="396"/>
      <c r="W352" s="73"/>
      <c r="X352" s="396"/>
      <c r="Y352" s="73"/>
      <c r="Z352" s="396"/>
      <c r="AA352" s="73"/>
      <c r="AB352" s="396"/>
      <c r="AC352" s="76">
        <f t="shared" si="5"/>
        <v>1187</v>
      </c>
      <c r="AD352" s="396">
        <f t="shared" si="5"/>
        <v>0</v>
      </c>
    </row>
    <row r="353" spans="1:30" ht="16" x14ac:dyDescent="0.2">
      <c r="A353" s="388">
        <v>175</v>
      </c>
      <c r="B353" s="230" t="s">
        <v>356</v>
      </c>
      <c r="C353" s="67" t="s">
        <v>364</v>
      </c>
      <c r="D353" s="68" t="s">
        <v>373</v>
      </c>
      <c r="E353" s="69">
        <v>1350</v>
      </c>
      <c r="F353" s="389">
        <v>0</v>
      </c>
      <c r="G353" s="69">
        <v>1500</v>
      </c>
      <c r="H353" s="389">
        <v>0</v>
      </c>
      <c r="I353" s="69">
        <v>1650</v>
      </c>
      <c r="J353" s="389">
        <v>251585.7</v>
      </c>
      <c r="K353" s="70">
        <v>1405</v>
      </c>
      <c r="L353" s="387">
        <v>137777.74</v>
      </c>
      <c r="M353" s="70">
        <v>1480</v>
      </c>
      <c r="N353" s="387">
        <v>116313.8</v>
      </c>
      <c r="O353" s="67">
        <v>1566</v>
      </c>
      <c r="P353" s="387">
        <v>128615.09999999998</v>
      </c>
      <c r="Q353" s="71">
        <v>1692</v>
      </c>
      <c r="R353" s="389">
        <v>136334.02000000002</v>
      </c>
      <c r="S353" s="67"/>
      <c r="T353" s="389"/>
      <c r="U353" s="67"/>
      <c r="V353" s="389"/>
      <c r="W353" s="67"/>
      <c r="X353" s="389"/>
      <c r="Y353" s="67"/>
      <c r="Z353" s="387"/>
      <c r="AA353" s="67"/>
      <c r="AB353" s="389"/>
      <c r="AC353" s="71">
        <f t="shared" si="5"/>
        <v>10643</v>
      </c>
      <c r="AD353" s="389">
        <f t="shared" si="5"/>
        <v>770626.36</v>
      </c>
    </row>
    <row r="354" spans="1:30" ht="16" x14ac:dyDescent="0.2">
      <c r="A354" s="388"/>
      <c r="B354" s="231" t="s">
        <v>356</v>
      </c>
      <c r="C354" s="67" t="s">
        <v>364</v>
      </c>
      <c r="D354" s="68" t="s">
        <v>374</v>
      </c>
      <c r="E354" s="69">
        <v>2334</v>
      </c>
      <c r="F354" s="389"/>
      <c r="G354" s="69">
        <v>2382</v>
      </c>
      <c r="H354" s="389"/>
      <c r="I354" s="69">
        <v>2750</v>
      </c>
      <c r="J354" s="389"/>
      <c r="K354" s="70">
        <v>2226</v>
      </c>
      <c r="L354" s="390"/>
      <c r="M354" s="70">
        <v>2390</v>
      </c>
      <c r="N354" s="390"/>
      <c r="O354" s="67">
        <v>2536</v>
      </c>
      <c r="P354" s="390"/>
      <c r="Q354" s="71">
        <v>2681</v>
      </c>
      <c r="R354" s="389"/>
      <c r="S354" s="67"/>
      <c r="T354" s="389"/>
      <c r="U354" s="67"/>
      <c r="V354" s="389"/>
      <c r="W354" s="67"/>
      <c r="X354" s="389"/>
      <c r="Y354" s="67"/>
      <c r="Z354" s="390"/>
      <c r="AA354" s="67"/>
      <c r="AB354" s="389"/>
      <c r="AC354" s="71">
        <f t="shared" si="5"/>
        <v>17299</v>
      </c>
      <c r="AD354" s="389">
        <f t="shared" si="5"/>
        <v>0</v>
      </c>
    </row>
    <row r="355" spans="1:30" ht="16" x14ac:dyDescent="0.2">
      <c r="A355" s="388">
        <v>176</v>
      </c>
      <c r="B355" s="230" t="s">
        <v>356</v>
      </c>
      <c r="C355" s="67" t="s">
        <v>417</v>
      </c>
      <c r="D355" s="68" t="s">
        <v>373</v>
      </c>
      <c r="E355" s="69">
        <v>0</v>
      </c>
      <c r="F355" s="389">
        <v>0</v>
      </c>
      <c r="G355" s="69">
        <v>0</v>
      </c>
      <c r="H355" s="389">
        <v>0</v>
      </c>
      <c r="I355" s="69">
        <v>0</v>
      </c>
      <c r="J355" s="389">
        <v>0</v>
      </c>
      <c r="K355" s="69">
        <v>0</v>
      </c>
      <c r="L355" s="389">
        <v>0</v>
      </c>
      <c r="M355" s="69">
        <v>0</v>
      </c>
      <c r="N355" s="389">
        <v>0</v>
      </c>
      <c r="O355" s="67">
        <v>900</v>
      </c>
      <c r="P355" s="387">
        <v>0</v>
      </c>
      <c r="Q355" s="71">
        <v>2300</v>
      </c>
      <c r="R355" s="389">
        <v>72686.850000000006</v>
      </c>
      <c r="S355" s="67"/>
      <c r="T355" s="389"/>
      <c r="U355" s="67"/>
      <c r="V355" s="389"/>
      <c r="W355" s="67"/>
      <c r="X355" s="389"/>
      <c r="Y355" s="67"/>
      <c r="Z355" s="389"/>
      <c r="AA355" s="67"/>
      <c r="AB355" s="389"/>
      <c r="AC355" s="71">
        <f t="shared" si="5"/>
        <v>3200</v>
      </c>
      <c r="AD355" s="389">
        <f t="shared" si="5"/>
        <v>72686.850000000006</v>
      </c>
    </row>
    <row r="356" spans="1:30" ht="16" x14ac:dyDescent="0.2">
      <c r="A356" s="388"/>
      <c r="B356" s="231" t="s">
        <v>356</v>
      </c>
      <c r="C356" s="67" t="s">
        <v>417</v>
      </c>
      <c r="D356" s="68" t="s">
        <v>374</v>
      </c>
      <c r="E356" s="69">
        <v>0</v>
      </c>
      <c r="F356" s="389"/>
      <c r="G356" s="69">
        <v>0</v>
      </c>
      <c r="H356" s="389"/>
      <c r="I356" s="69">
        <v>0</v>
      </c>
      <c r="J356" s="389"/>
      <c r="K356" s="69">
        <v>0</v>
      </c>
      <c r="L356" s="389"/>
      <c r="M356" s="69">
        <v>0</v>
      </c>
      <c r="N356" s="389"/>
      <c r="O356" s="67">
        <v>1293</v>
      </c>
      <c r="P356" s="390"/>
      <c r="Q356" s="71">
        <v>3401</v>
      </c>
      <c r="R356" s="389"/>
      <c r="S356" s="67"/>
      <c r="T356" s="389"/>
      <c r="U356" s="67"/>
      <c r="V356" s="389"/>
      <c r="W356" s="67"/>
      <c r="X356" s="389"/>
      <c r="Y356" s="67"/>
      <c r="Z356" s="389"/>
      <c r="AA356" s="67"/>
      <c r="AB356" s="389"/>
      <c r="AC356" s="71">
        <f t="shared" si="5"/>
        <v>4694</v>
      </c>
      <c r="AD356" s="389">
        <f t="shared" si="5"/>
        <v>0</v>
      </c>
    </row>
    <row r="357" spans="1:30" ht="16" x14ac:dyDescent="0.2">
      <c r="A357" s="388">
        <v>177</v>
      </c>
      <c r="B357" s="230" t="s">
        <v>356</v>
      </c>
      <c r="C357" s="67" t="s">
        <v>366</v>
      </c>
      <c r="D357" s="68" t="s">
        <v>373</v>
      </c>
      <c r="E357" s="69">
        <v>1800</v>
      </c>
      <c r="F357" s="389">
        <v>0</v>
      </c>
      <c r="G357" s="69">
        <v>1750</v>
      </c>
      <c r="H357" s="389">
        <v>0</v>
      </c>
      <c r="I357" s="69">
        <v>1650</v>
      </c>
      <c r="J357" s="389">
        <v>367488.75</v>
      </c>
      <c r="K357" s="70">
        <v>1412</v>
      </c>
      <c r="L357" s="387">
        <v>178268.15000000002</v>
      </c>
      <c r="M357" s="70">
        <v>1500</v>
      </c>
      <c r="N357" s="387">
        <v>153325.29</v>
      </c>
      <c r="O357" s="67">
        <v>1125</v>
      </c>
      <c r="P357" s="387">
        <v>165550.80000000005</v>
      </c>
      <c r="Q357" s="71">
        <v>1684</v>
      </c>
      <c r="R357" s="389">
        <v>123060.69999999984</v>
      </c>
      <c r="S357" s="67"/>
      <c r="T357" s="389"/>
      <c r="U357" s="67"/>
      <c r="V357" s="389"/>
      <c r="W357" s="67"/>
      <c r="X357" s="389"/>
      <c r="Y357" s="67"/>
      <c r="Z357" s="389"/>
      <c r="AA357" s="67"/>
      <c r="AB357" s="389"/>
      <c r="AC357" s="71">
        <f t="shared" si="5"/>
        <v>10921</v>
      </c>
      <c r="AD357" s="389">
        <f t="shared" si="5"/>
        <v>987693.69</v>
      </c>
    </row>
    <row r="358" spans="1:30" ht="16" x14ac:dyDescent="0.2">
      <c r="A358" s="388"/>
      <c r="B358" s="231" t="s">
        <v>356</v>
      </c>
      <c r="C358" s="67" t="s">
        <v>366</v>
      </c>
      <c r="D358" s="68" t="s">
        <v>374</v>
      </c>
      <c r="E358" s="69">
        <v>3790</v>
      </c>
      <c r="F358" s="389"/>
      <c r="G358" s="69">
        <v>3655</v>
      </c>
      <c r="H358" s="389"/>
      <c r="I358" s="69">
        <v>3850</v>
      </c>
      <c r="J358" s="389"/>
      <c r="K358" s="70">
        <v>3189</v>
      </c>
      <c r="L358" s="390"/>
      <c r="M358" s="70">
        <v>3444</v>
      </c>
      <c r="N358" s="390"/>
      <c r="O358" s="67">
        <v>2551</v>
      </c>
      <c r="P358" s="390"/>
      <c r="Q358" s="71">
        <v>3861</v>
      </c>
      <c r="R358" s="389"/>
      <c r="S358" s="67"/>
      <c r="T358" s="389"/>
      <c r="U358" s="67"/>
      <c r="V358" s="389"/>
      <c r="W358" s="67"/>
      <c r="X358" s="389"/>
      <c r="Y358" s="67"/>
      <c r="Z358" s="389"/>
      <c r="AA358" s="67"/>
      <c r="AB358" s="389"/>
      <c r="AC358" s="71">
        <f t="shared" si="5"/>
        <v>24340</v>
      </c>
      <c r="AD358" s="389">
        <f t="shared" si="5"/>
        <v>0</v>
      </c>
    </row>
    <row r="359" spans="1:30" ht="16" x14ac:dyDescent="0.2">
      <c r="A359" s="77"/>
      <c r="B359" s="77"/>
      <c r="C359" s="77"/>
      <c r="D359" s="77"/>
      <c r="E359" s="78">
        <f t="shared" ref="E359:O359" si="6">SUM(E5:E358)</f>
        <v>604819</v>
      </c>
      <c r="F359" s="79">
        <f t="shared" si="6"/>
        <v>0</v>
      </c>
      <c r="G359" s="78">
        <f t="shared" si="6"/>
        <v>660250</v>
      </c>
      <c r="H359" s="79">
        <f t="shared" si="6"/>
        <v>5985531.3499999996</v>
      </c>
      <c r="I359" s="78">
        <f t="shared" si="6"/>
        <v>741090</v>
      </c>
      <c r="J359" s="79">
        <f t="shared" si="6"/>
        <v>29682740.499999996</v>
      </c>
      <c r="K359" s="78">
        <f t="shared" si="6"/>
        <v>670300</v>
      </c>
      <c r="L359" s="79">
        <f t="shared" si="6"/>
        <v>24636816.830000002</v>
      </c>
      <c r="M359" s="78">
        <f t="shared" si="6"/>
        <v>725572</v>
      </c>
      <c r="N359" s="79">
        <f t="shared" si="6"/>
        <v>19452549.069999997</v>
      </c>
      <c r="O359" s="78">
        <f t="shared" si="6"/>
        <v>820652</v>
      </c>
      <c r="P359" s="79">
        <v>23721454.66</v>
      </c>
      <c r="Q359" s="78">
        <f t="shared" ref="Q359:AD359" si="7">SUM(Q5:Q358)</f>
        <v>1066904</v>
      </c>
      <c r="R359" s="79">
        <f t="shared" si="7"/>
        <v>25682208.969999999</v>
      </c>
      <c r="S359" s="78">
        <f t="shared" si="7"/>
        <v>0</v>
      </c>
      <c r="T359" s="79">
        <f t="shared" si="7"/>
        <v>0</v>
      </c>
      <c r="U359" s="78">
        <f t="shared" si="7"/>
        <v>0</v>
      </c>
      <c r="V359" s="79">
        <f t="shared" si="7"/>
        <v>0</v>
      </c>
      <c r="W359" s="77">
        <f t="shared" si="7"/>
        <v>0</v>
      </c>
      <c r="X359" s="79">
        <f t="shared" si="7"/>
        <v>0</v>
      </c>
      <c r="Y359" s="77">
        <f t="shared" si="7"/>
        <v>0</v>
      </c>
      <c r="Z359" s="79">
        <f t="shared" si="7"/>
        <v>0</v>
      </c>
      <c r="AA359" s="80">
        <f t="shared" si="7"/>
        <v>0</v>
      </c>
      <c r="AB359" s="79">
        <f t="shared" si="7"/>
        <v>0</v>
      </c>
      <c r="AC359" s="80">
        <f t="shared" si="7"/>
        <v>5289587</v>
      </c>
      <c r="AD359" s="79">
        <f t="shared" si="7"/>
        <v>129161301.38</v>
      </c>
    </row>
    <row r="360" spans="1:30" ht="16" x14ac:dyDescent="0.2">
      <c r="A360" s="62"/>
      <c r="B360" s="62"/>
      <c r="C360" s="62"/>
      <c r="D360" s="62"/>
      <c r="E360" s="81"/>
      <c r="F360" s="82"/>
      <c r="G360" s="81"/>
      <c r="H360" s="82"/>
      <c r="I360" s="81"/>
      <c r="J360" s="82"/>
      <c r="K360" s="81"/>
      <c r="L360" s="82"/>
      <c r="M360" s="81"/>
      <c r="N360" s="82"/>
      <c r="O360" s="81"/>
      <c r="P360" s="82"/>
      <c r="Q360" s="81">
        <v>1065704</v>
      </c>
      <c r="R360" s="82"/>
      <c r="S360" s="62"/>
      <c r="T360" s="82"/>
      <c r="U360" s="83"/>
      <c r="V360" s="82"/>
      <c r="W360" s="62"/>
      <c r="X360" s="82"/>
      <c r="Y360" s="62"/>
      <c r="Z360" s="82"/>
      <c r="AA360" s="62"/>
      <c r="AB360" s="82"/>
      <c r="AC360" s="78"/>
      <c r="AD360" s="82">
        <v>129161301.38</v>
      </c>
    </row>
    <row r="361" spans="1:30" ht="16" x14ac:dyDescent="0.2">
      <c r="A361" s="62"/>
      <c r="B361" s="62"/>
      <c r="C361" s="62"/>
      <c r="D361" s="62"/>
      <c r="E361" s="81"/>
      <c r="F361" s="82"/>
      <c r="G361" s="81"/>
      <c r="H361" s="81"/>
      <c r="I361" s="81"/>
      <c r="J361" s="81"/>
      <c r="K361" s="81"/>
      <c r="L361" s="84"/>
      <c r="M361" s="81"/>
      <c r="N361" s="82"/>
      <c r="O361" s="81"/>
      <c r="P361" s="82"/>
      <c r="Q361" s="81"/>
      <c r="R361" s="82"/>
      <c r="S361" s="62"/>
      <c r="T361" s="82"/>
      <c r="U361" s="83"/>
      <c r="V361" s="82"/>
      <c r="W361" s="62"/>
      <c r="X361" s="82"/>
      <c r="Y361" s="62"/>
      <c r="Z361" s="82"/>
      <c r="AA361" s="62"/>
      <c r="AB361" s="82"/>
      <c r="AC361" s="81"/>
      <c r="AD361" s="82">
        <f>AD359-AD360</f>
        <v>0</v>
      </c>
    </row>
    <row r="362" spans="1:30" ht="16" x14ac:dyDescent="0.2">
      <c r="A362" s="62"/>
      <c r="B362" s="62"/>
      <c r="C362" s="62"/>
      <c r="D362" s="62"/>
      <c r="E362" s="81"/>
      <c r="F362" s="82"/>
      <c r="G362" s="81"/>
      <c r="H362" s="82"/>
      <c r="I362" s="81"/>
      <c r="J362" s="82"/>
      <c r="K362" s="81"/>
      <c r="L362" s="82"/>
      <c r="M362" s="62"/>
      <c r="N362" s="82"/>
      <c r="O362" s="62"/>
      <c r="P362" s="82"/>
      <c r="Q362" s="81"/>
      <c r="R362" s="82"/>
      <c r="S362" s="62"/>
      <c r="T362" s="82"/>
      <c r="U362" s="62"/>
      <c r="V362" s="82"/>
      <c r="W362" s="62"/>
      <c r="X362" s="82"/>
      <c r="Y362" s="62"/>
      <c r="Z362" s="82"/>
      <c r="AA362" s="62"/>
      <c r="AB362" s="82"/>
      <c r="AC362" s="81"/>
      <c r="AD362" s="82"/>
    </row>
    <row r="363" spans="1:30" ht="16" x14ac:dyDescent="0.2">
      <c r="A363" s="62"/>
      <c r="B363" s="62"/>
      <c r="C363" s="62"/>
      <c r="D363" s="62"/>
      <c r="E363" s="81"/>
      <c r="F363" s="82"/>
      <c r="G363" s="81"/>
      <c r="H363" s="82"/>
      <c r="I363" s="81"/>
      <c r="J363" s="82"/>
      <c r="K363" s="81"/>
      <c r="L363" s="82"/>
      <c r="M363" s="62"/>
      <c r="N363" s="82"/>
      <c r="O363" s="62"/>
      <c r="P363" s="82"/>
      <c r="Q363" s="81"/>
      <c r="R363" s="82"/>
      <c r="S363" s="62"/>
      <c r="T363" s="82"/>
      <c r="U363" s="62"/>
      <c r="V363" s="82"/>
      <c r="W363" s="62"/>
      <c r="X363" s="82"/>
      <c r="Y363" s="62"/>
      <c r="Z363" s="82"/>
      <c r="AA363" s="62"/>
      <c r="AB363" s="82"/>
      <c r="AC363" s="81"/>
      <c r="AD363" s="82"/>
    </row>
    <row r="364" spans="1:30" ht="16" x14ac:dyDescent="0.2">
      <c r="A364" s="62"/>
      <c r="B364" s="62"/>
      <c r="C364" s="62"/>
      <c r="D364" s="62"/>
      <c r="E364" s="81"/>
      <c r="F364" s="82"/>
      <c r="G364" s="81"/>
      <c r="H364" s="82"/>
      <c r="I364" s="81"/>
      <c r="J364" s="82"/>
      <c r="K364" s="81"/>
      <c r="L364" s="82"/>
      <c r="M364" s="62"/>
      <c r="N364" s="82"/>
      <c r="O364" s="62"/>
      <c r="P364" s="82"/>
      <c r="Q364" s="81"/>
      <c r="R364" s="82"/>
      <c r="S364" s="62"/>
      <c r="T364" s="82"/>
      <c r="U364" s="62"/>
      <c r="V364" s="82"/>
      <c r="W364" s="62"/>
      <c r="X364" s="82"/>
      <c r="Y364" s="62"/>
      <c r="Z364" s="82"/>
      <c r="AA364" s="62"/>
      <c r="AB364" s="82"/>
      <c r="AC364" s="81"/>
      <c r="AD364" s="82"/>
    </row>
  </sheetData>
  <mergeCells count="2497">
    <mergeCell ref="Z357:Z358"/>
    <mergeCell ref="AB357:AB358"/>
    <mergeCell ref="AD357:AD358"/>
    <mergeCell ref="N357:N358"/>
    <mergeCell ref="P357:P358"/>
    <mergeCell ref="R357:R358"/>
    <mergeCell ref="T357:T358"/>
    <mergeCell ref="V357:V358"/>
    <mergeCell ref="X357:X358"/>
    <mergeCell ref="V355:V356"/>
    <mergeCell ref="X355:X356"/>
    <mergeCell ref="Z355:Z356"/>
    <mergeCell ref="AB355:AB356"/>
    <mergeCell ref="AD355:AD356"/>
    <mergeCell ref="A357:A358"/>
    <mergeCell ref="F357:F358"/>
    <mergeCell ref="H357:H358"/>
    <mergeCell ref="J357:J358"/>
    <mergeCell ref="L357:L358"/>
    <mergeCell ref="AD353:AD354"/>
    <mergeCell ref="A355:A356"/>
    <mergeCell ref="F355:F356"/>
    <mergeCell ref="H355:H356"/>
    <mergeCell ref="J355:J356"/>
    <mergeCell ref="L355:L356"/>
    <mergeCell ref="N355:N356"/>
    <mergeCell ref="P355:P356"/>
    <mergeCell ref="R355:R356"/>
    <mergeCell ref="T355:T356"/>
    <mergeCell ref="R353:R354"/>
    <mergeCell ref="T353:T354"/>
    <mergeCell ref="V353:V354"/>
    <mergeCell ref="X353:X354"/>
    <mergeCell ref="Z353:Z354"/>
    <mergeCell ref="AB353:AB354"/>
    <mergeCell ref="Z351:Z352"/>
    <mergeCell ref="AB351:AB352"/>
    <mergeCell ref="AD351:AD352"/>
    <mergeCell ref="A353:A354"/>
    <mergeCell ref="F353:F354"/>
    <mergeCell ref="H353:H354"/>
    <mergeCell ref="J353:J354"/>
    <mergeCell ref="L353:L354"/>
    <mergeCell ref="N353:N354"/>
    <mergeCell ref="P353:P354"/>
    <mergeCell ref="N351:N352"/>
    <mergeCell ref="P351:P352"/>
    <mergeCell ref="R351:R352"/>
    <mergeCell ref="T351:T352"/>
    <mergeCell ref="V351:V352"/>
    <mergeCell ref="X351:X352"/>
    <mergeCell ref="V349:V350"/>
    <mergeCell ref="X349:X350"/>
    <mergeCell ref="Z349:Z350"/>
    <mergeCell ref="AB349:AB350"/>
    <mergeCell ref="AD349:AD350"/>
    <mergeCell ref="A351:A352"/>
    <mergeCell ref="F351:F352"/>
    <mergeCell ref="H351:H352"/>
    <mergeCell ref="J351:J352"/>
    <mergeCell ref="L351:L352"/>
    <mergeCell ref="AD347:AD348"/>
    <mergeCell ref="A349:A350"/>
    <mergeCell ref="F349:F350"/>
    <mergeCell ref="H349:H350"/>
    <mergeCell ref="J349:J350"/>
    <mergeCell ref="L349:L350"/>
    <mergeCell ref="N349:N350"/>
    <mergeCell ref="P349:P350"/>
    <mergeCell ref="R349:R350"/>
    <mergeCell ref="T349:T350"/>
    <mergeCell ref="R347:R348"/>
    <mergeCell ref="T347:T348"/>
    <mergeCell ref="V347:V348"/>
    <mergeCell ref="X347:X348"/>
    <mergeCell ref="Z347:Z348"/>
    <mergeCell ref="AB347:AB348"/>
    <mergeCell ref="Z345:Z346"/>
    <mergeCell ref="AB345:AB346"/>
    <mergeCell ref="AD345:AD346"/>
    <mergeCell ref="A347:A348"/>
    <mergeCell ref="F347:F348"/>
    <mergeCell ref="H347:H348"/>
    <mergeCell ref="J347:J348"/>
    <mergeCell ref="L347:L348"/>
    <mergeCell ref="N347:N348"/>
    <mergeCell ref="P347:P348"/>
    <mergeCell ref="N345:N346"/>
    <mergeCell ref="P345:P346"/>
    <mergeCell ref="R345:R346"/>
    <mergeCell ref="T345:T346"/>
    <mergeCell ref="V345:V346"/>
    <mergeCell ref="X345:X346"/>
    <mergeCell ref="V343:V344"/>
    <mergeCell ref="X343:X344"/>
    <mergeCell ref="Z343:Z344"/>
    <mergeCell ref="AB343:AB344"/>
    <mergeCell ref="AD343:AD344"/>
    <mergeCell ref="A345:A346"/>
    <mergeCell ref="F345:F346"/>
    <mergeCell ref="H345:H346"/>
    <mergeCell ref="J345:J346"/>
    <mergeCell ref="L345:L346"/>
    <mergeCell ref="AD341:AD342"/>
    <mergeCell ref="A343:A344"/>
    <mergeCell ref="F343:F344"/>
    <mergeCell ref="H343:H344"/>
    <mergeCell ref="J343:J344"/>
    <mergeCell ref="L343:L344"/>
    <mergeCell ref="N343:N344"/>
    <mergeCell ref="P343:P344"/>
    <mergeCell ref="R343:R344"/>
    <mergeCell ref="T343:T344"/>
    <mergeCell ref="R341:R342"/>
    <mergeCell ref="T341:T342"/>
    <mergeCell ref="V341:V342"/>
    <mergeCell ref="X341:X342"/>
    <mergeCell ref="Z341:Z342"/>
    <mergeCell ref="AB341:AB342"/>
    <mergeCell ref="Z339:Z340"/>
    <mergeCell ref="AB339:AB340"/>
    <mergeCell ref="AD339:AD340"/>
    <mergeCell ref="A341:A342"/>
    <mergeCell ref="F341:F342"/>
    <mergeCell ref="H341:H342"/>
    <mergeCell ref="J341:J342"/>
    <mergeCell ref="L341:L342"/>
    <mergeCell ref="N341:N342"/>
    <mergeCell ref="P341:P342"/>
    <mergeCell ref="N339:N340"/>
    <mergeCell ref="P339:P340"/>
    <mergeCell ref="R339:R340"/>
    <mergeCell ref="T339:T340"/>
    <mergeCell ref="V339:V340"/>
    <mergeCell ref="X339:X340"/>
    <mergeCell ref="V337:V338"/>
    <mergeCell ref="X337:X338"/>
    <mergeCell ref="Z337:Z338"/>
    <mergeCell ref="AB337:AB338"/>
    <mergeCell ref="AD337:AD338"/>
    <mergeCell ref="A339:A340"/>
    <mergeCell ref="F339:F340"/>
    <mergeCell ref="H339:H340"/>
    <mergeCell ref="J339:J340"/>
    <mergeCell ref="L339:L340"/>
    <mergeCell ref="AD335:AD336"/>
    <mergeCell ref="A337:A338"/>
    <mergeCell ref="F337:F338"/>
    <mergeCell ref="H337:H338"/>
    <mergeCell ref="J337:J338"/>
    <mergeCell ref="L337:L338"/>
    <mergeCell ref="N337:N338"/>
    <mergeCell ref="P337:P338"/>
    <mergeCell ref="R337:R338"/>
    <mergeCell ref="T337:T338"/>
    <mergeCell ref="R335:R336"/>
    <mergeCell ref="T335:T336"/>
    <mergeCell ref="V335:V336"/>
    <mergeCell ref="X335:X336"/>
    <mergeCell ref="Z335:Z336"/>
    <mergeCell ref="AB335:AB336"/>
    <mergeCell ref="Z333:Z334"/>
    <mergeCell ref="AB333:AB334"/>
    <mergeCell ref="AD333:AD334"/>
    <mergeCell ref="A335:A336"/>
    <mergeCell ref="F335:F336"/>
    <mergeCell ref="H335:H336"/>
    <mergeCell ref="J335:J336"/>
    <mergeCell ref="L335:L336"/>
    <mergeCell ref="N335:N336"/>
    <mergeCell ref="P335:P336"/>
    <mergeCell ref="N333:N334"/>
    <mergeCell ref="P333:P334"/>
    <mergeCell ref="R333:R334"/>
    <mergeCell ref="T333:T334"/>
    <mergeCell ref="V333:V334"/>
    <mergeCell ref="X333:X334"/>
    <mergeCell ref="V331:V332"/>
    <mergeCell ref="X331:X332"/>
    <mergeCell ref="Z331:Z332"/>
    <mergeCell ref="AB331:AB332"/>
    <mergeCell ref="AD331:AD332"/>
    <mergeCell ref="A333:A334"/>
    <mergeCell ref="F333:F334"/>
    <mergeCell ref="H333:H334"/>
    <mergeCell ref="J333:J334"/>
    <mergeCell ref="L333:L334"/>
    <mergeCell ref="AD329:AD330"/>
    <mergeCell ref="A331:A332"/>
    <mergeCell ref="F331:F332"/>
    <mergeCell ref="H331:H332"/>
    <mergeCell ref="J331:J332"/>
    <mergeCell ref="L331:L332"/>
    <mergeCell ref="N331:N332"/>
    <mergeCell ref="P331:P332"/>
    <mergeCell ref="R331:R332"/>
    <mergeCell ref="T331:T332"/>
    <mergeCell ref="R329:R330"/>
    <mergeCell ref="T329:T330"/>
    <mergeCell ref="V329:V330"/>
    <mergeCell ref="X329:X330"/>
    <mergeCell ref="Z329:Z330"/>
    <mergeCell ref="AB329:AB330"/>
    <mergeCell ref="Z327:Z328"/>
    <mergeCell ref="AB327:AB328"/>
    <mergeCell ref="AD327:AD328"/>
    <mergeCell ref="A329:A330"/>
    <mergeCell ref="F329:F330"/>
    <mergeCell ref="H329:H330"/>
    <mergeCell ref="J329:J330"/>
    <mergeCell ref="L329:L330"/>
    <mergeCell ref="N329:N330"/>
    <mergeCell ref="P329:P330"/>
    <mergeCell ref="N327:N328"/>
    <mergeCell ref="P327:P328"/>
    <mergeCell ref="R327:R328"/>
    <mergeCell ref="T327:T328"/>
    <mergeCell ref="V327:V328"/>
    <mergeCell ref="X327:X328"/>
    <mergeCell ref="V325:V326"/>
    <mergeCell ref="X325:X326"/>
    <mergeCell ref="Z325:Z326"/>
    <mergeCell ref="AB325:AB326"/>
    <mergeCell ref="AD325:AD326"/>
    <mergeCell ref="A327:A328"/>
    <mergeCell ref="F327:F328"/>
    <mergeCell ref="H327:H328"/>
    <mergeCell ref="J327:J328"/>
    <mergeCell ref="L327:L328"/>
    <mergeCell ref="AD323:AD324"/>
    <mergeCell ref="A325:A326"/>
    <mergeCell ref="F325:F326"/>
    <mergeCell ref="H325:H326"/>
    <mergeCell ref="J325:J326"/>
    <mergeCell ref="L325:L326"/>
    <mergeCell ref="N325:N326"/>
    <mergeCell ref="P325:P326"/>
    <mergeCell ref="R325:R326"/>
    <mergeCell ref="T325:T326"/>
    <mergeCell ref="R323:R324"/>
    <mergeCell ref="T323:T324"/>
    <mergeCell ref="V323:V324"/>
    <mergeCell ref="X323:X324"/>
    <mergeCell ref="Z323:Z324"/>
    <mergeCell ref="AB323:AB324"/>
    <mergeCell ref="Z321:Z322"/>
    <mergeCell ref="AB321:AB322"/>
    <mergeCell ref="AD321:AD322"/>
    <mergeCell ref="A323:A324"/>
    <mergeCell ref="F323:F324"/>
    <mergeCell ref="H323:H324"/>
    <mergeCell ref="J323:J324"/>
    <mergeCell ref="L323:L324"/>
    <mergeCell ref="N323:N324"/>
    <mergeCell ref="P323:P324"/>
    <mergeCell ref="N321:N322"/>
    <mergeCell ref="P321:P322"/>
    <mergeCell ref="R321:R322"/>
    <mergeCell ref="T321:T322"/>
    <mergeCell ref="V321:V322"/>
    <mergeCell ref="X321:X322"/>
    <mergeCell ref="V319:V320"/>
    <mergeCell ref="X319:X320"/>
    <mergeCell ref="Z319:Z320"/>
    <mergeCell ref="AB319:AB320"/>
    <mergeCell ref="AD319:AD320"/>
    <mergeCell ref="A321:A322"/>
    <mergeCell ref="F321:F322"/>
    <mergeCell ref="H321:H322"/>
    <mergeCell ref="J321:J322"/>
    <mergeCell ref="L321:L322"/>
    <mergeCell ref="AD317:AD318"/>
    <mergeCell ref="A319:A320"/>
    <mergeCell ref="F319:F320"/>
    <mergeCell ref="H319:H320"/>
    <mergeCell ref="J319:J320"/>
    <mergeCell ref="L319:L320"/>
    <mergeCell ref="N319:N320"/>
    <mergeCell ref="P319:P320"/>
    <mergeCell ref="R319:R320"/>
    <mergeCell ref="T319:T320"/>
    <mergeCell ref="R317:R318"/>
    <mergeCell ref="T317:T318"/>
    <mergeCell ref="V317:V318"/>
    <mergeCell ref="X317:X318"/>
    <mergeCell ref="Z317:Z318"/>
    <mergeCell ref="AB317:AB318"/>
    <mergeCell ref="Z315:Z316"/>
    <mergeCell ref="AB315:AB316"/>
    <mergeCell ref="AD315:AD316"/>
    <mergeCell ref="A317:A318"/>
    <mergeCell ref="F317:F318"/>
    <mergeCell ref="H317:H318"/>
    <mergeCell ref="J317:J318"/>
    <mergeCell ref="L317:L318"/>
    <mergeCell ref="N317:N318"/>
    <mergeCell ref="P317:P318"/>
    <mergeCell ref="N315:N316"/>
    <mergeCell ref="P315:P316"/>
    <mergeCell ref="R315:R316"/>
    <mergeCell ref="T315:T316"/>
    <mergeCell ref="V315:V316"/>
    <mergeCell ref="X315:X316"/>
    <mergeCell ref="V313:V314"/>
    <mergeCell ref="X313:X314"/>
    <mergeCell ref="Z313:Z314"/>
    <mergeCell ref="AB313:AB314"/>
    <mergeCell ref="AD313:AD314"/>
    <mergeCell ref="A315:A316"/>
    <mergeCell ref="F315:F316"/>
    <mergeCell ref="H315:H316"/>
    <mergeCell ref="J315:J316"/>
    <mergeCell ref="L315:L316"/>
    <mergeCell ref="AD311:AD312"/>
    <mergeCell ref="A313:A314"/>
    <mergeCell ref="F313:F314"/>
    <mergeCell ref="H313:H314"/>
    <mergeCell ref="J313:J314"/>
    <mergeCell ref="L313:L314"/>
    <mergeCell ref="N313:N314"/>
    <mergeCell ref="P313:P314"/>
    <mergeCell ref="R313:R314"/>
    <mergeCell ref="T313:T314"/>
    <mergeCell ref="R311:R312"/>
    <mergeCell ref="T311:T312"/>
    <mergeCell ref="V311:V312"/>
    <mergeCell ref="X311:X312"/>
    <mergeCell ref="Z311:Z312"/>
    <mergeCell ref="AB311:AB312"/>
    <mergeCell ref="Z309:Z310"/>
    <mergeCell ref="AB309:AB310"/>
    <mergeCell ref="AD309:AD310"/>
    <mergeCell ref="A311:A312"/>
    <mergeCell ref="F311:F312"/>
    <mergeCell ref="H311:H312"/>
    <mergeCell ref="J311:J312"/>
    <mergeCell ref="L311:L312"/>
    <mergeCell ref="N311:N312"/>
    <mergeCell ref="P311:P312"/>
    <mergeCell ref="N309:N310"/>
    <mergeCell ref="P309:P310"/>
    <mergeCell ref="R309:R310"/>
    <mergeCell ref="T309:T310"/>
    <mergeCell ref="V309:V310"/>
    <mergeCell ref="X309:X310"/>
    <mergeCell ref="V307:V308"/>
    <mergeCell ref="X307:X308"/>
    <mergeCell ref="Z307:Z308"/>
    <mergeCell ref="AB307:AB308"/>
    <mergeCell ref="AD307:AD308"/>
    <mergeCell ref="A309:A310"/>
    <mergeCell ref="F309:F310"/>
    <mergeCell ref="H309:H310"/>
    <mergeCell ref="J309:J310"/>
    <mergeCell ref="L309:L310"/>
    <mergeCell ref="AD305:AD306"/>
    <mergeCell ref="A307:A308"/>
    <mergeCell ref="F307:F308"/>
    <mergeCell ref="H307:H308"/>
    <mergeCell ref="J307:J308"/>
    <mergeCell ref="L307:L308"/>
    <mergeCell ref="N307:N308"/>
    <mergeCell ref="P307:P308"/>
    <mergeCell ref="R307:R308"/>
    <mergeCell ref="T307:T308"/>
    <mergeCell ref="R305:R306"/>
    <mergeCell ref="T305:T306"/>
    <mergeCell ref="V305:V306"/>
    <mergeCell ref="X305:X306"/>
    <mergeCell ref="Z305:Z306"/>
    <mergeCell ref="AB305:AB306"/>
    <mergeCell ref="Z303:Z304"/>
    <mergeCell ref="AB303:AB304"/>
    <mergeCell ref="AD303:AD304"/>
    <mergeCell ref="A305:A306"/>
    <mergeCell ref="F305:F306"/>
    <mergeCell ref="H305:H306"/>
    <mergeCell ref="J305:J306"/>
    <mergeCell ref="L305:L306"/>
    <mergeCell ref="N305:N306"/>
    <mergeCell ref="P305:P306"/>
    <mergeCell ref="N303:N304"/>
    <mergeCell ref="P303:P304"/>
    <mergeCell ref="R303:R304"/>
    <mergeCell ref="T303:T304"/>
    <mergeCell ref="V303:V304"/>
    <mergeCell ref="X303:X304"/>
    <mergeCell ref="V301:V302"/>
    <mergeCell ref="X301:X302"/>
    <mergeCell ref="Z301:Z302"/>
    <mergeCell ref="AB301:AB302"/>
    <mergeCell ref="AD301:AD302"/>
    <mergeCell ref="A303:A304"/>
    <mergeCell ref="F303:F304"/>
    <mergeCell ref="H303:H304"/>
    <mergeCell ref="J303:J304"/>
    <mergeCell ref="L303:L304"/>
    <mergeCell ref="AD299:AD300"/>
    <mergeCell ref="A301:A302"/>
    <mergeCell ref="F301:F302"/>
    <mergeCell ref="H301:H302"/>
    <mergeCell ref="J301:J302"/>
    <mergeCell ref="L301:L302"/>
    <mergeCell ref="N301:N302"/>
    <mergeCell ref="P301:P302"/>
    <mergeCell ref="R301:R302"/>
    <mergeCell ref="T301:T302"/>
    <mergeCell ref="R299:R300"/>
    <mergeCell ref="T299:T300"/>
    <mergeCell ref="V299:V300"/>
    <mergeCell ref="X299:X300"/>
    <mergeCell ref="Z299:Z300"/>
    <mergeCell ref="AB299:AB300"/>
    <mergeCell ref="Z297:Z298"/>
    <mergeCell ref="AB297:AB298"/>
    <mergeCell ref="AD297:AD298"/>
    <mergeCell ref="A299:A300"/>
    <mergeCell ref="F299:F300"/>
    <mergeCell ref="H299:H300"/>
    <mergeCell ref="J299:J300"/>
    <mergeCell ref="L299:L300"/>
    <mergeCell ref="N299:N300"/>
    <mergeCell ref="P299:P300"/>
    <mergeCell ref="N297:N298"/>
    <mergeCell ref="P297:P298"/>
    <mergeCell ref="R297:R298"/>
    <mergeCell ref="T297:T298"/>
    <mergeCell ref="V297:V298"/>
    <mergeCell ref="X297:X298"/>
    <mergeCell ref="V295:V296"/>
    <mergeCell ref="X295:X296"/>
    <mergeCell ref="Z295:Z296"/>
    <mergeCell ref="AB295:AB296"/>
    <mergeCell ref="AD295:AD296"/>
    <mergeCell ref="A297:A298"/>
    <mergeCell ref="F297:F298"/>
    <mergeCell ref="H297:H298"/>
    <mergeCell ref="J297:J298"/>
    <mergeCell ref="L297:L298"/>
    <mergeCell ref="AD293:AD294"/>
    <mergeCell ref="A295:A296"/>
    <mergeCell ref="F295:F296"/>
    <mergeCell ref="H295:H296"/>
    <mergeCell ref="J295:J296"/>
    <mergeCell ref="L295:L296"/>
    <mergeCell ref="N295:N296"/>
    <mergeCell ref="P295:P296"/>
    <mergeCell ref="R295:R296"/>
    <mergeCell ref="T295:T296"/>
    <mergeCell ref="R293:R294"/>
    <mergeCell ref="T293:T294"/>
    <mergeCell ref="V293:V294"/>
    <mergeCell ref="X293:X294"/>
    <mergeCell ref="Z293:Z294"/>
    <mergeCell ref="AB293:AB294"/>
    <mergeCell ref="Z291:Z292"/>
    <mergeCell ref="AB291:AB292"/>
    <mergeCell ref="AD291:AD292"/>
    <mergeCell ref="A293:A294"/>
    <mergeCell ref="F293:F294"/>
    <mergeCell ref="H293:H294"/>
    <mergeCell ref="J293:J294"/>
    <mergeCell ref="L293:L294"/>
    <mergeCell ref="N293:N294"/>
    <mergeCell ref="P293:P294"/>
    <mergeCell ref="N291:N292"/>
    <mergeCell ref="P291:P292"/>
    <mergeCell ref="R291:R292"/>
    <mergeCell ref="T291:T292"/>
    <mergeCell ref="V291:V292"/>
    <mergeCell ref="X291:X292"/>
    <mergeCell ref="V289:V290"/>
    <mergeCell ref="X289:X290"/>
    <mergeCell ref="Z289:Z290"/>
    <mergeCell ref="AB289:AB290"/>
    <mergeCell ref="AD289:AD290"/>
    <mergeCell ref="A291:A292"/>
    <mergeCell ref="F291:F292"/>
    <mergeCell ref="H291:H292"/>
    <mergeCell ref="J291:J292"/>
    <mergeCell ref="L291:L292"/>
    <mergeCell ref="AD287:AD288"/>
    <mergeCell ref="A289:A290"/>
    <mergeCell ref="F289:F290"/>
    <mergeCell ref="H289:H290"/>
    <mergeCell ref="J289:J290"/>
    <mergeCell ref="L289:L290"/>
    <mergeCell ref="N289:N290"/>
    <mergeCell ref="P289:P290"/>
    <mergeCell ref="R289:R290"/>
    <mergeCell ref="T289:T290"/>
    <mergeCell ref="R287:R288"/>
    <mergeCell ref="T287:T288"/>
    <mergeCell ref="V287:V288"/>
    <mergeCell ref="X287:X288"/>
    <mergeCell ref="Z287:Z288"/>
    <mergeCell ref="AB287:AB288"/>
    <mergeCell ref="Z285:Z286"/>
    <mergeCell ref="AB285:AB286"/>
    <mergeCell ref="AD285:AD286"/>
    <mergeCell ref="A287:A288"/>
    <mergeCell ref="F287:F288"/>
    <mergeCell ref="H287:H288"/>
    <mergeCell ref="J287:J288"/>
    <mergeCell ref="L287:L288"/>
    <mergeCell ref="N287:N288"/>
    <mergeCell ref="P287:P288"/>
    <mergeCell ref="N285:N286"/>
    <mergeCell ref="P285:P286"/>
    <mergeCell ref="R285:R286"/>
    <mergeCell ref="T285:T286"/>
    <mergeCell ref="V285:V286"/>
    <mergeCell ref="X285:X286"/>
    <mergeCell ref="V283:V284"/>
    <mergeCell ref="X283:X284"/>
    <mergeCell ref="Z283:Z284"/>
    <mergeCell ref="AB283:AB284"/>
    <mergeCell ref="AD283:AD284"/>
    <mergeCell ref="A285:A286"/>
    <mergeCell ref="F285:F286"/>
    <mergeCell ref="H285:H286"/>
    <mergeCell ref="J285:J286"/>
    <mergeCell ref="L285:L286"/>
    <mergeCell ref="AD281:AD282"/>
    <mergeCell ref="A283:A284"/>
    <mergeCell ref="F283:F284"/>
    <mergeCell ref="H283:H284"/>
    <mergeCell ref="J283:J284"/>
    <mergeCell ref="L283:L284"/>
    <mergeCell ref="N283:N284"/>
    <mergeCell ref="P283:P284"/>
    <mergeCell ref="R283:R284"/>
    <mergeCell ref="T283:T284"/>
    <mergeCell ref="R281:R282"/>
    <mergeCell ref="T281:T282"/>
    <mergeCell ref="V281:V282"/>
    <mergeCell ref="X281:X282"/>
    <mergeCell ref="Z281:Z282"/>
    <mergeCell ref="AB281:AB282"/>
    <mergeCell ref="Z279:Z280"/>
    <mergeCell ref="AB279:AB280"/>
    <mergeCell ref="AD279:AD280"/>
    <mergeCell ref="A281:A282"/>
    <mergeCell ref="F281:F282"/>
    <mergeCell ref="H281:H282"/>
    <mergeCell ref="J281:J282"/>
    <mergeCell ref="L281:L282"/>
    <mergeCell ref="N281:N282"/>
    <mergeCell ref="P281:P282"/>
    <mergeCell ref="N279:N280"/>
    <mergeCell ref="P279:P280"/>
    <mergeCell ref="R279:R280"/>
    <mergeCell ref="T279:T280"/>
    <mergeCell ref="V279:V280"/>
    <mergeCell ref="X279:X280"/>
    <mergeCell ref="V277:V278"/>
    <mergeCell ref="X277:X278"/>
    <mergeCell ref="Z277:Z278"/>
    <mergeCell ref="AB277:AB278"/>
    <mergeCell ref="AD277:AD278"/>
    <mergeCell ref="A279:A280"/>
    <mergeCell ref="F279:F280"/>
    <mergeCell ref="H279:H280"/>
    <mergeCell ref="J279:J280"/>
    <mergeCell ref="L279:L280"/>
    <mergeCell ref="AD275:AD276"/>
    <mergeCell ref="A277:A278"/>
    <mergeCell ref="F277:F278"/>
    <mergeCell ref="H277:H278"/>
    <mergeCell ref="J277:J278"/>
    <mergeCell ref="L277:L278"/>
    <mergeCell ref="N277:N278"/>
    <mergeCell ref="P277:P278"/>
    <mergeCell ref="R277:R278"/>
    <mergeCell ref="T277:T278"/>
    <mergeCell ref="R275:R276"/>
    <mergeCell ref="T275:T276"/>
    <mergeCell ref="V275:V276"/>
    <mergeCell ref="X275:X276"/>
    <mergeCell ref="Z275:Z276"/>
    <mergeCell ref="AB275:AB276"/>
    <mergeCell ref="Z273:Z274"/>
    <mergeCell ref="AB273:AB274"/>
    <mergeCell ref="AD273:AD274"/>
    <mergeCell ref="A275:A276"/>
    <mergeCell ref="F275:F276"/>
    <mergeCell ref="H275:H276"/>
    <mergeCell ref="J275:J276"/>
    <mergeCell ref="L275:L276"/>
    <mergeCell ref="N275:N276"/>
    <mergeCell ref="P275:P276"/>
    <mergeCell ref="N273:N274"/>
    <mergeCell ref="P273:P274"/>
    <mergeCell ref="R273:R274"/>
    <mergeCell ref="T273:T274"/>
    <mergeCell ref="V273:V274"/>
    <mergeCell ref="X273:X274"/>
    <mergeCell ref="V271:V272"/>
    <mergeCell ref="X271:X272"/>
    <mergeCell ref="Z271:Z272"/>
    <mergeCell ref="AB271:AB272"/>
    <mergeCell ref="AD271:AD272"/>
    <mergeCell ref="A273:A274"/>
    <mergeCell ref="F273:F274"/>
    <mergeCell ref="H273:H274"/>
    <mergeCell ref="J273:J274"/>
    <mergeCell ref="L273:L274"/>
    <mergeCell ref="AD269:AD270"/>
    <mergeCell ref="A271:A272"/>
    <mergeCell ref="F271:F272"/>
    <mergeCell ref="H271:H272"/>
    <mergeCell ref="J271:J272"/>
    <mergeCell ref="L271:L272"/>
    <mergeCell ref="N271:N272"/>
    <mergeCell ref="P271:P272"/>
    <mergeCell ref="R271:R272"/>
    <mergeCell ref="T271:T272"/>
    <mergeCell ref="R269:R270"/>
    <mergeCell ref="T269:T270"/>
    <mergeCell ref="V269:V270"/>
    <mergeCell ref="X269:X270"/>
    <mergeCell ref="Z269:Z270"/>
    <mergeCell ref="AB269:AB270"/>
    <mergeCell ref="Z267:Z268"/>
    <mergeCell ref="AB267:AB268"/>
    <mergeCell ref="AD267:AD268"/>
    <mergeCell ref="A269:A270"/>
    <mergeCell ref="F269:F270"/>
    <mergeCell ref="H269:H270"/>
    <mergeCell ref="J269:J270"/>
    <mergeCell ref="L269:L270"/>
    <mergeCell ref="N269:N270"/>
    <mergeCell ref="P269:P270"/>
    <mergeCell ref="N267:N268"/>
    <mergeCell ref="P267:P268"/>
    <mergeCell ref="R267:R268"/>
    <mergeCell ref="T267:T268"/>
    <mergeCell ref="V267:V268"/>
    <mergeCell ref="X267:X268"/>
    <mergeCell ref="V265:V266"/>
    <mergeCell ref="X265:X266"/>
    <mergeCell ref="Z265:Z266"/>
    <mergeCell ref="AB265:AB266"/>
    <mergeCell ref="AD265:AD266"/>
    <mergeCell ref="A267:A268"/>
    <mergeCell ref="F267:F268"/>
    <mergeCell ref="H267:H268"/>
    <mergeCell ref="J267:J268"/>
    <mergeCell ref="L267:L268"/>
    <mergeCell ref="AD263:AD264"/>
    <mergeCell ref="A265:A266"/>
    <mergeCell ref="F265:F266"/>
    <mergeCell ref="H265:H266"/>
    <mergeCell ref="J265:J266"/>
    <mergeCell ref="L265:L266"/>
    <mergeCell ref="N265:N266"/>
    <mergeCell ref="P265:P266"/>
    <mergeCell ref="R265:R266"/>
    <mergeCell ref="T265:T266"/>
    <mergeCell ref="R263:R264"/>
    <mergeCell ref="T263:T264"/>
    <mergeCell ref="V263:V264"/>
    <mergeCell ref="X263:X264"/>
    <mergeCell ref="Z263:Z264"/>
    <mergeCell ref="AB263:AB264"/>
    <mergeCell ref="Z261:Z262"/>
    <mergeCell ref="AB261:AB262"/>
    <mergeCell ref="AD261:AD262"/>
    <mergeCell ref="A263:A264"/>
    <mergeCell ref="F263:F264"/>
    <mergeCell ref="H263:H264"/>
    <mergeCell ref="J263:J264"/>
    <mergeCell ref="L263:L264"/>
    <mergeCell ref="N263:N264"/>
    <mergeCell ref="P263:P264"/>
    <mergeCell ref="N261:N262"/>
    <mergeCell ref="P261:P262"/>
    <mergeCell ref="R261:R262"/>
    <mergeCell ref="T261:T262"/>
    <mergeCell ref="V261:V262"/>
    <mergeCell ref="X261:X262"/>
    <mergeCell ref="V259:V260"/>
    <mergeCell ref="X259:X260"/>
    <mergeCell ref="Z259:Z260"/>
    <mergeCell ref="AB259:AB260"/>
    <mergeCell ref="AD259:AD260"/>
    <mergeCell ref="A261:A262"/>
    <mergeCell ref="F261:F262"/>
    <mergeCell ref="H261:H262"/>
    <mergeCell ref="J261:J262"/>
    <mergeCell ref="L261:L262"/>
    <mergeCell ref="AD257:AD258"/>
    <mergeCell ref="A259:A260"/>
    <mergeCell ref="F259:F260"/>
    <mergeCell ref="H259:H260"/>
    <mergeCell ref="J259:J260"/>
    <mergeCell ref="L259:L260"/>
    <mergeCell ref="N259:N260"/>
    <mergeCell ref="P259:P260"/>
    <mergeCell ref="R259:R260"/>
    <mergeCell ref="T259:T260"/>
    <mergeCell ref="R257:R258"/>
    <mergeCell ref="T257:T258"/>
    <mergeCell ref="V257:V258"/>
    <mergeCell ref="X257:X258"/>
    <mergeCell ref="Z257:Z258"/>
    <mergeCell ref="AB257:AB258"/>
    <mergeCell ref="Z255:Z256"/>
    <mergeCell ref="AB255:AB256"/>
    <mergeCell ref="AD255:AD256"/>
    <mergeCell ref="A257:A258"/>
    <mergeCell ref="F257:F258"/>
    <mergeCell ref="H257:H258"/>
    <mergeCell ref="J257:J258"/>
    <mergeCell ref="L257:L258"/>
    <mergeCell ref="N257:N258"/>
    <mergeCell ref="P257:P258"/>
    <mergeCell ref="N255:N256"/>
    <mergeCell ref="P255:P256"/>
    <mergeCell ref="R255:R256"/>
    <mergeCell ref="T255:T256"/>
    <mergeCell ref="V255:V256"/>
    <mergeCell ref="X255:X256"/>
    <mergeCell ref="V253:V254"/>
    <mergeCell ref="X253:X254"/>
    <mergeCell ref="Z253:Z254"/>
    <mergeCell ref="AB253:AB254"/>
    <mergeCell ref="AD253:AD254"/>
    <mergeCell ref="A255:A256"/>
    <mergeCell ref="F255:F256"/>
    <mergeCell ref="H255:H256"/>
    <mergeCell ref="J255:J256"/>
    <mergeCell ref="L255:L256"/>
    <mergeCell ref="AD251:AD252"/>
    <mergeCell ref="A253:A254"/>
    <mergeCell ref="F253:F254"/>
    <mergeCell ref="H253:H254"/>
    <mergeCell ref="J253:J254"/>
    <mergeCell ref="L253:L254"/>
    <mergeCell ref="N253:N254"/>
    <mergeCell ref="P253:P254"/>
    <mergeCell ref="R253:R254"/>
    <mergeCell ref="T253:T254"/>
    <mergeCell ref="R251:R252"/>
    <mergeCell ref="T251:T252"/>
    <mergeCell ref="V251:V252"/>
    <mergeCell ref="X251:X252"/>
    <mergeCell ref="Z251:Z252"/>
    <mergeCell ref="AB251:AB252"/>
    <mergeCell ref="Z249:Z250"/>
    <mergeCell ref="AB249:AB250"/>
    <mergeCell ref="AD249:AD250"/>
    <mergeCell ref="A251:A252"/>
    <mergeCell ref="F251:F252"/>
    <mergeCell ref="H251:H252"/>
    <mergeCell ref="J251:J252"/>
    <mergeCell ref="L251:L252"/>
    <mergeCell ref="N251:N252"/>
    <mergeCell ref="P251:P252"/>
    <mergeCell ref="N249:N250"/>
    <mergeCell ref="P249:P250"/>
    <mergeCell ref="R249:R250"/>
    <mergeCell ref="T249:T250"/>
    <mergeCell ref="V249:V250"/>
    <mergeCell ref="X249:X250"/>
    <mergeCell ref="V247:V248"/>
    <mergeCell ref="X247:X248"/>
    <mergeCell ref="Z247:Z248"/>
    <mergeCell ref="AB247:AB248"/>
    <mergeCell ref="AD247:AD248"/>
    <mergeCell ref="A249:A250"/>
    <mergeCell ref="F249:F250"/>
    <mergeCell ref="H249:H250"/>
    <mergeCell ref="J249:J250"/>
    <mergeCell ref="L249:L250"/>
    <mergeCell ref="AD245:AD246"/>
    <mergeCell ref="A247:A248"/>
    <mergeCell ref="F247:F248"/>
    <mergeCell ref="H247:H248"/>
    <mergeCell ref="J247:J248"/>
    <mergeCell ref="L247:L248"/>
    <mergeCell ref="N247:N248"/>
    <mergeCell ref="P247:P248"/>
    <mergeCell ref="R247:R248"/>
    <mergeCell ref="T247:T248"/>
    <mergeCell ref="R245:R246"/>
    <mergeCell ref="T245:T246"/>
    <mergeCell ref="V245:V246"/>
    <mergeCell ref="X245:X246"/>
    <mergeCell ref="Z245:Z246"/>
    <mergeCell ref="AB245:AB246"/>
    <mergeCell ref="Z243:Z244"/>
    <mergeCell ref="AB243:AB244"/>
    <mergeCell ref="AD243:AD244"/>
    <mergeCell ref="A245:A246"/>
    <mergeCell ref="F245:F246"/>
    <mergeCell ref="H245:H246"/>
    <mergeCell ref="J245:J246"/>
    <mergeCell ref="L245:L246"/>
    <mergeCell ref="N245:N246"/>
    <mergeCell ref="P245:P246"/>
    <mergeCell ref="N243:N244"/>
    <mergeCell ref="P243:P244"/>
    <mergeCell ref="R243:R244"/>
    <mergeCell ref="T243:T244"/>
    <mergeCell ref="V243:V244"/>
    <mergeCell ref="X243:X244"/>
    <mergeCell ref="V241:V242"/>
    <mergeCell ref="X241:X242"/>
    <mergeCell ref="Z241:Z242"/>
    <mergeCell ref="AB241:AB242"/>
    <mergeCell ref="AD241:AD242"/>
    <mergeCell ref="A243:A244"/>
    <mergeCell ref="F243:F244"/>
    <mergeCell ref="H243:H244"/>
    <mergeCell ref="J243:J244"/>
    <mergeCell ref="L243:L244"/>
    <mergeCell ref="AD239:AD240"/>
    <mergeCell ref="A241:A242"/>
    <mergeCell ref="F241:F242"/>
    <mergeCell ref="H241:H242"/>
    <mergeCell ref="J241:J242"/>
    <mergeCell ref="L241:L242"/>
    <mergeCell ref="N241:N242"/>
    <mergeCell ref="P241:P242"/>
    <mergeCell ref="R241:R242"/>
    <mergeCell ref="T241:T242"/>
    <mergeCell ref="R239:R240"/>
    <mergeCell ref="T239:T240"/>
    <mergeCell ref="V239:V240"/>
    <mergeCell ref="X239:X240"/>
    <mergeCell ref="Z239:Z240"/>
    <mergeCell ref="AB239:AB240"/>
    <mergeCell ref="Z237:Z238"/>
    <mergeCell ref="AB237:AB238"/>
    <mergeCell ref="AD237:AD238"/>
    <mergeCell ref="A239:A240"/>
    <mergeCell ref="F239:F240"/>
    <mergeCell ref="H239:H240"/>
    <mergeCell ref="J239:J240"/>
    <mergeCell ref="L239:L240"/>
    <mergeCell ref="N239:N240"/>
    <mergeCell ref="P239:P240"/>
    <mergeCell ref="N237:N238"/>
    <mergeCell ref="P237:P238"/>
    <mergeCell ref="R237:R238"/>
    <mergeCell ref="T237:T238"/>
    <mergeCell ref="V237:V238"/>
    <mergeCell ref="X237:X238"/>
    <mergeCell ref="V235:V236"/>
    <mergeCell ref="X235:X236"/>
    <mergeCell ref="Z235:Z236"/>
    <mergeCell ref="AB235:AB236"/>
    <mergeCell ref="AD235:AD236"/>
    <mergeCell ref="A237:A238"/>
    <mergeCell ref="F237:F238"/>
    <mergeCell ref="H237:H238"/>
    <mergeCell ref="J237:J238"/>
    <mergeCell ref="L237:L238"/>
    <mergeCell ref="AD233:AD234"/>
    <mergeCell ref="A235:A236"/>
    <mergeCell ref="F235:F236"/>
    <mergeCell ref="H235:H236"/>
    <mergeCell ref="J235:J236"/>
    <mergeCell ref="L235:L236"/>
    <mergeCell ref="N235:N236"/>
    <mergeCell ref="P235:P236"/>
    <mergeCell ref="R235:R236"/>
    <mergeCell ref="T235:T236"/>
    <mergeCell ref="R233:R234"/>
    <mergeCell ref="T233:T234"/>
    <mergeCell ref="V233:V234"/>
    <mergeCell ref="X233:X234"/>
    <mergeCell ref="Z233:Z234"/>
    <mergeCell ref="AB233:AB234"/>
    <mergeCell ref="Z231:Z232"/>
    <mergeCell ref="AB231:AB232"/>
    <mergeCell ref="AD231:AD232"/>
    <mergeCell ref="A233:A234"/>
    <mergeCell ref="F233:F234"/>
    <mergeCell ref="H233:H234"/>
    <mergeCell ref="J233:J234"/>
    <mergeCell ref="L233:L234"/>
    <mergeCell ref="N233:N234"/>
    <mergeCell ref="P233:P234"/>
    <mergeCell ref="N231:N232"/>
    <mergeCell ref="P231:P232"/>
    <mergeCell ref="R231:R232"/>
    <mergeCell ref="T231:T232"/>
    <mergeCell ref="V231:V232"/>
    <mergeCell ref="X231:X232"/>
    <mergeCell ref="V229:V230"/>
    <mergeCell ref="X229:X230"/>
    <mergeCell ref="Z229:Z230"/>
    <mergeCell ref="AB229:AB230"/>
    <mergeCell ref="AD229:AD230"/>
    <mergeCell ref="A231:A232"/>
    <mergeCell ref="F231:F232"/>
    <mergeCell ref="H231:H232"/>
    <mergeCell ref="J231:J232"/>
    <mergeCell ref="L231:L232"/>
    <mergeCell ref="AD227:AD228"/>
    <mergeCell ref="A229:A230"/>
    <mergeCell ref="F229:F230"/>
    <mergeCell ref="H229:H230"/>
    <mergeCell ref="J229:J230"/>
    <mergeCell ref="L229:L230"/>
    <mergeCell ref="N229:N230"/>
    <mergeCell ref="P229:P230"/>
    <mergeCell ref="R229:R230"/>
    <mergeCell ref="T229:T230"/>
    <mergeCell ref="R227:R228"/>
    <mergeCell ref="T227:T228"/>
    <mergeCell ref="V227:V228"/>
    <mergeCell ref="X227:X228"/>
    <mergeCell ref="Z227:Z228"/>
    <mergeCell ref="AB227:AB228"/>
    <mergeCell ref="Z225:Z226"/>
    <mergeCell ref="AB225:AB226"/>
    <mergeCell ref="AD225:AD226"/>
    <mergeCell ref="A227:A228"/>
    <mergeCell ref="F227:F228"/>
    <mergeCell ref="H227:H228"/>
    <mergeCell ref="J227:J228"/>
    <mergeCell ref="L227:L228"/>
    <mergeCell ref="N227:N228"/>
    <mergeCell ref="P227:P228"/>
    <mergeCell ref="N225:N226"/>
    <mergeCell ref="P225:P226"/>
    <mergeCell ref="R225:R226"/>
    <mergeCell ref="T225:T226"/>
    <mergeCell ref="V225:V226"/>
    <mergeCell ref="X225:X226"/>
    <mergeCell ref="V223:V224"/>
    <mergeCell ref="X223:X224"/>
    <mergeCell ref="Z223:Z224"/>
    <mergeCell ref="AB223:AB224"/>
    <mergeCell ref="AD223:AD224"/>
    <mergeCell ref="A225:A226"/>
    <mergeCell ref="F225:F226"/>
    <mergeCell ref="H225:H226"/>
    <mergeCell ref="J225:J226"/>
    <mergeCell ref="L225:L226"/>
    <mergeCell ref="AD221:AD222"/>
    <mergeCell ref="A223:A224"/>
    <mergeCell ref="F223:F224"/>
    <mergeCell ref="H223:H224"/>
    <mergeCell ref="J223:J224"/>
    <mergeCell ref="L223:L224"/>
    <mergeCell ref="N223:N224"/>
    <mergeCell ref="P223:P224"/>
    <mergeCell ref="R223:R224"/>
    <mergeCell ref="T223:T224"/>
    <mergeCell ref="R221:R222"/>
    <mergeCell ref="T221:T222"/>
    <mergeCell ref="V221:V222"/>
    <mergeCell ref="X221:X222"/>
    <mergeCell ref="Z221:Z222"/>
    <mergeCell ref="AB221:AB222"/>
    <mergeCell ref="Z219:Z220"/>
    <mergeCell ref="AB219:AB220"/>
    <mergeCell ref="AD219:AD220"/>
    <mergeCell ref="A221:A222"/>
    <mergeCell ref="F221:F222"/>
    <mergeCell ref="H221:H222"/>
    <mergeCell ref="J221:J222"/>
    <mergeCell ref="L221:L222"/>
    <mergeCell ref="N221:N222"/>
    <mergeCell ref="P221:P222"/>
    <mergeCell ref="N219:N220"/>
    <mergeCell ref="P219:P220"/>
    <mergeCell ref="R219:R220"/>
    <mergeCell ref="T219:T220"/>
    <mergeCell ref="V219:V220"/>
    <mergeCell ref="X219:X220"/>
    <mergeCell ref="V217:V218"/>
    <mergeCell ref="X217:X218"/>
    <mergeCell ref="Z217:Z218"/>
    <mergeCell ref="AB217:AB218"/>
    <mergeCell ref="AD217:AD218"/>
    <mergeCell ref="A219:A220"/>
    <mergeCell ref="F219:F220"/>
    <mergeCell ref="H219:H220"/>
    <mergeCell ref="J219:J220"/>
    <mergeCell ref="L219:L220"/>
    <mergeCell ref="AD215:AD216"/>
    <mergeCell ref="A217:A218"/>
    <mergeCell ref="F217:F218"/>
    <mergeCell ref="H217:H218"/>
    <mergeCell ref="J217:J218"/>
    <mergeCell ref="L217:L218"/>
    <mergeCell ref="N217:N218"/>
    <mergeCell ref="P217:P218"/>
    <mergeCell ref="R217:R218"/>
    <mergeCell ref="T217:T218"/>
    <mergeCell ref="R215:R216"/>
    <mergeCell ref="T215:T216"/>
    <mergeCell ref="V215:V216"/>
    <mergeCell ref="X215:X216"/>
    <mergeCell ref="Z215:Z216"/>
    <mergeCell ref="AB215:AB216"/>
    <mergeCell ref="Z213:Z214"/>
    <mergeCell ref="AB213:AB214"/>
    <mergeCell ref="AD213:AD214"/>
    <mergeCell ref="A215:A216"/>
    <mergeCell ref="F215:F216"/>
    <mergeCell ref="H215:H216"/>
    <mergeCell ref="J215:J216"/>
    <mergeCell ref="L215:L216"/>
    <mergeCell ref="N215:N216"/>
    <mergeCell ref="P215:P216"/>
    <mergeCell ref="N213:N214"/>
    <mergeCell ref="P213:P214"/>
    <mergeCell ref="R213:R214"/>
    <mergeCell ref="T213:T214"/>
    <mergeCell ref="V213:V214"/>
    <mergeCell ref="X213:X214"/>
    <mergeCell ref="V211:V212"/>
    <mergeCell ref="X211:X212"/>
    <mergeCell ref="Z211:Z212"/>
    <mergeCell ref="AB211:AB212"/>
    <mergeCell ref="AD211:AD212"/>
    <mergeCell ref="A213:A214"/>
    <mergeCell ref="F213:F214"/>
    <mergeCell ref="H213:H214"/>
    <mergeCell ref="J213:J214"/>
    <mergeCell ref="L213:L214"/>
    <mergeCell ref="AD209:AD210"/>
    <mergeCell ref="A211:A212"/>
    <mergeCell ref="F211:F212"/>
    <mergeCell ref="H211:H212"/>
    <mergeCell ref="J211:J212"/>
    <mergeCell ref="L211:L212"/>
    <mergeCell ref="N211:N212"/>
    <mergeCell ref="P211:P212"/>
    <mergeCell ref="R211:R212"/>
    <mergeCell ref="T211:T212"/>
    <mergeCell ref="R209:R210"/>
    <mergeCell ref="T209:T210"/>
    <mergeCell ref="V209:V210"/>
    <mergeCell ref="X209:X210"/>
    <mergeCell ref="Z209:Z210"/>
    <mergeCell ref="AB209:AB210"/>
    <mergeCell ref="Z207:Z208"/>
    <mergeCell ref="AB207:AB208"/>
    <mergeCell ref="AD207:AD208"/>
    <mergeCell ref="A209:A210"/>
    <mergeCell ref="F209:F210"/>
    <mergeCell ref="H209:H210"/>
    <mergeCell ref="J209:J210"/>
    <mergeCell ref="L209:L210"/>
    <mergeCell ref="N209:N210"/>
    <mergeCell ref="P209:P210"/>
    <mergeCell ref="N207:N208"/>
    <mergeCell ref="P207:P208"/>
    <mergeCell ref="R207:R208"/>
    <mergeCell ref="T207:T208"/>
    <mergeCell ref="V207:V208"/>
    <mergeCell ref="X207:X208"/>
    <mergeCell ref="V205:V206"/>
    <mergeCell ref="X205:X206"/>
    <mergeCell ref="Z205:Z206"/>
    <mergeCell ref="AB205:AB206"/>
    <mergeCell ref="AD205:AD206"/>
    <mergeCell ref="A207:A208"/>
    <mergeCell ref="F207:F208"/>
    <mergeCell ref="H207:H208"/>
    <mergeCell ref="J207:J208"/>
    <mergeCell ref="L207:L208"/>
    <mergeCell ref="AD203:AD204"/>
    <mergeCell ref="A205:A206"/>
    <mergeCell ref="F205:F206"/>
    <mergeCell ref="H205:H206"/>
    <mergeCell ref="J205:J206"/>
    <mergeCell ref="L205:L206"/>
    <mergeCell ref="N205:N206"/>
    <mergeCell ref="P205:P206"/>
    <mergeCell ref="R205:R206"/>
    <mergeCell ref="T205:T206"/>
    <mergeCell ref="R203:R204"/>
    <mergeCell ref="T203:T204"/>
    <mergeCell ref="V203:V204"/>
    <mergeCell ref="X203:X204"/>
    <mergeCell ref="Z203:Z204"/>
    <mergeCell ref="AB203:AB204"/>
    <mergeCell ref="Z201:Z202"/>
    <mergeCell ref="AB201:AB202"/>
    <mergeCell ref="AD201:AD202"/>
    <mergeCell ref="A203:A204"/>
    <mergeCell ref="F203:F204"/>
    <mergeCell ref="H203:H204"/>
    <mergeCell ref="J203:J204"/>
    <mergeCell ref="L203:L204"/>
    <mergeCell ref="N203:N204"/>
    <mergeCell ref="P203:P204"/>
    <mergeCell ref="N201:N202"/>
    <mergeCell ref="P201:P202"/>
    <mergeCell ref="R201:R202"/>
    <mergeCell ref="T201:T202"/>
    <mergeCell ref="V201:V202"/>
    <mergeCell ref="X201:X202"/>
    <mergeCell ref="V199:V200"/>
    <mergeCell ref="X199:X200"/>
    <mergeCell ref="Z199:Z200"/>
    <mergeCell ref="AB199:AB200"/>
    <mergeCell ref="AD199:AD200"/>
    <mergeCell ref="A201:A202"/>
    <mergeCell ref="F201:F202"/>
    <mergeCell ref="H201:H202"/>
    <mergeCell ref="J201:J202"/>
    <mergeCell ref="L201:L202"/>
    <mergeCell ref="AD197:AD198"/>
    <mergeCell ref="A199:A200"/>
    <mergeCell ref="F199:F200"/>
    <mergeCell ref="H199:H200"/>
    <mergeCell ref="J199:J200"/>
    <mergeCell ref="L199:L200"/>
    <mergeCell ref="N199:N200"/>
    <mergeCell ref="P199:P200"/>
    <mergeCell ref="R199:R200"/>
    <mergeCell ref="T199:T200"/>
    <mergeCell ref="R197:R198"/>
    <mergeCell ref="T197:T198"/>
    <mergeCell ref="V197:V198"/>
    <mergeCell ref="X197:X198"/>
    <mergeCell ref="Z197:Z198"/>
    <mergeCell ref="AB197:AB198"/>
    <mergeCell ref="Z195:Z196"/>
    <mergeCell ref="AB195:AB196"/>
    <mergeCell ref="AD195:AD196"/>
    <mergeCell ref="A197:A198"/>
    <mergeCell ref="F197:F198"/>
    <mergeCell ref="H197:H198"/>
    <mergeCell ref="J197:J198"/>
    <mergeCell ref="L197:L198"/>
    <mergeCell ref="N197:N198"/>
    <mergeCell ref="P197:P198"/>
    <mergeCell ref="N195:N196"/>
    <mergeCell ref="P195:P196"/>
    <mergeCell ref="R195:R196"/>
    <mergeCell ref="T195:T196"/>
    <mergeCell ref="V195:V196"/>
    <mergeCell ref="X195:X196"/>
    <mergeCell ref="V193:V194"/>
    <mergeCell ref="X193:X194"/>
    <mergeCell ref="Z193:Z194"/>
    <mergeCell ref="AB193:AB194"/>
    <mergeCell ref="AD193:AD194"/>
    <mergeCell ref="A195:A196"/>
    <mergeCell ref="F195:F196"/>
    <mergeCell ref="H195:H196"/>
    <mergeCell ref="J195:J196"/>
    <mergeCell ref="L195:L196"/>
    <mergeCell ref="AD191:AD192"/>
    <mergeCell ref="A193:A194"/>
    <mergeCell ref="F193:F194"/>
    <mergeCell ref="H193:H194"/>
    <mergeCell ref="J193:J194"/>
    <mergeCell ref="L193:L194"/>
    <mergeCell ref="N193:N194"/>
    <mergeCell ref="P193:P194"/>
    <mergeCell ref="R193:R194"/>
    <mergeCell ref="T193:T194"/>
    <mergeCell ref="R191:R192"/>
    <mergeCell ref="T191:T192"/>
    <mergeCell ref="V191:V192"/>
    <mergeCell ref="X191:X192"/>
    <mergeCell ref="Z191:Z192"/>
    <mergeCell ref="AB191:AB192"/>
    <mergeCell ref="Z189:Z190"/>
    <mergeCell ref="AB189:AB190"/>
    <mergeCell ref="AD189:AD190"/>
    <mergeCell ref="A191:A192"/>
    <mergeCell ref="F191:F192"/>
    <mergeCell ref="H191:H192"/>
    <mergeCell ref="J191:J192"/>
    <mergeCell ref="L191:L192"/>
    <mergeCell ref="N191:N192"/>
    <mergeCell ref="P191:P192"/>
    <mergeCell ref="N189:N190"/>
    <mergeCell ref="P189:P190"/>
    <mergeCell ref="R189:R190"/>
    <mergeCell ref="T189:T190"/>
    <mergeCell ref="V189:V190"/>
    <mergeCell ref="X189:X190"/>
    <mergeCell ref="V187:V188"/>
    <mergeCell ref="X187:X188"/>
    <mergeCell ref="Z187:Z188"/>
    <mergeCell ref="AB187:AB188"/>
    <mergeCell ref="AD187:AD188"/>
    <mergeCell ref="A189:A190"/>
    <mergeCell ref="F189:F190"/>
    <mergeCell ref="H189:H190"/>
    <mergeCell ref="J189:J190"/>
    <mergeCell ref="L189:L190"/>
    <mergeCell ref="AD185:AD186"/>
    <mergeCell ref="A187:A188"/>
    <mergeCell ref="F187:F188"/>
    <mergeCell ref="H187:H188"/>
    <mergeCell ref="J187:J188"/>
    <mergeCell ref="L187:L188"/>
    <mergeCell ref="N187:N188"/>
    <mergeCell ref="P187:P188"/>
    <mergeCell ref="R187:R188"/>
    <mergeCell ref="T187:T188"/>
    <mergeCell ref="R185:R186"/>
    <mergeCell ref="T185:T186"/>
    <mergeCell ref="V185:V186"/>
    <mergeCell ref="X185:X186"/>
    <mergeCell ref="Z185:Z186"/>
    <mergeCell ref="AB185:AB186"/>
    <mergeCell ref="Z183:Z184"/>
    <mergeCell ref="AB183:AB184"/>
    <mergeCell ref="AD183:AD184"/>
    <mergeCell ref="A185:A186"/>
    <mergeCell ref="F185:F186"/>
    <mergeCell ref="H185:H186"/>
    <mergeCell ref="J185:J186"/>
    <mergeCell ref="L185:L186"/>
    <mergeCell ref="N185:N186"/>
    <mergeCell ref="P185:P186"/>
    <mergeCell ref="N183:N184"/>
    <mergeCell ref="P183:P184"/>
    <mergeCell ref="R183:R184"/>
    <mergeCell ref="T183:T184"/>
    <mergeCell ref="V183:V184"/>
    <mergeCell ref="X183:X184"/>
    <mergeCell ref="V181:V182"/>
    <mergeCell ref="X181:X182"/>
    <mergeCell ref="Z181:Z182"/>
    <mergeCell ref="AB181:AB182"/>
    <mergeCell ref="AD181:AD182"/>
    <mergeCell ref="A183:A184"/>
    <mergeCell ref="F183:F184"/>
    <mergeCell ref="H183:H184"/>
    <mergeCell ref="J183:J184"/>
    <mergeCell ref="L183:L184"/>
    <mergeCell ref="AD179:AD180"/>
    <mergeCell ref="A181:A182"/>
    <mergeCell ref="F181:F182"/>
    <mergeCell ref="H181:H182"/>
    <mergeCell ref="J181:J182"/>
    <mergeCell ref="L181:L182"/>
    <mergeCell ref="N181:N182"/>
    <mergeCell ref="P181:P182"/>
    <mergeCell ref="R181:R182"/>
    <mergeCell ref="T181:T182"/>
    <mergeCell ref="R179:R180"/>
    <mergeCell ref="T179:T180"/>
    <mergeCell ref="V179:V180"/>
    <mergeCell ref="X179:X180"/>
    <mergeCell ref="Z179:Z180"/>
    <mergeCell ref="AB179:AB180"/>
    <mergeCell ref="Z177:Z178"/>
    <mergeCell ref="AB177:AB178"/>
    <mergeCell ref="AD177:AD178"/>
    <mergeCell ref="A179:A180"/>
    <mergeCell ref="F179:F180"/>
    <mergeCell ref="H179:H180"/>
    <mergeCell ref="J179:J180"/>
    <mergeCell ref="L179:L180"/>
    <mergeCell ref="N179:N180"/>
    <mergeCell ref="P179:P180"/>
    <mergeCell ref="N177:N178"/>
    <mergeCell ref="P177:P178"/>
    <mergeCell ref="R177:R178"/>
    <mergeCell ref="T177:T178"/>
    <mergeCell ref="V177:V178"/>
    <mergeCell ref="X177:X178"/>
    <mergeCell ref="V175:V176"/>
    <mergeCell ref="X175:X176"/>
    <mergeCell ref="Z175:Z176"/>
    <mergeCell ref="AB175:AB176"/>
    <mergeCell ref="AD175:AD176"/>
    <mergeCell ref="A177:A178"/>
    <mergeCell ref="F177:F178"/>
    <mergeCell ref="H177:H178"/>
    <mergeCell ref="J177:J178"/>
    <mergeCell ref="L177:L178"/>
    <mergeCell ref="AD173:AD174"/>
    <mergeCell ref="A175:A176"/>
    <mergeCell ref="F175:F176"/>
    <mergeCell ref="H175:H176"/>
    <mergeCell ref="J175:J176"/>
    <mergeCell ref="L175:L176"/>
    <mergeCell ref="N175:N176"/>
    <mergeCell ref="P175:P176"/>
    <mergeCell ref="R175:R176"/>
    <mergeCell ref="T175:T176"/>
    <mergeCell ref="R173:R174"/>
    <mergeCell ref="T173:T174"/>
    <mergeCell ref="V173:V174"/>
    <mergeCell ref="X173:X174"/>
    <mergeCell ref="Z173:Z174"/>
    <mergeCell ref="AB173:AB174"/>
    <mergeCell ref="Z171:Z172"/>
    <mergeCell ref="AB171:AB172"/>
    <mergeCell ref="AD171:AD172"/>
    <mergeCell ref="A173:A174"/>
    <mergeCell ref="F173:F174"/>
    <mergeCell ref="H173:H174"/>
    <mergeCell ref="J173:J174"/>
    <mergeCell ref="L173:L174"/>
    <mergeCell ref="N173:N174"/>
    <mergeCell ref="P173:P174"/>
    <mergeCell ref="N171:N172"/>
    <mergeCell ref="P171:P172"/>
    <mergeCell ref="R171:R172"/>
    <mergeCell ref="T171:T172"/>
    <mergeCell ref="V171:V172"/>
    <mergeCell ref="X171:X172"/>
    <mergeCell ref="V169:V170"/>
    <mergeCell ref="X169:X170"/>
    <mergeCell ref="Z169:Z170"/>
    <mergeCell ref="AB169:AB170"/>
    <mergeCell ref="AD169:AD170"/>
    <mergeCell ref="A171:A172"/>
    <mergeCell ref="F171:F172"/>
    <mergeCell ref="H171:H172"/>
    <mergeCell ref="J171:J172"/>
    <mergeCell ref="L171:L172"/>
    <mergeCell ref="AD167:AD168"/>
    <mergeCell ref="A169:A170"/>
    <mergeCell ref="F169:F170"/>
    <mergeCell ref="H169:H170"/>
    <mergeCell ref="J169:J170"/>
    <mergeCell ref="L169:L170"/>
    <mergeCell ref="N169:N170"/>
    <mergeCell ref="P169:P170"/>
    <mergeCell ref="R169:R170"/>
    <mergeCell ref="T169:T170"/>
    <mergeCell ref="R167:R168"/>
    <mergeCell ref="T167:T168"/>
    <mergeCell ref="V167:V168"/>
    <mergeCell ref="X167:X168"/>
    <mergeCell ref="Z167:Z168"/>
    <mergeCell ref="AB167:AB168"/>
    <mergeCell ref="Z165:Z166"/>
    <mergeCell ref="AB165:AB166"/>
    <mergeCell ref="AD165:AD166"/>
    <mergeCell ref="A167:A168"/>
    <mergeCell ref="F167:F168"/>
    <mergeCell ref="H167:H168"/>
    <mergeCell ref="J167:J168"/>
    <mergeCell ref="L167:L168"/>
    <mergeCell ref="N167:N168"/>
    <mergeCell ref="P167:P168"/>
    <mergeCell ref="N165:N166"/>
    <mergeCell ref="P165:P166"/>
    <mergeCell ref="R165:R166"/>
    <mergeCell ref="T165:T166"/>
    <mergeCell ref="V165:V166"/>
    <mergeCell ref="X165:X166"/>
    <mergeCell ref="V163:V164"/>
    <mergeCell ref="X163:X164"/>
    <mergeCell ref="Z163:Z164"/>
    <mergeCell ref="AB163:AB164"/>
    <mergeCell ref="AD163:AD164"/>
    <mergeCell ref="A165:A166"/>
    <mergeCell ref="F165:F166"/>
    <mergeCell ref="H165:H166"/>
    <mergeCell ref="J165:J166"/>
    <mergeCell ref="L165:L166"/>
    <mergeCell ref="AD161:AD162"/>
    <mergeCell ref="A163:A164"/>
    <mergeCell ref="F163:F164"/>
    <mergeCell ref="H163:H164"/>
    <mergeCell ref="J163:J164"/>
    <mergeCell ref="L163:L164"/>
    <mergeCell ref="N163:N164"/>
    <mergeCell ref="P163:P164"/>
    <mergeCell ref="R163:R164"/>
    <mergeCell ref="T163:T164"/>
    <mergeCell ref="R161:R162"/>
    <mergeCell ref="T161:T162"/>
    <mergeCell ref="V161:V162"/>
    <mergeCell ref="X161:X162"/>
    <mergeCell ref="Z161:Z162"/>
    <mergeCell ref="AB161:AB162"/>
    <mergeCell ref="Z159:Z160"/>
    <mergeCell ref="AB159:AB160"/>
    <mergeCell ref="AD159:AD160"/>
    <mergeCell ref="A161:A162"/>
    <mergeCell ref="F161:F162"/>
    <mergeCell ref="H161:H162"/>
    <mergeCell ref="J161:J162"/>
    <mergeCell ref="L161:L162"/>
    <mergeCell ref="N161:N162"/>
    <mergeCell ref="P161:P162"/>
    <mergeCell ref="N159:N160"/>
    <mergeCell ref="P159:P160"/>
    <mergeCell ref="R159:R160"/>
    <mergeCell ref="T159:T160"/>
    <mergeCell ref="V159:V160"/>
    <mergeCell ref="X159:X160"/>
    <mergeCell ref="V157:V158"/>
    <mergeCell ref="X157:X158"/>
    <mergeCell ref="Z157:Z158"/>
    <mergeCell ref="AB157:AB158"/>
    <mergeCell ref="AD157:AD158"/>
    <mergeCell ref="A159:A160"/>
    <mergeCell ref="F159:F160"/>
    <mergeCell ref="H159:H160"/>
    <mergeCell ref="J159:J160"/>
    <mergeCell ref="L159:L160"/>
    <mergeCell ref="AD155:AD156"/>
    <mergeCell ref="A157:A158"/>
    <mergeCell ref="F157:F158"/>
    <mergeCell ref="H157:H158"/>
    <mergeCell ref="J157:J158"/>
    <mergeCell ref="L157:L158"/>
    <mergeCell ref="N157:N158"/>
    <mergeCell ref="P157:P158"/>
    <mergeCell ref="R157:R158"/>
    <mergeCell ref="T157:T158"/>
    <mergeCell ref="R155:R156"/>
    <mergeCell ref="T155:T156"/>
    <mergeCell ref="V155:V156"/>
    <mergeCell ref="X155:X156"/>
    <mergeCell ref="Z155:Z156"/>
    <mergeCell ref="AB155:AB156"/>
    <mergeCell ref="Z153:Z154"/>
    <mergeCell ref="AB153:AB154"/>
    <mergeCell ref="AD153:AD154"/>
    <mergeCell ref="A155:A156"/>
    <mergeCell ref="F155:F156"/>
    <mergeCell ref="H155:H156"/>
    <mergeCell ref="J155:J156"/>
    <mergeCell ref="L155:L156"/>
    <mergeCell ref="N155:N156"/>
    <mergeCell ref="P155:P156"/>
    <mergeCell ref="N153:N154"/>
    <mergeCell ref="P153:P154"/>
    <mergeCell ref="R153:R154"/>
    <mergeCell ref="T153:T154"/>
    <mergeCell ref="V153:V154"/>
    <mergeCell ref="X153:X154"/>
    <mergeCell ref="V151:V152"/>
    <mergeCell ref="X151:X152"/>
    <mergeCell ref="Z151:Z152"/>
    <mergeCell ref="AB151:AB152"/>
    <mergeCell ref="AD151:AD152"/>
    <mergeCell ref="A153:A154"/>
    <mergeCell ref="F153:F154"/>
    <mergeCell ref="H153:H154"/>
    <mergeCell ref="J153:J154"/>
    <mergeCell ref="L153:L154"/>
    <mergeCell ref="AD149:AD150"/>
    <mergeCell ref="A151:A152"/>
    <mergeCell ref="F151:F152"/>
    <mergeCell ref="H151:H152"/>
    <mergeCell ref="J151:J152"/>
    <mergeCell ref="L151:L152"/>
    <mergeCell ref="N151:N152"/>
    <mergeCell ref="P151:P152"/>
    <mergeCell ref="R151:R152"/>
    <mergeCell ref="T151:T152"/>
    <mergeCell ref="R149:R150"/>
    <mergeCell ref="T149:T150"/>
    <mergeCell ref="V149:V150"/>
    <mergeCell ref="X149:X150"/>
    <mergeCell ref="Z149:Z150"/>
    <mergeCell ref="AB149:AB150"/>
    <mergeCell ref="Z147:Z148"/>
    <mergeCell ref="AB147:AB148"/>
    <mergeCell ref="AD147:AD148"/>
    <mergeCell ref="A149:A150"/>
    <mergeCell ref="F149:F150"/>
    <mergeCell ref="H149:H150"/>
    <mergeCell ref="J149:J150"/>
    <mergeCell ref="L149:L150"/>
    <mergeCell ref="N149:N150"/>
    <mergeCell ref="P149:P150"/>
    <mergeCell ref="N147:N148"/>
    <mergeCell ref="P147:P148"/>
    <mergeCell ref="R147:R148"/>
    <mergeCell ref="T147:T148"/>
    <mergeCell ref="V147:V148"/>
    <mergeCell ref="X147:X148"/>
    <mergeCell ref="V145:V146"/>
    <mergeCell ref="X145:X146"/>
    <mergeCell ref="Z145:Z146"/>
    <mergeCell ref="AB145:AB146"/>
    <mergeCell ref="AD145:AD146"/>
    <mergeCell ref="A147:A148"/>
    <mergeCell ref="F147:F148"/>
    <mergeCell ref="H147:H148"/>
    <mergeCell ref="J147:J148"/>
    <mergeCell ref="L147:L148"/>
    <mergeCell ref="AD143:AD144"/>
    <mergeCell ref="A145:A146"/>
    <mergeCell ref="F145:F146"/>
    <mergeCell ref="H145:H146"/>
    <mergeCell ref="J145:J146"/>
    <mergeCell ref="L145:L146"/>
    <mergeCell ref="N145:N146"/>
    <mergeCell ref="P145:P146"/>
    <mergeCell ref="R145:R146"/>
    <mergeCell ref="T145:T146"/>
    <mergeCell ref="R143:R144"/>
    <mergeCell ref="T143:T144"/>
    <mergeCell ref="V143:V144"/>
    <mergeCell ref="X143:X144"/>
    <mergeCell ref="Z143:Z144"/>
    <mergeCell ref="AB143:AB144"/>
    <mergeCell ref="Z141:Z142"/>
    <mergeCell ref="AB141:AB142"/>
    <mergeCell ref="AD141:AD142"/>
    <mergeCell ref="A143:A144"/>
    <mergeCell ref="F143:F144"/>
    <mergeCell ref="H143:H144"/>
    <mergeCell ref="J143:J144"/>
    <mergeCell ref="L143:L144"/>
    <mergeCell ref="N143:N144"/>
    <mergeCell ref="P143:P144"/>
    <mergeCell ref="N141:N142"/>
    <mergeCell ref="P141:P142"/>
    <mergeCell ref="R141:R142"/>
    <mergeCell ref="T141:T142"/>
    <mergeCell ref="V141:V142"/>
    <mergeCell ref="X141:X142"/>
    <mergeCell ref="V139:V140"/>
    <mergeCell ref="X139:X140"/>
    <mergeCell ref="Z139:Z140"/>
    <mergeCell ref="AB139:AB140"/>
    <mergeCell ref="AD139:AD140"/>
    <mergeCell ref="A141:A142"/>
    <mergeCell ref="F141:F142"/>
    <mergeCell ref="H141:H142"/>
    <mergeCell ref="J141:J142"/>
    <mergeCell ref="L141:L142"/>
    <mergeCell ref="AD137:AD138"/>
    <mergeCell ref="A139:A140"/>
    <mergeCell ref="F139:F140"/>
    <mergeCell ref="H139:H140"/>
    <mergeCell ref="J139:J140"/>
    <mergeCell ref="L139:L140"/>
    <mergeCell ref="N139:N140"/>
    <mergeCell ref="P139:P140"/>
    <mergeCell ref="R139:R140"/>
    <mergeCell ref="T139:T140"/>
    <mergeCell ref="R137:R138"/>
    <mergeCell ref="T137:T138"/>
    <mergeCell ref="V137:V138"/>
    <mergeCell ref="X137:X138"/>
    <mergeCell ref="Z137:Z138"/>
    <mergeCell ref="AB137:AB138"/>
    <mergeCell ref="Z135:Z136"/>
    <mergeCell ref="AB135:AB136"/>
    <mergeCell ref="AD135:AD136"/>
    <mergeCell ref="A137:A138"/>
    <mergeCell ref="F137:F138"/>
    <mergeCell ref="H137:H138"/>
    <mergeCell ref="J137:J138"/>
    <mergeCell ref="L137:L138"/>
    <mergeCell ref="N137:N138"/>
    <mergeCell ref="P137:P138"/>
    <mergeCell ref="N135:N136"/>
    <mergeCell ref="P135:P136"/>
    <mergeCell ref="R135:R136"/>
    <mergeCell ref="T135:T136"/>
    <mergeCell ref="V135:V136"/>
    <mergeCell ref="X135:X136"/>
    <mergeCell ref="V133:V134"/>
    <mergeCell ref="X133:X134"/>
    <mergeCell ref="Z133:Z134"/>
    <mergeCell ref="AB133:AB134"/>
    <mergeCell ref="AD133:AD134"/>
    <mergeCell ref="A135:A136"/>
    <mergeCell ref="F135:F136"/>
    <mergeCell ref="H135:H136"/>
    <mergeCell ref="J135:J136"/>
    <mergeCell ref="L135:L136"/>
    <mergeCell ref="AD131:AD132"/>
    <mergeCell ref="A133:A134"/>
    <mergeCell ref="F133:F134"/>
    <mergeCell ref="H133:H134"/>
    <mergeCell ref="J133:J134"/>
    <mergeCell ref="L133:L134"/>
    <mergeCell ref="N133:N134"/>
    <mergeCell ref="P133:P134"/>
    <mergeCell ref="R133:R134"/>
    <mergeCell ref="T133:T134"/>
    <mergeCell ref="R131:R132"/>
    <mergeCell ref="T131:T132"/>
    <mergeCell ref="V131:V132"/>
    <mergeCell ref="X131:X132"/>
    <mergeCell ref="Z131:Z132"/>
    <mergeCell ref="AB131:AB132"/>
    <mergeCell ref="Z129:Z130"/>
    <mergeCell ref="AB129:AB130"/>
    <mergeCell ref="AD129:AD130"/>
    <mergeCell ref="A131:A132"/>
    <mergeCell ref="F131:F132"/>
    <mergeCell ref="H131:H132"/>
    <mergeCell ref="J131:J132"/>
    <mergeCell ref="L131:L132"/>
    <mergeCell ref="N131:N132"/>
    <mergeCell ref="P131:P132"/>
    <mergeCell ref="N129:N130"/>
    <mergeCell ref="P129:P130"/>
    <mergeCell ref="R129:R130"/>
    <mergeCell ref="T129:T130"/>
    <mergeCell ref="V129:V130"/>
    <mergeCell ref="X129:X130"/>
    <mergeCell ref="V127:V128"/>
    <mergeCell ref="X127:X128"/>
    <mergeCell ref="Z127:Z128"/>
    <mergeCell ref="AB127:AB128"/>
    <mergeCell ref="AD127:AD128"/>
    <mergeCell ref="A129:A130"/>
    <mergeCell ref="F129:F130"/>
    <mergeCell ref="H129:H130"/>
    <mergeCell ref="J129:J130"/>
    <mergeCell ref="L129:L130"/>
    <mergeCell ref="AD125:AD126"/>
    <mergeCell ref="A127:A128"/>
    <mergeCell ref="F127:F128"/>
    <mergeCell ref="H127:H128"/>
    <mergeCell ref="J127:J128"/>
    <mergeCell ref="L127:L128"/>
    <mergeCell ref="N127:N128"/>
    <mergeCell ref="P127:P128"/>
    <mergeCell ref="R127:R128"/>
    <mergeCell ref="T127:T128"/>
    <mergeCell ref="R125:R126"/>
    <mergeCell ref="T125:T126"/>
    <mergeCell ref="V125:V126"/>
    <mergeCell ref="X125:X126"/>
    <mergeCell ref="Z125:Z126"/>
    <mergeCell ref="AB125:AB126"/>
    <mergeCell ref="Z123:Z124"/>
    <mergeCell ref="AB123:AB124"/>
    <mergeCell ref="AD123:AD124"/>
    <mergeCell ref="A125:A126"/>
    <mergeCell ref="F125:F126"/>
    <mergeCell ref="H125:H126"/>
    <mergeCell ref="J125:J126"/>
    <mergeCell ref="L125:L126"/>
    <mergeCell ref="N125:N126"/>
    <mergeCell ref="P125:P126"/>
    <mergeCell ref="N123:N124"/>
    <mergeCell ref="P123:P124"/>
    <mergeCell ref="R123:R124"/>
    <mergeCell ref="T123:T124"/>
    <mergeCell ref="V123:V124"/>
    <mergeCell ref="X123:X124"/>
    <mergeCell ref="V121:V122"/>
    <mergeCell ref="X121:X122"/>
    <mergeCell ref="Z121:Z122"/>
    <mergeCell ref="AB121:AB122"/>
    <mergeCell ref="AD121:AD122"/>
    <mergeCell ref="A123:A124"/>
    <mergeCell ref="F123:F124"/>
    <mergeCell ref="H123:H124"/>
    <mergeCell ref="J123:J124"/>
    <mergeCell ref="L123:L124"/>
    <mergeCell ref="AD119:AD120"/>
    <mergeCell ref="A121:A122"/>
    <mergeCell ref="F121:F122"/>
    <mergeCell ref="H121:H122"/>
    <mergeCell ref="J121:J122"/>
    <mergeCell ref="L121:L122"/>
    <mergeCell ref="N121:N122"/>
    <mergeCell ref="P121:P122"/>
    <mergeCell ref="R121:R122"/>
    <mergeCell ref="T121:T122"/>
    <mergeCell ref="R119:R120"/>
    <mergeCell ref="T119:T120"/>
    <mergeCell ref="V119:V120"/>
    <mergeCell ref="X119:X120"/>
    <mergeCell ref="Z119:Z120"/>
    <mergeCell ref="AB119:AB120"/>
    <mergeCell ref="Z117:Z118"/>
    <mergeCell ref="AB117:AB118"/>
    <mergeCell ref="AD117:AD118"/>
    <mergeCell ref="A119:A120"/>
    <mergeCell ref="F119:F120"/>
    <mergeCell ref="H119:H120"/>
    <mergeCell ref="J119:J120"/>
    <mergeCell ref="L119:L120"/>
    <mergeCell ref="N119:N120"/>
    <mergeCell ref="P119:P120"/>
    <mergeCell ref="N117:N118"/>
    <mergeCell ref="P117:P118"/>
    <mergeCell ref="R117:R118"/>
    <mergeCell ref="T117:T118"/>
    <mergeCell ref="V117:V118"/>
    <mergeCell ref="X117:X118"/>
    <mergeCell ref="V115:V116"/>
    <mergeCell ref="X115:X116"/>
    <mergeCell ref="Z115:Z116"/>
    <mergeCell ref="AB115:AB116"/>
    <mergeCell ref="AD115:AD116"/>
    <mergeCell ref="A117:A118"/>
    <mergeCell ref="F117:F118"/>
    <mergeCell ref="H117:H118"/>
    <mergeCell ref="J117:J118"/>
    <mergeCell ref="L117:L118"/>
    <mergeCell ref="AD113:AD114"/>
    <mergeCell ref="A115:A116"/>
    <mergeCell ref="F115:F116"/>
    <mergeCell ref="H115:H116"/>
    <mergeCell ref="J115:J116"/>
    <mergeCell ref="L115:L116"/>
    <mergeCell ref="N115:N116"/>
    <mergeCell ref="P115:P116"/>
    <mergeCell ref="R115:R116"/>
    <mergeCell ref="T115:T116"/>
    <mergeCell ref="R113:R114"/>
    <mergeCell ref="T113:T114"/>
    <mergeCell ref="V113:V114"/>
    <mergeCell ref="X113:X114"/>
    <mergeCell ref="Z113:Z114"/>
    <mergeCell ref="AB113:AB114"/>
    <mergeCell ref="Z111:Z112"/>
    <mergeCell ref="AB111:AB112"/>
    <mergeCell ref="AD111:AD112"/>
    <mergeCell ref="A113:A114"/>
    <mergeCell ref="F113:F114"/>
    <mergeCell ref="H113:H114"/>
    <mergeCell ref="J113:J114"/>
    <mergeCell ref="L113:L114"/>
    <mergeCell ref="N113:N114"/>
    <mergeCell ref="P113:P114"/>
    <mergeCell ref="N111:N112"/>
    <mergeCell ref="P111:P112"/>
    <mergeCell ref="R111:R112"/>
    <mergeCell ref="T111:T112"/>
    <mergeCell ref="V111:V112"/>
    <mergeCell ref="X111:X112"/>
    <mergeCell ref="V109:V110"/>
    <mergeCell ref="X109:X110"/>
    <mergeCell ref="Z109:Z110"/>
    <mergeCell ref="AB109:AB110"/>
    <mergeCell ref="AD109:AD110"/>
    <mergeCell ref="A111:A112"/>
    <mergeCell ref="F111:F112"/>
    <mergeCell ref="H111:H112"/>
    <mergeCell ref="J111:J112"/>
    <mergeCell ref="L111:L112"/>
    <mergeCell ref="AD107:AD108"/>
    <mergeCell ref="A109:A110"/>
    <mergeCell ref="F109:F110"/>
    <mergeCell ref="H109:H110"/>
    <mergeCell ref="J109:J110"/>
    <mergeCell ref="L109:L110"/>
    <mergeCell ref="N109:N110"/>
    <mergeCell ref="P109:P110"/>
    <mergeCell ref="R109:R110"/>
    <mergeCell ref="T109:T110"/>
    <mergeCell ref="R107:R108"/>
    <mergeCell ref="T107:T108"/>
    <mergeCell ref="V107:V108"/>
    <mergeCell ref="X107:X108"/>
    <mergeCell ref="Z107:Z108"/>
    <mergeCell ref="AB107:AB108"/>
    <mergeCell ref="Z105:Z106"/>
    <mergeCell ref="AB105:AB106"/>
    <mergeCell ref="AD105:AD106"/>
    <mergeCell ref="A107:A108"/>
    <mergeCell ref="F107:F108"/>
    <mergeCell ref="H107:H108"/>
    <mergeCell ref="J107:J108"/>
    <mergeCell ref="L107:L108"/>
    <mergeCell ref="N107:N108"/>
    <mergeCell ref="P107:P108"/>
    <mergeCell ref="N105:N106"/>
    <mergeCell ref="P105:P106"/>
    <mergeCell ref="R105:R106"/>
    <mergeCell ref="T105:T106"/>
    <mergeCell ref="V105:V106"/>
    <mergeCell ref="X105:X106"/>
    <mergeCell ref="V103:V104"/>
    <mergeCell ref="X103:X104"/>
    <mergeCell ref="Z103:Z104"/>
    <mergeCell ref="AB103:AB104"/>
    <mergeCell ref="AD103:AD104"/>
    <mergeCell ref="A105:A106"/>
    <mergeCell ref="F105:F106"/>
    <mergeCell ref="H105:H106"/>
    <mergeCell ref="J105:J106"/>
    <mergeCell ref="L105:L106"/>
    <mergeCell ref="AD101:AD102"/>
    <mergeCell ref="A103:A104"/>
    <mergeCell ref="F103:F104"/>
    <mergeCell ref="H103:H104"/>
    <mergeCell ref="J103:J104"/>
    <mergeCell ref="L103:L104"/>
    <mergeCell ref="N103:N104"/>
    <mergeCell ref="P103:P104"/>
    <mergeCell ref="R103:R104"/>
    <mergeCell ref="T103:T104"/>
    <mergeCell ref="R101:R102"/>
    <mergeCell ref="T101:T102"/>
    <mergeCell ref="V101:V102"/>
    <mergeCell ref="X101:X102"/>
    <mergeCell ref="Z101:Z102"/>
    <mergeCell ref="AB101:AB102"/>
    <mergeCell ref="Z99:Z100"/>
    <mergeCell ref="AB99:AB100"/>
    <mergeCell ref="AD99:AD100"/>
    <mergeCell ref="A101:A102"/>
    <mergeCell ref="F101:F102"/>
    <mergeCell ref="H101:H102"/>
    <mergeCell ref="J101:J102"/>
    <mergeCell ref="L101:L102"/>
    <mergeCell ref="N101:N102"/>
    <mergeCell ref="P101:P102"/>
    <mergeCell ref="N99:N100"/>
    <mergeCell ref="P99:P100"/>
    <mergeCell ref="R99:R100"/>
    <mergeCell ref="T99:T100"/>
    <mergeCell ref="V99:V100"/>
    <mergeCell ref="X99:X100"/>
    <mergeCell ref="V97:V98"/>
    <mergeCell ref="X97:X98"/>
    <mergeCell ref="Z97:Z98"/>
    <mergeCell ref="AB97:AB98"/>
    <mergeCell ref="AD97:AD98"/>
    <mergeCell ref="A99:A100"/>
    <mergeCell ref="F99:F100"/>
    <mergeCell ref="H99:H100"/>
    <mergeCell ref="J99:J100"/>
    <mergeCell ref="L99:L100"/>
    <mergeCell ref="AD95:AD96"/>
    <mergeCell ref="A97:A98"/>
    <mergeCell ref="F97:F98"/>
    <mergeCell ref="H97:H98"/>
    <mergeCell ref="J97:J98"/>
    <mergeCell ref="L97:L98"/>
    <mergeCell ref="N97:N98"/>
    <mergeCell ref="P97:P98"/>
    <mergeCell ref="R97:R98"/>
    <mergeCell ref="T97:T98"/>
    <mergeCell ref="R95:R96"/>
    <mergeCell ref="T95:T96"/>
    <mergeCell ref="V95:V96"/>
    <mergeCell ref="X95:X96"/>
    <mergeCell ref="Z95:Z96"/>
    <mergeCell ref="AB95:AB96"/>
    <mergeCell ref="Z93:Z94"/>
    <mergeCell ref="AB93:AB94"/>
    <mergeCell ref="AD93:AD94"/>
    <mergeCell ref="A95:A96"/>
    <mergeCell ref="F95:F96"/>
    <mergeCell ref="H95:H96"/>
    <mergeCell ref="J95:J96"/>
    <mergeCell ref="L95:L96"/>
    <mergeCell ref="N95:N96"/>
    <mergeCell ref="P95:P96"/>
    <mergeCell ref="N93:N94"/>
    <mergeCell ref="P93:P94"/>
    <mergeCell ref="R93:R94"/>
    <mergeCell ref="T93:T94"/>
    <mergeCell ref="V93:V94"/>
    <mergeCell ref="X93:X94"/>
    <mergeCell ref="V91:V92"/>
    <mergeCell ref="X91:X92"/>
    <mergeCell ref="Z91:Z92"/>
    <mergeCell ref="AB91:AB92"/>
    <mergeCell ref="AD91:AD92"/>
    <mergeCell ref="A93:A94"/>
    <mergeCell ref="F93:F94"/>
    <mergeCell ref="H93:H94"/>
    <mergeCell ref="J93:J94"/>
    <mergeCell ref="L93:L94"/>
    <mergeCell ref="AD89:AD90"/>
    <mergeCell ref="A91:A92"/>
    <mergeCell ref="F91:F92"/>
    <mergeCell ref="H91:H92"/>
    <mergeCell ref="J91:J92"/>
    <mergeCell ref="L91:L92"/>
    <mergeCell ref="N91:N92"/>
    <mergeCell ref="P91:P92"/>
    <mergeCell ref="R91:R92"/>
    <mergeCell ref="T91:T92"/>
    <mergeCell ref="R89:R90"/>
    <mergeCell ref="T89:T90"/>
    <mergeCell ref="V89:V90"/>
    <mergeCell ref="X89:X90"/>
    <mergeCell ref="Z89:Z90"/>
    <mergeCell ref="AB89:AB90"/>
    <mergeCell ref="Z87:Z88"/>
    <mergeCell ref="AB87:AB88"/>
    <mergeCell ref="AD87:AD88"/>
    <mergeCell ref="A89:A90"/>
    <mergeCell ref="F89:F90"/>
    <mergeCell ref="H89:H90"/>
    <mergeCell ref="J89:J90"/>
    <mergeCell ref="L89:L90"/>
    <mergeCell ref="N89:N90"/>
    <mergeCell ref="P89:P90"/>
    <mergeCell ref="N87:N88"/>
    <mergeCell ref="P87:P88"/>
    <mergeCell ref="R87:R88"/>
    <mergeCell ref="T87:T88"/>
    <mergeCell ref="V87:V88"/>
    <mergeCell ref="X87:X88"/>
    <mergeCell ref="V85:V86"/>
    <mergeCell ref="X85:X86"/>
    <mergeCell ref="Z85:Z86"/>
    <mergeCell ref="AB85:AB86"/>
    <mergeCell ref="AD85:AD86"/>
    <mergeCell ref="A87:A88"/>
    <mergeCell ref="F87:F88"/>
    <mergeCell ref="H87:H88"/>
    <mergeCell ref="J87:J88"/>
    <mergeCell ref="L87:L88"/>
    <mergeCell ref="AD83:AD84"/>
    <mergeCell ref="A85:A86"/>
    <mergeCell ref="F85:F86"/>
    <mergeCell ref="H85:H86"/>
    <mergeCell ref="J85:J86"/>
    <mergeCell ref="L85:L86"/>
    <mergeCell ref="N85:N86"/>
    <mergeCell ref="P85:P86"/>
    <mergeCell ref="R85:R86"/>
    <mergeCell ref="T85:T86"/>
    <mergeCell ref="R83:R84"/>
    <mergeCell ref="T83:T84"/>
    <mergeCell ref="V83:V84"/>
    <mergeCell ref="X83:X84"/>
    <mergeCell ref="Z83:Z84"/>
    <mergeCell ref="AB83:AB84"/>
    <mergeCell ref="Z81:Z82"/>
    <mergeCell ref="AB81:AB82"/>
    <mergeCell ref="AD81:AD82"/>
    <mergeCell ref="A83:A84"/>
    <mergeCell ref="F83:F84"/>
    <mergeCell ref="H83:H84"/>
    <mergeCell ref="J83:J84"/>
    <mergeCell ref="L83:L84"/>
    <mergeCell ref="N83:N84"/>
    <mergeCell ref="P83:P84"/>
    <mergeCell ref="N81:N82"/>
    <mergeCell ref="P81:P82"/>
    <mergeCell ref="R81:R82"/>
    <mergeCell ref="T81:T82"/>
    <mergeCell ref="V81:V82"/>
    <mergeCell ref="X81:X82"/>
    <mergeCell ref="V79:V80"/>
    <mergeCell ref="X79:X80"/>
    <mergeCell ref="Z79:Z80"/>
    <mergeCell ref="AB79:AB80"/>
    <mergeCell ref="AD79:AD80"/>
    <mergeCell ref="A81:A82"/>
    <mergeCell ref="F81:F82"/>
    <mergeCell ref="H81:H82"/>
    <mergeCell ref="J81:J82"/>
    <mergeCell ref="L81:L82"/>
    <mergeCell ref="AD77:AD78"/>
    <mergeCell ref="A79:A80"/>
    <mergeCell ref="F79:F80"/>
    <mergeCell ref="H79:H80"/>
    <mergeCell ref="J79:J80"/>
    <mergeCell ref="L79:L80"/>
    <mergeCell ref="N79:N80"/>
    <mergeCell ref="P79:P80"/>
    <mergeCell ref="R79:R80"/>
    <mergeCell ref="T79:T80"/>
    <mergeCell ref="R77:R78"/>
    <mergeCell ref="T77:T78"/>
    <mergeCell ref="V77:V78"/>
    <mergeCell ref="X77:X78"/>
    <mergeCell ref="Z77:Z78"/>
    <mergeCell ref="AB77:AB78"/>
    <mergeCell ref="Z75:Z76"/>
    <mergeCell ref="AB75:AB76"/>
    <mergeCell ref="AD75:AD76"/>
    <mergeCell ref="A77:A78"/>
    <mergeCell ref="F77:F78"/>
    <mergeCell ref="H77:H78"/>
    <mergeCell ref="J77:J78"/>
    <mergeCell ref="L77:L78"/>
    <mergeCell ref="N77:N78"/>
    <mergeCell ref="P77:P78"/>
    <mergeCell ref="N75:N76"/>
    <mergeCell ref="P75:P76"/>
    <mergeCell ref="R75:R76"/>
    <mergeCell ref="T75:T76"/>
    <mergeCell ref="V75:V76"/>
    <mergeCell ref="X75:X76"/>
    <mergeCell ref="V73:V74"/>
    <mergeCell ref="X73:X74"/>
    <mergeCell ref="Z73:Z74"/>
    <mergeCell ref="AB73:AB74"/>
    <mergeCell ref="AD73:AD74"/>
    <mergeCell ref="A75:A76"/>
    <mergeCell ref="F75:F76"/>
    <mergeCell ref="H75:H76"/>
    <mergeCell ref="J75:J76"/>
    <mergeCell ref="L75:L76"/>
    <mergeCell ref="AD71:AD72"/>
    <mergeCell ref="A73:A74"/>
    <mergeCell ref="F73:F74"/>
    <mergeCell ref="H73:H74"/>
    <mergeCell ref="J73:J74"/>
    <mergeCell ref="L73:L74"/>
    <mergeCell ref="N73:N74"/>
    <mergeCell ref="P73:P74"/>
    <mergeCell ref="R73:R74"/>
    <mergeCell ref="T73:T74"/>
    <mergeCell ref="R71:R72"/>
    <mergeCell ref="T71:T72"/>
    <mergeCell ref="V71:V72"/>
    <mergeCell ref="X71:X72"/>
    <mergeCell ref="Z71:Z72"/>
    <mergeCell ref="AB71:AB72"/>
    <mergeCell ref="Z69:Z70"/>
    <mergeCell ref="AB69:AB70"/>
    <mergeCell ref="AD69:AD70"/>
    <mergeCell ref="A71:A72"/>
    <mergeCell ref="F71:F72"/>
    <mergeCell ref="H71:H72"/>
    <mergeCell ref="J71:J72"/>
    <mergeCell ref="L71:L72"/>
    <mergeCell ref="N71:N72"/>
    <mergeCell ref="P71:P72"/>
    <mergeCell ref="N69:N70"/>
    <mergeCell ref="P69:P70"/>
    <mergeCell ref="R69:R70"/>
    <mergeCell ref="T69:T70"/>
    <mergeCell ref="V69:V70"/>
    <mergeCell ref="X69:X70"/>
    <mergeCell ref="V67:V68"/>
    <mergeCell ref="X67:X68"/>
    <mergeCell ref="Z67:Z68"/>
    <mergeCell ref="AB67:AB68"/>
    <mergeCell ref="AD67:AD68"/>
    <mergeCell ref="A69:A70"/>
    <mergeCell ref="F69:F70"/>
    <mergeCell ref="H69:H70"/>
    <mergeCell ref="J69:J70"/>
    <mergeCell ref="L69:L70"/>
    <mergeCell ref="AD65:AD66"/>
    <mergeCell ref="A67:A68"/>
    <mergeCell ref="F67:F68"/>
    <mergeCell ref="H67:H68"/>
    <mergeCell ref="J67:J68"/>
    <mergeCell ref="L67:L68"/>
    <mergeCell ref="N67:N68"/>
    <mergeCell ref="P67:P68"/>
    <mergeCell ref="R67:R68"/>
    <mergeCell ref="T67:T68"/>
    <mergeCell ref="R65:R66"/>
    <mergeCell ref="T65:T66"/>
    <mergeCell ref="V65:V66"/>
    <mergeCell ref="X65:X66"/>
    <mergeCell ref="Z65:Z66"/>
    <mergeCell ref="AB65:AB66"/>
    <mergeCell ref="Z63:Z64"/>
    <mergeCell ref="AB63:AB64"/>
    <mergeCell ref="AD63:AD64"/>
    <mergeCell ref="A65:A66"/>
    <mergeCell ref="F65:F66"/>
    <mergeCell ref="H65:H66"/>
    <mergeCell ref="J65:J66"/>
    <mergeCell ref="L65:L66"/>
    <mergeCell ref="N65:N66"/>
    <mergeCell ref="P65:P66"/>
    <mergeCell ref="N63:N64"/>
    <mergeCell ref="P63:P64"/>
    <mergeCell ref="R63:R64"/>
    <mergeCell ref="T63:T64"/>
    <mergeCell ref="V63:V64"/>
    <mergeCell ref="X63:X64"/>
    <mergeCell ref="V61:V62"/>
    <mergeCell ref="X61:X62"/>
    <mergeCell ref="Z61:Z62"/>
    <mergeCell ref="AB61:AB62"/>
    <mergeCell ref="AD61:AD62"/>
    <mergeCell ref="A63:A64"/>
    <mergeCell ref="F63:F64"/>
    <mergeCell ref="H63:H64"/>
    <mergeCell ref="J63:J64"/>
    <mergeCell ref="L63:L64"/>
    <mergeCell ref="AD59:AD60"/>
    <mergeCell ref="A61:A62"/>
    <mergeCell ref="F61:F62"/>
    <mergeCell ref="H61:H62"/>
    <mergeCell ref="J61:J62"/>
    <mergeCell ref="L61:L62"/>
    <mergeCell ref="N61:N62"/>
    <mergeCell ref="P61:P62"/>
    <mergeCell ref="R61:R62"/>
    <mergeCell ref="T61:T62"/>
    <mergeCell ref="R59:R60"/>
    <mergeCell ref="T59:T60"/>
    <mergeCell ref="V59:V60"/>
    <mergeCell ref="X59:X60"/>
    <mergeCell ref="Z59:Z60"/>
    <mergeCell ref="AB59:AB60"/>
    <mergeCell ref="Z57:Z58"/>
    <mergeCell ref="AB57:AB58"/>
    <mergeCell ref="AD57:AD58"/>
    <mergeCell ref="A59:A60"/>
    <mergeCell ref="F59:F60"/>
    <mergeCell ref="H59:H60"/>
    <mergeCell ref="J59:J60"/>
    <mergeCell ref="L59:L60"/>
    <mergeCell ref="N59:N60"/>
    <mergeCell ref="P59:P60"/>
    <mergeCell ref="N57:N58"/>
    <mergeCell ref="P57:P58"/>
    <mergeCell ref="R57:R58"/>
    <mergeCell ref="T57:T58"/>
    <mergeCell ref="V57:V58"/>
    <mergeCell ref="X57:X58"/>
    <mergeCell ref="V55:V56"/>
    <mergeCell ref="X55:X56"/>
    <mergeCell ref="Z55:Z56"/>
    <mergeCell ref="AB55:AB56"/>
    <mergeCell ref="AD55:AD56"/>
    <mergeCell ref="A57:A58"/>
    <mergeCell ref="F57:F58"/>
    <mergeCell ref="H57:H58"/>
    <mergeCell ref="J57:J58"/>
    <mergeCell ref="L57:L58"/>
    <mergeCell ref="AD53:AD54"/>
    <mergeCell ref="A55:A56"/>
    <mergeCell ref="F55:F56"/>
    <mergeCell ref="H55:H56"/>
    <mergeCell ref="J55:J56"/>
    <mergeCell ref="L55:L56"/>
    <mergeCell ref="N55:N56"/>
    <mergeCell ref="P55:P56"/>
    <mergeCell ref="R55:R56"/>
    <mergeCell ref="T55:T56"/>
    <mergeCell ref="R53:R54"/>
    <mergeCell ref="T53:T54"/>
    <mergeCell ref="V53:V54"/>
    <mergeCell ref="X53:X54"/>
    <mergeCell ref="Z53:Z54"/>
    <mergeCell ref="AB53:AB54"/>
    <mergeCell ref="Z51:Z52"/>
    <mergeCell ref="AB51:AB52"/>
    <mergeCell ref="AD51:AD52"/>
    <mergeCell ref="A53:A54"/>
    <mergeCell ref="F53:F54"/>
    <mergeCell ref="H53:H54"/>
    <mergeCell ref="J53:J54"/>
    <mergeCell ref="L53:L54"/>
    <mergeCell ref="N53:N54"/>
    <mergeCell ref="P53:P54"/>
    <mergeCell ref="N51:N52"/>
    <mergeCell ref="P51:P52"/>
    <mergeCell ref="R51:R52"/>
    <mergeCell ref="T51:T52"/>
    <mergeCell ref="V51:V52"/>
    <mergeCell ref="X51:X52"/>
    <mergeCell ref="V49:V50"/>
    <mergeCell ref="X49:X50"/>
    <mergeCell ref="Z49:Z50"/>
    <mergeCell ref="AB49:AB50"/>
    <mergeCell ref="AD49:AD50"/>
    <mergeCell ref="A51:A52"/>
    <mergeCell ref="F51:F52"/>
    <mergeCell ref="H51:H52"/>
    <mergeCell ref="J51:J52"/>
    <mergeCell ref="L51:L52"/>
    <mergeCell ref="AD47:AD48"/>
    <mergeCell ref="A49:A50"/>
    <mergeCell ref="F49:F50"/>
    <mergeCell ref="H49:H50"/>
    <mergeCell ref="J49:J50"/>
    <mergeCell ref="L49:L50"/>
    <mergeCell ref="N49:N50"/>
    <mergeCell ref="P49:P50"/>
    <mergeCell ref="R49:R50"/>
    <mergeCell ref="T49:T50"/>
    <mergeCell ref="R47:R48"/>
    <mergeCell ref="T47:T48"/>
    <mergeCell ref="V47:V48"/>
    <mergeCell ref="X47:X48"/>
    <mergeCell ref="Z47:Z48"/>
    <mergeCell ref="AB47:AB48"/>
    <mergeCell ref="Z45:Z46"/>
    <mergeCell ref="AB45:AB46"/>
    <mergeCell ref="AD45:AD46"/>
    <mergeCell ref="A47:A48"/>
    <mergeCell ref="F47:F48"/>
    <mergeCell ref="H47:H48"/>
    <mergeCell ref="J47:J48"/>
    <mergeCell ref="L47:L48"/>
    <mergeCell ref="N47:N48"/>
    <mergeCell ref="P47:P48"/>
    <mergeCell ref="N45:N46"/>
    <mergeCell ref="P45:P46"/>
    <mergeCell ref="R45:R46"/>
    <mergeCell ref="T45:T46"/>
    <mergeCell ref="V45:V46"/>
    <mergeCell ref="X45:X46"/>
    <mergeCell ref="V43:V44"/>
    <mergeCell ref="X43:X44"/>
    <mergeCell ref="Z43:Z44"/>
    <mergeCell ref="AB43:AB44"/>
    <mergeCell ref="AD43:AD44"/>
    <mergeCell ref="A45:A46"/>
    <mergeCell ref="F45:F46"/>
    <mergeCell ref="H45:H46"/>
    <mergeCell ref="J45:J46"/>
    <mergeCell ref="L45:L46"/>
    <mergeCell ref="AD41:AD42"/>
    <mergeCell ref="A43:A44"/>
    <mergeCell ref="F43:F44"/>
    <mergeCell ref="H43:H44"/>
    <mergeCell ref="J43:J44"/>
    <mergeCell ref="L43:L44"/>
    <mergeCell ref="N43:N44"/>
    <mergeCell ref="P43:P44"/>
    <mergeCell ref="R43:R44"/>
    <mergeCell ref="T43:T44"/>
    <mergeCell ref="R41:R42"/>
    <mergeCell ref="T41:T42"/>
    <mergeCell ref="V41:V42"/>
    <mergeCell ref="X41:X42"/>
    <mergeCell ref="Z41:Z42"/>
    <mergeCell ref="AB41:AB42"/>
    <mergeCell ref="Z39:Z40"/>
    <mergeCell ref="AB39:AB40"/>
    <mergeCell ref="AD39:AD40"/>
    <mergeCell ref="A41:A42"/>
    <mergeCell ref="F41:F42"/>
    <mergeCell ref="H41:H42"/>
    <mergeCell ref="J41:J42"/>
    <mergeCell ref="L41:L42"/>
    <mergeCell ref="N41:N42"/>
    <mergeCell ref="P41:P42"/>
    <mergeCell ref="N39:N40"/>
    <mergeCell ref="P39:P40"/>
    <mergeCell ref="R39:R40"/>
    <mergeCell ref="T39:T40"/>
    <mergeCell ref="V39:V40"/>
    <mergeCell ref="X39:X40"/>
    <mergeCell ref="V37:V38"/>
    <mergeCell ref="X37:X38"/>
    <mergeCell ref="Z37:Z38"/>
    <mergeCell ref="AB37:AB38"/>
    <mergeCell ref="AD37:AD38"/>
    <mergeCell ref="A39:A40"/>
    <mergeCell ref="F39:F40"/>
    <mergeCell ref="H39:H40"/>
    <mergeCell ref="J39:J40"/>
    <mergeCell ref="L39:L40"/>
    <mergeCell ref="AD35:AD36"/>
    <mergeCell ref="A37:A38"/>
    <mergeCell ref="F37:F38"/>
    <mergeCell ref="H37:H38"/>
    <mergeCell ref="J37:J38"/>
    <mergeCell ref="L37:L38"/>
    <mergeCell ref="N37:N38"/>
    <mergeCell ref="P37:P38"/>
    <mergeCell ref="R37:R38"/>
    <mergeCell ref="T37:T38"/>
    <mergeCell ref="R35:R36"/>
    <mergeCell ref="T35:T36"/>
    <mergeCell ref="V35:V36"/>
    <mergeCell ref="X35:X36"/>
    <mergeCell ref="Z35:Z36"/>
    <mergeCell ref="AB35:AB36"/>
    <mergeCell ref="Z33:Z34"/>
    <mergeCell ref="AB33:AB34"/>
    <mergeCell ref="AD33:AD34"/>
    <mergeCell ref="A35:A36"/>
    <mergeCell ref="F35:F36"/>
    <mergeCell ref="H35:H36"/>
    <mergeCell ref="J35:J36"/>
    <mergeCell ref="L35:L36"/>
    <mergeCell ref="N35:N36"/>
    <mergeCell ref="P35:P36"/>
    <mergeCell ref="N33:N34"/>
    <mergeCell ref="P33:P34"/>
    <mergeCell ref="R33:R34"/>
    <mergeCell ref="T33:T34"/>
    <mergeCell ref="V33:V34"/>
    <mergeCell ref="X33:X34"/>
    <mergeCell ref="V31:V32"/>
    <mergeCell ref="X31:X32"/>
    <mergeCell ref="Z31:Z32"/>
    <mergeCell ref="AB31:AB32"/>
    <mergeCell ref="AD31:AD32"/>
    <mergeCell ref="A33:A34"/>
    <mergeCell ref="F33:F34"/>
    <mergeCell ref="H33:H34"/>
    <mergeCell ref="J33:J34"/>
    <mergeCell ref="L33:L34"/>
    <mergeCell ref="AD29:AD30"/>
    <mergeCell ref="A31:A32"/>
    <mergeCell ref="F31:F32"/>
    <mergeCell ref="H31:H32"/>
    <mergeCell ref="J31:J32"/>
    <mergeCell ref="L31:L32"/>
    <mergeCell ref="N31:N32"/>
    <mergeCell ref="P31:P32"/>
    <mergeCell ref="R31:R32"/>
    <mergeCell ref="T31:T32"/>
    <mergeCell ref="R29:R30"/>
    <mergeCell ref="T29:T30"/>
    <mergeCell ref="V29:V30"/>
    <mergeCell ref="X29:X30"/>
    <mergeCell ref="Z29:Z30"/>
    <mergeCell ref="AB29:AB30"/>
    <mergeCell ref="Z27:Z28"/>
    <mergeCell ref="AB27:AB28"/>
    <mergeCell ref="AD27:AD28"/>
    <mergeCell ref="A29:A30"/>
    <mergeCell ref="F29:F30"/>
    <mergeCell ref="H29:H30"/>
    <mergeCell ref="J29:J30"/>
    <mergeCell ref="L29:L30"/>
    <mergeCell ref="N29:N30"/>
    <mergeCell ref="P29:P30"/>
    <mergeCell ref="N27:N28"/>
    <mergeCell ref="P27:P28"/>
    <mergeCell ref="R27:R28"/>
    <mergeCell ref="T27:T28"/>
    <mergeCell ref="V27:V28"/>
    <mergeCell ref="X27:X28"/>
    <mergeCell ref="V25:V26"/>
    <mergeCell ref="X25:X26"/>
    <mergeCell ref="Z25:Z26"/>
    <mergeCell ref="AB25:AB26"/>
    <mergeCell ref="AD25:AD26"/>
    <mergeCell ref="A27:A28"/>
    <mergeCell ref="F27:F28"/>
    <mergeCell ref="H27:H28"/>
    <mergeCell ref="J27:J28"/>
    <mergeCell ref="L27:L28"/>
    <mergeCell ref="AD23:AD24"/>
    <mergeCell ref="A25:A26"/>
    <mergeCell ref="F25:F26"/>
    <mergeCell ref="H25:H26"/>
    <mergeCell ref="J25:J26"/>
    <mergeCell ref="L25:L26"/>
    <mergeCell ref="N25:N26"/>
    <mergeCell ref="P25:P26"/>
    <mergeCell ref="R25:R26"/>
    <mergeCell ref="T25:T26"/>
    <mergeCell ref="R23:R24"/>
    <mergeCell ref="T23:T24"/>
    <mergeCell ref="V23:V24"/>
    <mergeCell ref="X23:X24"/>
    <mergeCell ref="Z23:Z24"/>
    <mergeCell ref="AB23:AB24"/>
    <mergeCell ref="Z21:Z22"/>
    <mergeCell ref="AB21:AB22"/>
    <mergeCell ref="AD21:AD22"/>
    <mergeCell ref="A23:A24"/>
    <mergeCell ref="F23:F24"/>
    <mergeCell ref="H23:H24"/>
    <mergeCell ref="J23:J24"/>
    <mergeCell ref="L23:L24"/>
    <mergeCell ref="N23:N24"/>
    <mergeCell ref="P23:P24"/>
    <mergeCell ref="N21:N22"/>
    <mergeCell ref="P21:P22"/>
    <mergeCell ref="R21:R22"/>
    <mergeCell ref="T21:T22"/>
    <mergeCell ref="V21:V22"/>
    <mergeCell ref="X21:X22"/>
    <mergeCell ref="V19:V20"/>
    <mergeCell ref="X19:X20"/>
    <mergeCell ref="Z19:Z20"/>
    <mergeCell ref="AB19:AB20"/>
    <mergeCell ref="AD19:AD20"/>
    <mergeCell ref="A21:A22"/>
    <mergeCell ref="F21:F22"/>
    <mergeCell ref="H21:H22"/>
    <mergeCell ref="J21:J22"/>
    <mergeCell ref="L21:L22"/>
    <mergeCell ref="AD17:AD18"/>
    <mergeCell ref="A19:A20"/>
    <mergeCell ref="F19:F20"/>
    <mergeCell ref="H19:H20"/>
    <mergeCell ref="J19:J20"/>
    <mergeCell ref="L19:L20"/>
    <mergeCell ref="N19:N20"/>
    <mergeCell ref="P19:P20"/>
    <mergeCell ref="R19:R20"/>
    <mergeCell ref="T19:T20"/>
    <mergeCell ref="R17:R18"/>
    <mergeCell ref="T17:T18"/>
    <mergeCell ref="V17:V18"/>
    <mergeCell ref="X17:X18"/>
    <mergeCell ref="Z17:Z18"/>
    <mergeCell ref="AB17:AB18"/>
    <mergeCell ref="Z15:Z16"/>
    <mergeCell ref="AB15:AB16"/>
    <mergeCell ref="AD15:AD16"/>
    <mergeCell ref="A17:A18"/>
    <mergeCell ref="F17:F18"/>
    <mergeCell ref="H17:H18"/>
    <mergeCell ref="J17:J18"/>
    <mergeCell ref="L17:L18"/>
    <mergeCell ref="N17:N18"/>
    <mergeCell ref="P17:P18"/>
    <mergeCell ref="N15:N16"/>
    <mergeCell ref="P15:P16"/>
    <mergeCell ref="R15:R16"/>
    <mergeCell ref="T15:T16"/>
    <mergeCell ref="V15:V16"/>
    <mergeCell ref="X15:X16"/>
    <mergeCell ref="F9:F10"/>
    <mergeCell ref="H9:H10"/>
    <mergeCell ref="J9:J10"/>
    <mergeCell ref="L9:L10"/>
    <mergeCell ref="V13:V14"/>
    <mergeCell ref="X13:X14"/>
    <mergeCell ref="Z13:Z14"/>
    <mergeCell ref="AB13:AB14"/>
    <mergeCell ref="AD13:AD14"/>
    <mergeCell ref="A15:A16"/>
    <mergeCell ref="F15:F16"/>
    <mergeCell ref="H15:H16"/>
    <mergeCell ref="J15:J16"/>
    <mergeCell ref="L15:L16"/>
    <mergeCell ref="AD11:AD12"/>
    <mergeCell ref="A13:A14"/>
    <mergeCell ref="F13:F14"/>
    <mergeCell ref="H13:H14"/>
    <mergeCell ref="J13:J14"/>
    <mergeCell ref="L13:L14"/>
    <mergeCell ref="N13:N14"/>
    <mergeCell ref="P13:P14"/>
    <mergeCell ref="R13:R14"/>
    <mergeCell ref="T13:T14"/>
    <mergeCell ref="R11:R12"/>
    <mergeCell ref="T11:T12"/>
    <mergeCell ref="V11:V12"/>
    <mergeCell ref="X11:X12"/>
    <mergeCell ref="Z11:Z12"/>
    <mergeCell ref="AB11:AB12"/>
    <mergeCell ref="J5:J6"/>
    <mergeCell ref="L5:L6"/>
    <mergeCell ref="N5:N6"/>
    <mergeCell ref="P5:P6"/>
    <mergeCell ref="M3:N3"/>
    <mergeCell ref="O3:P3"/>
    <mergeCell ref="Q3:R3"/>
    <mergeCell ref="S3:T3"/>
    <mergeCell ref="U3:V3"/>
    <mergeCell ref="W3:X3"/>
    <mergeCell ref="Z9:Z10"/>
    <mergeCell ref="AB9:AB10"/>
    <mergeCell ref="AD9:AD10"/>
    <mergeCell ref="A11:A12"/>
    <mergeCell ref="F11:F12"/>
    <mergeCell ref="H11:H12"/>
    <mergeCell ref="J11:J12"/>
    <mergeCell ref="L11:L12"/>
    <mergeCell ref="N11:N12"/>
    <mergeCell ref="P11:P12"/>
    <mergeCell ref="N9:N10"/>
    <mergeCell ref="P9:P10"/>
    <mergeCell ref="R9:R10"/>
    <mergeCell ref="T9:T10"/>
    <mergeCell ref="V9:V10"/>
    <mergeCell ref="X9:X10"/>
    <mergeCell ref="V7:V8"/>
    <mergeCell ref="X7:X8"/>
    <mergeCell ref="Z7:Z8"/>
    <mergeCell ref="AB7:AB8"/>
    <mergeCell ref="AD7:AD8"/>
    <mergeCell ref="A9:A10"/>
    <mergeCell ref="A1:AD1"/>
    <mergeCell ref="A2:AD2"/>
    <mergeCell ref="A3:A4"/>
    <mergeCell ref="B3:B4"/>
    <mergeCell ref="C3:C4"/>
    <mergeCell ref="D3:D4"/>
    <mergeCell ref="E3:F3"/>
    <mergeCell ref="G3:H3"/>
    <mergeCell ref="I3:J3"/>
    <mergeCell ref="K3:L3"/>
    <mergeCell ref="AD5:AD6"/>
    <mergeCell ref="A7:A8"/>
    <mergeCell ref="F7:F8"/>
    <mergeCell ref="H7:H8"/>
    <mergeCell ref="J7:J8"/>
    <mergeCell ref="L7:L8"/>
    <mergeCell ref="N7:N8"/>
    <mergeCell ref="P7:P8"/>
    <mergeCell ref="R7:R8"/>
    <mergeCell ref="T7:T8"/>
    <mergeCell ref="R5:R6"/>
    <mergeCell ref="T5:T6"/>
    <mergeCell ref="V5:V6"/>
    <mergeCell ref="X5:X6"/>
    <mergeCell ref="Z5:Z6"/>
    <mergeCell ref="AB5:AB6"/>
    <mergeCell ref="Y3:Z3"/>
    <mergeCell ref="AA3:AB3"/>
    <mergeCell ref="AC3:AD3"/>
    <mergeCell ref="A5:A6"/>
    <mergeCell ref="F5:F6"/>
    <mergeCell ref="H5:H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INTEGRADO</vt:lpstr>
      <vt:lpstr>BECA MEDIA</vt:lpstr>
      <vt:lpstr>BECA SUPERIOR</vt:lpstr>
      <vt:lpstr>JOVENES PROTAGONISTAS</vt:lpstr>
      <vt:lpstr>BOLSA</vt:lpstr>
      <vt:lpstr>COMEDORES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Wanda Mariana Valdizón Burmester</dc:creator>
  <cp:lastModifiedBy>user01</cp:lastModifiedBy>
  <dcterms:created xsi:type="dcterms:W3CDTF">2026-07-06T17:58:47Z</dcterms:created>
  <dcterms:modified xsi:type="dcterms:W3CDTF">2026-08-07T17:52:54Z</dcterms:modified>
</cp:coreProperties>
</file>